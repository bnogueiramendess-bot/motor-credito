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Z:\Financeiro\Inadimplência\Overdue\2026\03-2026\"/>
    </mc:Choice>
  </mc:AlternateContent>
  <xr:revisionPtr revIDLastSave="0" documentId="13_ncr:1_{85FCCD53-1095-4D48-9D68-BC8B59FA5EE6}" xr6:coauthVersionLast="47" xr6:coauthVersionMax="47" xr10:uidLastSave="{00000000-0000-0000-0000-000000000000}"/>
  <bookViews>
    <workbookView xWindow="28680" yWindow="-120" windowWidth="29040" windowHeight="15720" activeTab="8" xr2:uid="{00000000-000D-0000-FFFF-FFFF00000000}"/>
  </bookViews>
  <sheets>
    <sheet name="AR - slide BoD" sheetId="38" r:id="rId1"/>
    <sheet name="AR - slide" sheetId="37" state="hidden" r:id="rId2"/>
    <sheet name="AR" sheetId="26" state="hidden" r:id="rId3"/>
    <sheet name="freight debit notes" sheetId="39" r:id="rId4"/>
    <sheet name="Data total" sheetId="8" r:id="rId5"/>
    <sheet name="Data Additive" sheetId="1" r:id="rId6"/>
    <sheet name="Data International" sheetId="24" r:id="rId7"/>
    <sheet name="Data Fertilizers" sheetId="11" r:id="rId8"/>
    <sheet name="Clientes Consolidado" sheetId="36" r:id="rId9"/>
    <sheet name="Planilha1" sheetId="41" state="hidden" r:id="rId10"/>
    <sheet name="Painel Additive" sheetId="6" r:id="rId11"/>
    <sheet name="Painel Fertilizers" sheetId="14" r:id="rId12"/>
    <sheet name="Cliente Aditivo" sheetId="32" state="hidden" r:id="rId13"/>
    <sheet name="Cliente Fertilizante" sheetId="33" state="hidden" r:id="rId14"/>
    <sheet name="Cliente Internacional" sheetId="34" state="hidden" r:id="rId15"/>
    <sheet name="Painel International" sheetId="23" r:id="rId16"/>
    <sheet name="Bad Debt Provision" sheetId="17" r:id="rId17"/>
    <sheet name="Limite de crédito" sheetId="28" r:id="rId18"/>
    <sheet name="Sheet1" sheetId="40"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BoD'!$A$21:$T$138</definedName>
    <definedName name="_xlnm._FilterDatabase" localSheetId="16" hidden="1">'Bad Debt Provision'!$A$3:$AE$607</definedName>
    <definedName name="_xlnm._FilterDatabase" localSheetId="12" hidden="1">'Cliente Aditivo'!$A$3:$AL$172</definedName>
    <definedName name="_xlnm._FilterDatabase" localSheetId="13" hidden="1">'Cliente Fertilizante'!$A$3:$AL$62</definedName>
    <definedName name="_xlnm._FilterDatabase" localSheetId="14" hidden="1">'Cliente Internacional'!$A$3:$AL$37</definedName>
    <definedName name="_xlnm._FilterDatabase" localSheetId="8" hidden="1">'Clientes Consolidado'!$A$3:$AL$96</definedName>
    <definedName name="_xlnm._FilterDatabase" localSheetId="5" hidden="1">'Data Additive'!$A$2:$R$327</definedName>
    <definedName name="_xlnm._FilterDatabase" localSheetId="7" hidden="1">'Data Fertilizers'!$A$2:$S$391</definedName>
    <definedName name="_xlnm._FilterDatabase" localSheetId="6" hidden="1">'Data International'!$A$2:$S$44</definedName>
    <definedName name="_xlnm._FilterDatabase" localSheetId="4" hidden="1">'Data total'!$A$2:$R$789</definedName>
    <definedName name="_xlnm._FilterDatabase" localSheetId="3" hidden="1">'freight debit notes'!$A$2:$Q$2</definedName>
    <definedName name="_xlnm._FilterDatabase" localSheetId="17" hidden="1">'Limite de crédito'!$A$1:$Q$176</definedName>
    <definedName name="_xlnm._FilterDatabase" localSheetId="10" hidden="1">'Painel Additive'!$A$3:$AK$135</definedName>
    <definedName name="_xlnm._FilterDatabase" localSheetId="11" hidden="1">'Painel Fertilizers'!$A$3:$AK$48</definedName>
    <definedName name="_xlnm._FilterDatabase" localSheetId="15" hidden="1">'Painel International'!$A$3:$AL$28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6"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36" l="1"/>
  <c r="AH6" i="36"/>
  <c r="AH7" i="36"/>
  <c r="AH8" i="36"/>
  <c r="AH9" i="36"/>
  <c r="AH10" i="36"/>
  <c r="AH11" i="36"/>
  <c r="AH12" i="36"/>
  <c r="AH13" i="36"/>
  <c r="AH14" i="36"/>
  <c r="AH15" i="36"/>
  <c r="AH16" i="36"/>
  <c r="AH17" i="36"/>
  <c r="AH18" i="36"/>
  <c r="AH19" i="36"/>
  <c r="AH20" i="36"/>
  <c r="AH21" i="36"/>
  <c r="AH22" i="36"/>
  <c r="AH23" i="36"/>
  <c r="AH24" i="36"/>
  <c r="AH25" i="36"/>
  <c r="AH26" i="36"/>
  <c r="AH27" i="36"/>
  <c r="AH28" i="36"/>
  <c r="AH29" i="36"/>
  <c r="AH30" i="36"/>
  <c r="AH31" i="36"/>
  <c r="AH32" i="36"/>
  <c r="AH33" i="36"/>
  <c r="AH34" i="36"/>
  <c r="AH35" i="36"/>
  <c r="AH36" i="36"/>
  <c r="AH37" i="36"/>
  <c r="AH38" i="36"/>
  <c r="AH39" i="36"/>
  <c r="AH40" i="36"/>
  <c r="AH41" i="36"/>
  <c r="AH42" i="36"/>
  <c r="AH43" i="36"/>
  <c r="AH44" i="36"/>
  <c r="AH45" i="36"/>
  <c r="AH46" i="36"/>
  <c r="AH47" i="36"/>
  <c r="AH48" i="36"/>
  <c r="AH49" i="36"/>
  <c r="AH50" i="36"/>
  <c r="AH51" i="36"/>
  <c r="AH52" i="36"/>
  <c r="AH53" i="36"/>
  <c r="AH54" i="36"/>
  <c r="AH55" i="36"/>
  <c r="AH56" i="36"/>
  <c r="AH57" i="36"/>
  <c r="AH58" i="36"/>
  <c r="AH59" i="36"/>
  <c r="AH60" i="36"/>
  <c r="AH61" i="36"/>
  <c r="AH62" i="36"/>
  <c r="AH63" i="36"/>
  <c r="AH64" i="36"/>
  <c r="AH65" i="36"/>
  <c r="AH66" i="36"/>
  <c r="AH67" i="36"/>
  <c r="AH68" i="36"/>
  <c r="AH69" i="36"/>
  <c r="AH70" i="36"/>
  <c r="AH71" i="36"/>
  <c r="AH72" i="36"/>
  <c r="AH73" i="36"/>
  <c r="AH74" i="36"/>
  <c r="AH75" i="36"/>
  <c r="AH76" i="36"/>
  <c r="AH77" i="36"/>
  <c r="AH78" i="36"/>
  <c r="AH79" i="36"/>
  <c r="AH80" i="36"/>
  <c r="AH81" i="36"/>
  <c r="AH82" i="36"/>
  <c r="AH83" i="36"/>
  <c r="AH84" i="36"/>
  <c r="AH85" i="36"/>
  <c r="AH86" i="36"/>
  <c r="AH87" i="36"/>
  <c r="AH88" i="36"/>
  <c r="AH89" i="36"/>
  <c r="AH90" i="36"/>
  <c r="AH91" i="36"/>
  <c r="AH92" i="36"/>
  <c r="AH93" i="36"/>
  <c r="AH94" i="36"/>
  <c r="AH95" i="36"/>
  <c r="AH96" i="36"/>
  <c r="AH4" i="36"/>
  <c r="N49" i="38"/>
  <c r="N50" i="38"/>
  <c r="N51" i="38"/>
  <c r="N52" i="38"/>
  <c r="N53" i="38"/>
  <c r="N54" i="38"/>
  <c r="N55" i="38"/>
  <c r="N47" i="38"/>
  <c r="L46" i="38"/>
  <c r="J46" i="38"/>
  <c r="I46" i="38"/>
  <c r="G46" i="38"/>
  <c r="E46" i="38"/>
  <c r="N48" i="38"/>
  <c r="G48" i="38"/>
  <c r="E39" i="38"/>
  <c r="M27" i="38"/>
  <c r="M28" i="38"/>
  <c r="M29" i="38"/>
  <c r="M30" i="38"/>
  <c r="M31" i="38"/>
  <c r="M32" i="38"/>
  <c r="M33" i="38"/>
  <c r="M34" i="38"/>
  <c r="M35" i="38"/>
  <c r="M36" i="38"/>
  <c r="M37" i="38"/>
  <c r="M26" i="38"/>
  <c r="I136" i="38"/>
  <c r="I134" i="38"/>
  <c r="G141" i="38"/>
  <c r="E141" i="38"/>
  <c r="G86" i="38"/>
  <c r="F136" i="38"/>
  <c r="G126" i="38"/>
  <c r="G127" i="38"/>
  <c r="G128"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G119" i="38"/>
  <c r="G120" i="38"/>
  <c r="G121" i="38"/>
  <c r="G122" i="38"/>
  <c r="G123" i="38"/>
  <c r="G124" i="38"/>
  <c r="G125" i="38"/>
  <c r="G129" i="38"/>
  <c r="G130" i="38"/>
  <c r="G131" i="38"/>
  <c r="F46" i="38"/>
  <c r="G49" i="38"/>
  <c r="G50" i="38"/>
  <c r="G51" i="38"/>
  <c r="G52" i="38"/>
  <c r="G53" i="38"/>
  <c r="G54" i="38"/>
  <c r="G55" i="38"/>
  <c r="G56" i="38"/>
  <c r="E134" i="38"/>
  <c r="F45" i="38"/>
  <c r="E45" i="38"/>
  <c r="I39" i="38"/>
  <c r="L40" i="38"/>
  <c r="G33" i="38"/>
  <c r="L36" i="38"/>
  <c r="G37" i="38"/>
  <c r="G36" i="38"/>
  <c r="G35" i="38"/>
  <c r="G34" i="38"/>
  <c r="E132" i="38" l="1"/>
  <c r="E142" i="38" s="1"/>
  <c r="L35" i="38"/>
  <c r="L34" i="38"/>
  <c r="L37" i="38"/>
  <c r="L33" i="38"/>
  <c r="AA7" i="23" l="1"/>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C1" i="17"/>
  <c r="D1" i="17"/>
  <c r="AB1" i="36" l="1"/>
  <c r="H1" i="36"/>
  <c r="P1" i="36"/>
  <c r="Q1" i="36"/>
  <c r="D1" i="11"/>
  <c r="AA49" i="23"/>
  <c r="X49" i="23"/>
  <c r="C49" i="23"/>
  <c r="AJ1" i="36" l="1"/>
  <c r="AH1" i="36"/>
  <c r="AA62" i="14"/>
  <c r="X62" i="14"/>
  <c r="E62" i="14"/>
  <c r="C62" i="14"/>
  <c r="AA61" i="14"/>
  <c r="X61" i="14"/>
  <c r="E61" i="14"/>
  <c r="C61" i="14"/>
  <c r="X135" i="6"/>
  <c r="C135" i="6"/>
  <c r="X134" i="6"/>
  <c r="C134" i="6"/>
  <c r="D1" i="39" l="1"/>
  <c r="X133" i="6" l="1"/>
  <c r="C133" i="6"/>
  <c r="X132" i="6"/>
  <c r="C132" i="6"/>
  <c r="AA48" i="23"/>
  <c r="X48" i="23"/>
  <c r="C48" i="23"/>
  <c r="D1" i="8" l="1"/>
  <c r="X131" i="6"/>
  <c r="C131" i="6"/>
  <c r="AA47" i="23"/>
  <c r="X47" i="23"/>
  <c r="C47" i="23"/>
  <c r="X130" i="6"/>
  <c r="C130" i="6"/>
  <c r="I135" i="38"/>
  <c r="I137" i="38" s="1"/>
  <c r="H142" i="38"/>
  <c r="N56" i="38"/>
  <c r="I45" i="38"/>
  <c r="X129" i="6" l="1"/>
  <c r="C129" i="6"/>
  <c r="D1" i="24" l="1"/>
  <c r="I9" i="41" l="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5"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X115" i="6"/>
  <c r="C115" i="6"/>
  <c r="Q40" i="24"/>
  <c r="R40"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 i="1"/>
  <c r="Q37" i="39"/>
  <c r="Q4" i="39"/>
  <c r="Q5" i="39"/>
  <c r="Q6" i="39"/>
  <c r="Q7"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35"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34"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D1" i="1"/>
  <c r="E56" i="14"/>
  <c r="C56" i="14"/>
  <c r="C99" i="6"/>
  <c r="F1" i="8" l="1"/>
  <c r="E1" i="8"/>
  <c r="F59" i="14"/>
  <c r="J57" i="14"/>
  <c r="T57" i="14"/>
  <c r="I57" i="14"/>
  <c r="R57" i="14"/>
  <c r="L57" i="14"/>
  <c r="U57" i="14"/>
  <c r="M57" i="14"/>
  <c r="V57" i="14"/>
  <c r="N57" i="14"/>
  <c r="W57" i="14"/>
  <c r="O57" i="14"/>
  <c r="S57" i="14"/>
  <c r="K57" i="14"/>
  <c r="H57" i="14"/>
  <c r="C7" i="14"/>
  <c r="E7" i="14"/>
  <c r="P57" i="14" l="1"/>
  <c r="G57" i="14" s="1"/>
  <c r="F57" i="14" l="1"/>
  <c r="AG57" i="14"/>
  <c r="R41" i="24" l="1"/>
  <c r="R42" i="24"/>
  <c r="R43" i="24"/>
  <c r="R44" i="24"/>
  <c r="C42" i="23"/>
  <c r="C98" i="6"/>
  <c r="C97" i="6"/>
  <c r="C96" i="6"/>
  <c r="C95" i="6"/>
  <c r="D5" i="40"/>
  <c r="J45" i="38" l="1"/>
  <c r="F132" i="38"/>
  <c r="F142" i="38" s="1"/>
  <c r="M46" i="38"/>
  <c r="M40" i="38"/>
  <c r="L41" i="38"/>
  <c r="M41" i="38" s="1"/>
  <c r="L42" i="38"/>
  <c r="M42" i="38" s="1"/>
  <c r="L43" i="38"/>
  <c r="M43" i="38" s="1"/>
  <c r="N46" i="38"/>
  <c r="M39" i="38" l="1"/>
  <c r="L45" i="38"/>
  <c r="G1" i="8" l="1"/>
  <c r="C41" i="23"/>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90" i="1"/>
  <c r="S290" i="1"/>
  <c r="Q291" i="1"/>
  <c r="S291" i="1"/>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C38" i="23"/>
  <c r="C37" i="23"/>
  <c r="C36" i="23"/>
  <c r="C90" i="6"/>
  <c r="C89" i="6"/>
  <c r="G26" i="38"/>
  <c r="L31" i="38"/>
  <c r="L32" i="38"/>
  <c r="L27" i="38"/>
  <c r="L28" i="38"/>
  <c r="L29" i="38"/>
  <c r="L30" i="38"/>
  <c r="L39" i="38" l="1"/>
  <c r="L132"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63" i="1"/>
  <c r="S263" i="1"/>
  <c r="Q264" i="1"/>
  <c r="S264" i="1"/>
  <c r="Q265" i="1"/>
  <c r="S265" i="1"/>
  <c r="Q266" i="1"/>
  <c r="S266" i="1"/>
  <c r="Q267" i="1"/>
  <c r="S267" i="1"/>
  <c r="Q268" i="1"/>
  <c r="S268" i="1"/>
  <c r="Q269" i="1"/>
  <c r="S269" i="1"/>
  <c r="Q270" i="1"/>
  <c r="S270" i="1"/>
  <c r="Q271" i="1"/>
  <c r="S271" i="1"/>
  <c r="Q272" i="1"/>
  <c r="S272" i="1"/>
  <c r="Q273" i="1"/>
  <c r="S273" i="1"/>
  <c r="Q274" i="1"/>
  <c r="S274" i="1"/>
  <c r="Q275" i="1"/>
  <c r="S275" i="1"/>
  <c r="Q276" i="1"/>
  <c r="S276" i="1"/>
  <c r="Q277" i="1"/>
  <c r="S277" i="1"/>
  <c r="Q278" i="1"/>
  <c r="S278" i="1"/>
  <c r="Q279" i="1"/>
  <c r="S279" i="1"/>
  <c r="Q280" i="1"/>
  <c r="S280" i="1"/>
  <c r="Q281" i="1"/>
  <c r="S281" i="1"/>
  <c r="Q282" i="1"/>
  <c r="S282" i="1"/>
  <c r="Q283" i="1"/>
  <c r="S283" i="1"/>
  <c r="Q284" i="1"/>
  <c r="S284" i="1"/>
  <c r="Q285" i="1"/>
  <c r="S285" i="1"/>
  <c r="Q286" i="1"/>
  <c r="S286" i="1"/>
  <c r="Q287" i="1"/>
  <c r="S287" i="1"/>
  <c r="Q288" i="1"/>
  <c r="S288" i="1"/>
  <c r="Q289" i="1"/>
  <c r="S289" i="1"/>
  <c r="Q792" i="8"/>
  <c r="R792" i="8"/>
  <c r="Q793" i="8"/>
  <c r="R793" i="8"/>
  <c r="Q794" i="8"/>
  <c r="R794" i="8"/>
  <c r="Q795" i="8"/>
  <c r="R795" i="8"/>
  <c r="Q796" i="8"/>
  <c r="R796" i="8"/>
  <c r="Q797" i="8"/>
  <c r="R797" i="8"/>
  <c r="Q798" i="8"/>
  <c r="R798" i="8"/>
  <c r="Q799" i="8"/>
  <c r="R799" i="8"/>
  <c r="Q800" i="8"/>
  <c r="R800" i="8"/>
  <c r="Q801" i="8"/>
  <c r="R801" i="8"/>
  <c r="Q802" i="8"/>
  <c r="R802" i="8"/>
  <c r="Q803" i="8"/>
  <c r="R803" i="8"/>
  <c r="Q804" i="8"/>
  <c r="R804" i="8"/>
  <c r="Q805" i="8"/>
  <c r="R805" i="8"/>
  <c r="Q806" i="8"/>
  <c r="R806" i="8"/>
  <c r="Q807" i="8"/>
  <c r="R807" i="8"/>
  <c r="Q808" i="8"/>
  <c r="R808" i="8"/>
  <c r="Q809" i="8"/>
  <c r="R809" i="8"/>
  <c r="AA4" i="14"/>
  <c r="Q257" i="1"/>
  <c r="S257" i="1"/>
  <c r="Q258" i="1"/>
  <c r="S258" i="1"/>
  <c r="Q259" i="1"/>
  <c r="S259" i="1"/>
  <c r="Q260" i="1"/>
  <c r="S260" i="1"/>
  <c r="Q261" i="1"/>
  <c r="S261" i="1"/>
  <c r="Q262" i="1"/>
  <c r="S262" i="1"/>
  <c r="Q256" i="1"/>
  <c r="S256" i="1"/>
  <c r="C86" i="6"/>
  <c r="Q238" i="1"/>
  <c r="S238" i="1"/>
  <c r="Q239" i="1"/>
  <c r="S239" i="1"/>
  <c r="Q240" i="1"/>
  <c r="S240" i="1"/>
  <c r="Q241" i="1"/>
  <c r="S241" i="1"/>
  <c r="Q242" i="1"/>
  <c r="S242" i="1"/>
  <c r="Q243" i="1"/>
  <c r="S243" i="1"/>
  <c r="Q244" i="1"/>
  <c r="S244" i="1"/>
  <c r="Q245" i="1"/>
  <c r="S245" i="1"/>
  <c r="Q246" i="1"/>
  <c r="S246" i="1"/>
  <c r="Q247" i="1"/>
  <c r="S247" i="1"/>
  <c r="Q248" i="1"/>
  <c r="S248" i="1"/>
  <c r="Q249" i="1"/>
  <c r="S249" i="1"/>
  <c r="Q250" i="1"/>
  <c r="S250" i="1"/>
  <c r="Q251" i="1"/>
  <c r="S251" i="1"/>
  <c r="Q252" i="1"/>
  <c r="S252" i="1"/>
  <c r="Q253" i="1"/>
  <c r="S253" i="1"/>
  <c r="Q254" i="1"/>
  <c r="S254" i="1"/>
  <c r="Q255" i="1"/>
  <c r="S255" i="1"/>
  <c r="E52" i="14"/>
  <c r="C52" i="14"/>
  <c r="R40" i="8"/>
  <c r="R41" i="8"/>
  <c r="R42" i="8"/>
  <c r="R43" i="8"/>
  <c r="R44" i="8"/>
  <c r="R45" i="8"/>
  <c r="R46" i="8"/>
  <c r="R47" i="8"/>
  <c r="R48" i="8"/>
  <c r="R49" i="8"/>
  <c r="C85" i="6"/>
  <c r="C84" i="6"/>
  <c r="W131" i="6" l="1"/>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1" i="6" l="1"/>
  <c r="G131" i="6" s="1"/>
  <c r="P91" i="6"/>
  <c r="G91" i="6" s="1"/>
  <c r="G32" i="38"/>
  <c r="G31" i="38"/>
  <c r="G29" i="38"/>
  <c r="G28" i="38"/>
  <c r="C82" i="6"/>
  <c r="C32" i="23"/>
  <c r="T192" i="1"/>
  <c r="T193" i="1"/>
  <c r="T191" i="1"/>
  <c r="S191" i="1"/>
  <c r="Q790" i="8"/>
  <c r="R790" i="8"/>
  <c r="Q791" i="8"/>
  <c r="R791" i="8"/>
  <c r="Q224" i="1"/>
  <c r="S224" i="1"/>
  <c r="Q225" i="1"/>
  <c r="S225" i="1"/>
  <c r="Q226" i="1"/>
  <c r="S226" i="1"/>
  <c r="Q227" i="1"/>
  <c r="S227" i="1"/>
  <c r="Q228" i="1"/>
  <c r="S228" i="1"/>
  <c r="Q229" i="1"/>
  <c r="S229" i="1"/>
  <c r="Q230" i="1"/>
  <c r="S230" i="1"/>
  <c r="Q231" i="1"/>
  <c r="S231" i="1"/>
  <c r="Q232" i="1"/>
  <c r="S232" i="1"/>
  <c r="Q233" i="1"/>
  <c r="S233" i="1"/>
  <c r="Q234" i="1"/>
  <c r="S234" i="1"/>
  <c r="Q235" i="1"/>
  <c r="S235" i="1"/>
  <c r="Q236" i="1"/>
  <c r="S236" i="1"/>
  <c r="Q237" i="1"/>
  <c r="S237" i="1"/>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Q782" i="8"/>
  <c r="Q783" i="8"/>
  <c r="Q784" i="8"/>
  <c r="Q785" i="8"/>
  <c r="Q786" i="8"/>
  <c r="Q787" i="8"/>
  <c r="Q788" i="8"/>
  <c r="Q789" i="8"/>
  <c r="L90" i="6" l="1"/>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9" i="1"/>
  <c r="S209" i="1"/>
  <c r="Q210" i="1"/>
  <c r="S210" i="1"/>
  <c r="Q211" i="1"/>
  <c r="S211" i="1"/>
  <c r="Q212" i="1"/>
  <c r="S212" i="1"/>
  <c r="Q213" i="1"/>
  <c r="S213" i="1"/>
  <c r="Q214" i="1"/>
  <c r="S214" i="1"/>
  <c r="Q215" i="1"/>
  <c r="S215" i="1"/>
  <c r="Q216" i="1"/>
  <c r="S216" i="1"/>
  <c r="Q217" i="1"/>
  <c r="S217" i="1"/>
  <c r="Q218" i="1"/>
  <c r="S218" i="1"/>
  <c r="Q219" i="1"/>
  <c r="S219" i="1"/>
  <c r="Q220" i="1"/>
  <c r="S220" i="1"/>
  <c r="Q221" i="1"/>
  <c r="S221" i="1"/>
  <c r="Q222" i="1"/>
  <c r="S222" i="1"/>
  <c r="Q223" i="1"/>
  <c r="S223"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4" i="38"/>
  <c r="J14" i="38"/>
  <c r="J12" i="38"/>
  <c r="J11" i="38"/>
  <c r="J10" i="38"/>
  <c r="J9" i="38"/>
  <c r="J8" i="38"/>
  <c r="J7" i="38"/>
  <c r="J6" i="38"/>
  <c r="G43" i="38"/>
  <c r="G41" i="38"/>
  <c r="G40" i="38"/>
  <c r="G12" i="38"/>
  <c r="G11" i="38"/>
  <c r="G30" i="38"/>
  <c r="G10" i="38" s="1"/>
  <c r="G9" i="38"/>
  <c r="G8" i="38"/>
  <c r="G27" i="38"/>
  <c r="G6" i="38"/>
  <c r="H136" i="38"/>
  <c r="H135" i="38"/>
  <c r="H134" i="38"/>
  <c r="K136" i="38"/>
  <c r="N135" i="38"/>
  <c r="M135" i="38"/>
  <c r="K135" i="38"/>
  <c r="M134" i="38"/>
  <c r="L134" i="38"/>
  <c r="K134"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34" i="38"/>
  <c r="H137" i="38"/>
  <c r="H138" i="38" s="1"/>
  <c r="J136" i="38"/>
  <c r="J135" i="38"/>
  <c r="F72" i="6"/>
  <c r="AG72" i="6"/>
  <c r="F20" i="23"/>
  <c r="J16" i="38"/>
  <c r="J15" i="38"/>
  <c r="G135" i="38"/>
  <c r="K137" i="38"/>
  <c r="K138" i="38" s="1"/>
  <c r="D25" i="40"/>
  <c r="D29" i="40"/>
  <c r="D38" i="40"/>
  <c r="D43" i="40"/>
  <c r="D16" i="40"/>
  <c r="D11" i="40"/>
  <c r="D6" i="40"/>
  <c r="D28" i="40"/>
  <c r="D34" i="40"/>
  <c r="D40" i="40"/>
  <c r="F132" i="6" l="1"/>
  <c r="L136" i="38"/>
  <c r="F85" i="6"/>
  <c r="AG85" i="6"/>
  <c r="G16" i="38"/>
  <c r="G17" i="38" s="1"/>
  <c r="J137" i="38"/>
  <c r="J132" i="38"/>
  <c r="J17" i="38"/>
  <c r="E48" i="14"/>
  <c r="J138" i="38" l="1"/>
  <c r="R643" i="8"/>
  <c r="R644" i="8"/>
  <c r="R645" i="8"/>
  <c r="R646" i="8"/>
  <c r="R647" i="8"/>
  <c r="R648" i="8"/>
  <c r="R649" i="8"/>
  <c r="R650" i="8"/>
  <c r="R651" i="8"/>
  <c r="R652" i="8"/>
  <c r="R653" i="8"/>
  <c r="R654" i="8"/>
  <c r="R655" i="8"/>
  <c r="R656" i="8"/>
  <c r="R657" i="8"/>
  <c r="R658" i="8"/>
  <c r="R659" i="8"/>
  <c r="R660" i="8"/>
  <c r="R661" i="8"/>
  <c r="R662" i="8"/>
  <c r="R663" i="8"/>
  <c r="R664" i="8"/>
  <c r="R665" i="8"/>
  <c r="R666" i="8"/>
  <c r="R642" i="8" l="1"/>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R574" i="8"/>
  <c r="R573" i="8"/>
  <c r="R572" i="8"/>
  <c r="R571" i="8"/>
  <c r="R570" i="8"/>
  <c r="R569" i="8"/>
  <c r="R568" i="8"/>
  <c r="R567" i="8"/>
  <c r="R566" i="8"/>
  <c r="R565" i="8"/>
  <c r="R564" i="8"/>
  <c r="R563" i="8"/>
  <c r="R562" i="8"/>
  <c r="R561" i="8"/>
  <c r="R560" i="8"/>
  <c r="R559" i="8"/>
  <c r="R558" i="8"/>
  <c r="R557" i="8"/>
  <c r="R556" i="8"/>
  <c r="R555" i="8"/>
  <c r="R554" i="8"/>
  <c r="R553" i="8"/>
  <c r="R552" i="8"/>
  <c r="R551" i="8"/>
  <c r="R550" i="8"/>
  <c r="R549" i="8"/>
  <c r="R548" i="8"/>
  <c r="R547" i="8"/>
  <c r="R546" i="8"/>
  <c r="R545" i="8"/>
  <c r="R544" i="8"/>
  <c r="R543" i="8"/>
  <c r="R542" i="8"/>
  <c r="R541" i="8"/>
  <c r="R540" i="8"/>
  <c r="R539" i="8"/>
  <c r="R538" i="8"/>
  <c r="R537" i="8"/>
  <c r="R536" i="8"/>
  <c r="R535" i="8"/>
  <c r="R534" i="8"/>
  <c r="R533" i="8"/>
  <c r="R532" i="8"/>
  <c r="R531" i="8"/>
  <c r="R530" i="8"/>
  <c r="R529" i="8"/>
  <c r="R528" i="8"/>
  <c r="R527" i="8"/>
  <c r="R526" i="8"/>
  <c r="R525" i="8"/>
  <c r="R524" i="8"/>
  <c r="R523" i="8"/>
  <c r="R522" i="8"/>
  <c r="R521" i="8"/>
  <c r="R520" i="8"/>
  <c r="R519" i="8"/>
  <c r="R518" i="8"/>
  <c r="R517" i="8"/>
  <c r="R516" i="8"/>
  <c r="R515" i="8"/>
  <c r="R514" i="8"/>
  <c r="R513" i="8"/>
  <c r="R512" i="8"/>
  <c r="R511" i="8"/>
  <c r="R510" i="8"/>
  <c r="R509" i="8"/>
  <c r="R508" i="8"/>
  <c r="R507" i="8"/>
  <c r="R506" i="8"/>
  <c r="R505" i="8"/>
  <c r="R504" i="8"/>
  <c r="R503" i="8"/>
  <c r="R502" i="8"/>
  <c r="R501"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464" i="8"/>
  <c r="R463" i="8"/>
  <c r="R462" i="8"/>
  <c r="R461" i="8"/>
  <c r="R460" i="8"/>
  <c r="R459" i="8"/>
  <c r="R458" i="8"/>
  <c r="R457" i="8"/>
  <c r="R456" i="8"/>
  <c r="R455" i="8"/>
  <c r="R454" i="8"/>
  <c r="R453" i="8"/>
  <c r="R452" i="8"/>
  <c r="R451" i="8"/>
  <c r="R450" i="8"/>
  <c r="R449" i="8"/>
  <c r="R448" i="8"/>
  <c r="R447" i="8"/>
  <c r="R446" i="8"/>
  <c r="R445" i="8"/>
  <c r="R444" i="8"/>
  <c r="R443" i="8"/>
  <c r="R442" i="8"/>
  <c r="R441" i="8"/>
  <c r="R440" i="8"/>
  <c r="R439" i="8"/>
  <c r="R438" i="8"/>
  <c r="R437" i="8"/>
  <c r="R436" i="8"/>
  <c r="R435" i="8"/>
  <c r="R434" i="8"/>
  <c r="R433" i="8"/>
  <c r="R432" i="8"/>
  <c r="R431" i="8"/>
  <c r="R430" i="8"/>
  <c r="R429" i="8"/>
  <c r="R428" i="8"/>
  <c r="R427" i="8"/>
  <c r="R426" i="8"/>
  <c r="R425" i="8"/>
  <c r="R424" i="8"/>
  <c r="R423" i="8"/>
  <c r="R422" i="8"/>
  <c r="R421" i="8"/>
  <c r="R420" i="8"/>
  <c r="R419" i="8"/>
  <c r="R418" i="8"/>
  <c r="R417" i="8"/>
  <c r="R416" i="8"/>
  <c r="R415" i="8"/>
  <c r="R414" i="8"/>
  <c r="R413" i="8"/>
  <c r="R412" i="8"/>
  <c r="R411" i="8"/>
  <c r="R410" i="8"/>
  <c r="R409" i="8"/>
  <c r="R408" i="8"/>
  <c r="R407" i="8"/>
  <c r="R406" i="8"/>
  <c r="R405" i="8"/>
  <c r="R404" i="8"/>
  <c r="R403" i="8"/>
  <c r="R402" i="8"/>
  <c r="R401" i="8"/>
  <c r="R400" i="8"/>
  <c r="R399" i="8"/>
  <c r="R398" i="8"/>
  <c r="R397" i="8"/>
  <c r="R396" i="8"/>
  <c r="R395" i="8"/>
  <c r="R394" i="8"/>
  <c r="R393" i="8"/>
  <c r="R392" i="8"/>
  <c r="R391" i="8"/>
  <c r="R390" i="8"/>
  <c r="R389" i="8"/>
  <c r="R388" i="8"/>
  <c r="R387" i="8"/>
  <c r="R386" i="8"/>
  <c r="R385" i="8"/>
  <c r="R384" i="8"/>
  <c r="R383" i="8"/>
  <c r="R382" i="8"/>
  <c r="R381" i="8"/>
  <c r="R380" i="8"/>
  <c r="R379" i="8"/>
  <c r="R378" i="8"/>
  <c r="R377" i="8"/>
  <c r="R376" i="8"/>
  <c r="R375" i="8"/>
  <c r="R374" i="8"/>
  <c r="R373" i="8"/>
  <c r="R372" i="8"/>
  <c r="R371" i="8"/>
  <c r="R370" i="8"/>
  <c r="R369" i="8"/>
  <c r="R368" i="8"/>
  <c r="R367" i="8"/>
  <c r="R366" i="8"/>
  <c r="R365" i="8"/>
  <c r="R364" i="8"/>
  <c r="R363" i="8"/>
  <c r="R362" i="8"/>
  <c r="R361" i="8"/>
  <c r="R360" i="8"/>
  <c r="R359" i="8"/>
  <c r="R358" i="8"/>
  <c r="R357" i="8"/>
  <c r="R356" i="8"/>
  <c r="R355" i="8"/>
  <c r="R354" i="8"/>
  <c r="R353" i="8"/>
  <c r="R352" i="8"/>
  <c r="R351" i="8"/>
  <c r="R350" i="8"/>
  <c r="R349" i="8"/>
  <c r="R348" i="8"/>
  <c r="R347" i="8"/>
  <c r="R346" i="8"/>
  <c r="R345" i="8"/>
  <c r="R344" i="8"/>
  <c r="R343" i="8"/>
  <c r="R342" i="8"/>
  <c r="R341" i="8"/>
  <c r="R340" i="8"/>
  <c r="R339" i="8"/>
  <c r="R338" i="8"/>
  <c r="R337" i="8"/>
  <c r="R336" i="8"/>
  <c r="R335" i="8"/>
  <c r="R334" i="8"/>
  <c r="R333" i="8"/>
  <c r="R332" i="8"/>
  <c r="R331" i="8"/>
  <c r="R330" i="8"/>
  <c r="R329" i="8"/>
  <c r="R328" i="8"/>
  <c r="R327" i="8"/>
  <c r="R326" i="8"/>
  <c r="R325" i="8"/>
  <c r="R324" i="8"/>
  <c r="R323" i="8"/>
  <c r="R322" i="8"/>
  <c r="R321" i="8"/>
  <c r="R320" i="8"/>
  <c r="R319" i="8"/>
  <c r="R318" i="8"/>
  <c r="R317" i="8"/>
  <c r="R316" i="8"/>
  <c r="R315" i="8"/>
  <c r="R314" i="8"/>
  <c r="R313" i="8"/>
  <c r="R312" i="8"/>
  <c r="R311" i="8"/>
  <c r="R310" i="8"/>
  <c r="R309" i="8"/>
  <c r="R308" i="8"/>
  <c r="R307" i="8"/>
  <c r="R306" i="8"/>
  <c r="R305" i="8"/>
  <c r="R304" i="8"/>
  <c r="R303" i="8"/>
  <c r="R302" i="8"/>
  <c r="R301" i="8"/>
  <c r="R300" i="8"/>
  <c r="R299" i="8"/>
  <c r="R298" i="8"/>
  <c r="R297" i="8"/>
  <c r="R296" i="8"/>
  <c r="R295" i="8"/>
  <c r="R294" i="8"/>
  <c r="R293" i="8"/>
  <c r="R292" i="8"/>
  <c r="R291" i="8"/>
  <c r="R290" i="8"/>
  <c r="R289" i="8"/>
  <c r="R288" i="8"/>
  <c r="R287" i="8"/>
  <c r="R286" i="8"/>
  <c r="R285" i="8"/>
  <c r="R284" i="8"/>
  <c r="R283" i="8"/>
  <c r="R282" i="8"/>
  <c r="R281" i="8"/>
  <c r="R280" i="8"/>
  <c r="R279" i="8"/>
  <c r="R278" i="8"/>
  <c r="R277" i="8"/>
  <c r="R276" i="8"/>
  <c r="R275" i="8"/>
  <c r="R274" i="8"/>
  <c r="R273" i="8"/>
  <c r="R272" i="8"/>
  <c r="R271" i="8"/>
  <c r="R270" i="8"/>
  <c r="R269" i="8"/>
  <c r="R268" i="8"/>
  <c r="R267" i="8"/>
  <c r="R266" i="8"/>
  <c r="R265" i="8"/>
  <c r="R264" i="8"/>
  <c r="R263" i="8"/>
  <c r="R262" i="8"/>
  <c r="R261" i="8"/>
  <c r="R260" i="8"/>
  <c r="R259" i="8"/>
  <c r="R258" i="8"/>
  <c r="R257" i="8"/>
  <c r="R256" i="8"/>
  <c r="R255" i="8"/>
  <c r="R254" i="8"/>
  <c r="R253" i="8"/>
  <c r="R252" i="8"/>
  <c r="R251" i="8"/>
  <c r="R250" i="8"/>
  <c r="R249" i="8"/>
  <c r="R248" i="8"/>
  <c r="R247" i="8"/>
  <c r="R246" i="8"/>
  <c r="R245" i="8"/>
  <c r="R244" i="8"/>
  <c r="R243" i="8"/>
  <c r="R242" i="8"/>
  <c r="R241" i="8"/>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39" i="8"/>
  <c r="R38" i="8"/>
  <c r="R37" i="8"/>
  <c r="R36" i="8"/>
  <c r="R35" i="8"/>
  <c r="R34" i="8"/>
  <c r="R33" i="8"/>
  <c r="R32" i="8"/>
  <c r="R31" i="8"/>
  <c r="R30" i="8"/>
  <c r="R29" i="8"/>
  <c r="R28" i="8"/>
  <c r="R27" i="8"/>
  <c r="R26" i="8"/>
  <c r="R25" i="8"/>
  <c r="R24" i="8"/>
  <c r="R23" i="8"/>
  <c r="R22" i="8"/>
  <c r="R21" i="8"/>
  <c r="R20" i="8"/>
  <c r="R19" i="8"/>
  <c r="R18" i="8"/>
  <c r="R17" i="8"/>
  <c r="R16" i="8"/>
  <c r="R15" i="8"/>
  <c r="R14" i="8"/>
  <c r="R13" i="8"/>
  <c r="R12" i="8"/>
  <c r="R11" i="8"/>
  <c r="R10" i="8"/>
  <c r="R9" i="8"/>
  <c r="R8" i="8"/>
  <c r="R7" i="8"/>
  <c r="R6" i="8"/>
  <c r="R5" i="8"/>
  <c r="R4" i="8"/>
  <c r="R3" i="8"/>
  <c r="M16" i="38" l="1"/>
  <c r="L15" i="38"/>
  <c r="N132" i="38"/>
  <c r="F12" i="38"/>
  <c r="F9" i="38"/>
  <c r="F137" i="38"/>
  <c r="F138"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6" i="38" l="1"/>
  <c r="N134" i="38"/>
  <c r="N136" i="38"/>
  <c r="G42" i="38"/>
  <c r="G45" i="38" s="1"/>
  <c r="E14" i="38"/>
  <c r="L9" i="38"/>
  <c r="L135" i="38"/>
  <c r="L137" i="38" s="1"/>
  <c r="L138" i="38" s="1"/>
  <c r="M14" i="38"/>
  <c r="M17" i="38" s="1"/>
  <c r="I14" i="38"/>
  <c r="I15" i="38"/>
  <c r="F7" i="38"/>
  <c r="Y1" i="36"/>
  <c r="F22" i="37"/>
  <c r="G132" i="38" l="1"/>
  <c r="G142" i="38" s="1"/>
  <c r="E137" i="38"/>
  <c r="E138" i="38" s="1"/>
  <c r="G136" i="38"/>
  <c r="M45" i="38"/>
  <c r="M136" i="38"/>
  <c r="M137" i="38" s="1"/>
  <c r="E15" i="38"/>
  <c r="N137" i="38"/>
  <c r="N138" i="38" s="1"/>
  <c r="X1" i="6"/>
  <c r="F16" i="38"/>
  <c r="F17" i="38" s="1"/>
  <c r="L14" i="38"/>
  <c r="L17" i="38" s="1"/>
  <c r="N16" i="38"/>
  <c r="N17" i="38" s="1"/>
  <c r="G137" i="38" l="1"/>
  <c r="G138" i="38" s="1"/>
  <c r="M132" i="38"/>
  <c r="M138"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H53" i="6" s="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Q129" i="6" l="1"/>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3" i="24" l="1"/>
  <c r="Q44" i="24"/>
  <c r="Q41" i="24"/>
  <c r="Q42" i="24"/>
  <c r="Q196" i="1"/>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6" i="1"/>
  <c r="S206" i="1"/>
  <c r="Q207" i="1"/>
  <c r="S207" i="1"/>
  <c r="Q208" i="1"/>
  <c r="S208"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S200" i="1"/>
  <c r="S201" i="1"/>
  <c r="S202" i="1"/>
  <c r="S203" i="1"/>
  <c r="S204" i="1"/>
  <c r="S205" i="1"/>
  <c r="Q205" i="1"/>
  <c r="Q204" i="1"/>
  <c r="Q203" i="1"/>
  <c r="Q202" i="1"/>
  <c r="Q201" i="1"/>
  <c r="Q200" i="1"/>
  <c r="Q199" i="1"/>
  <c r="Q198" i="1"/>
  <c r="Q197" i="1"/>
  <c r="Q195" i="1"/>
  <c r="Q194" i="1"/>
  <c r="Q193" i="1"/>
  <c r="Q192" i="1"/>
  <c r="Q781" i="8"/>
  <c r="Q780" i="8"/>
  <c r="Q779" i="8"/>
  <c r="Q778" i="8"/>
  <c r="Q777" i="8"/>
  <c r="Q776" i="8"/>
  <c r="Q775" i="8"/>
  <c r="Q774" i="8"/>
  <c r="Q773" i="8"/>
  <c r="Q772" i="8"/>
  <c r="Q771" i="8"/>
  <c r="Q770" i="8"/>
  <c r="Q769" i="8"/>
  <c r="Q768" i="8"/>
  <c r="Q767" i="8"/>
  <c r="Q766" i="8"/>
  <c r="Q765" i="8"/>
  <c r="Q764" i="8"/>
  <c r="Q763" i="8"/>
  <c r="Q762" i="8"/>
  <c r="Q761" i="8"/>
  <c r="Q760" i="8"/>
  <c r="Q759" i="8"/>
  <c r="Q758" i="8"/>
  <c r="Q757"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32" i="38"/>
  <c r="I142" i="38" l="1"/>
  <c r="I138"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<sst xmlns="http://schemas.openxmlformats.org/spreadsheetml/2006/main" count="15297" uniqueCount="925">
  <si>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</si>
  <si>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</si>
  <si>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</si>
  <si>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</si>
  <si>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</si>
  <si>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</si>
  <si>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</si>
  <si>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</si>
  <si>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</si>
  <si>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</si>
  <si>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</si>
  <si>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</si>
  <si>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</si>
  <si>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</si>
  <si>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</si>
  <si>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</si>
  <si>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</si>
  <si>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</si>
  <si>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</si>
  <si>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</si>
  <si>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</si>
  <si>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</si>
  <si>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</si>
  <si>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</si>
  <si>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</si>
  <si>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</si>
  <si>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</si>
  <si>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</si>
  <si>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</si>
  <si>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</si>
  <si>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</si>
  <si>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</si>
  <si>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</si>
  <si>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</si>
  <si>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</si>
  <si>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</si>
  <si>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</si>
  <si>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</si>
  <si>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</si>
  <si>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</si>
  <si>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</si>
  <si>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</si>
  <si>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</si>
  <si>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</si>
  <si>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</si>
  <si>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</si>
  <si>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</si>
  <si>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</si>
  <si>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</si>
  <si>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</si>
  <si>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</si>
  <si>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</si>
  <si>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</si>
  <si>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</si>
  <si>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</si>
  <si>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</si>
  <si>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</si>
  <si>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</si>
  <si>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</si>
  <si>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</si>
  <si>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</si>
  <si>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</si>
  <si>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</si>
  <si>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</si>
  <si>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</si>
  <si>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</si>
  <si>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</si>
  <si>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</si>
  <si>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</si>
  <si>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</si>
  <si>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</si>
  <si>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</si>
  <si>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</si>
  <si>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</si>
  <si>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</si>
  <si>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</si>
  <si>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</si>
  <si>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</si>
  <si>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</si>
  <si>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</si>
  <si>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</si>
  <si>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</si>
  <si>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</si>
  <si>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</si>
  <si>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</si>
  <si>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</si>
  <si>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</si>
  <si>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</si>
  <si>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02.599.378/0001-89</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</si>
  <si>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</si>
  <si>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</si>
  <si>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</si>
  <si>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</si>
  <si>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</si>
  <si>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</si>
  <si>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</si>
  <si>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</si>
  <si>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</si>
  <si>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</si>
  <si>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</si>
  <si>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</si>
  <si>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</si>
  <si>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</si>
  <si>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</si>
  <si>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</si>
  <si>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</si>
  <si>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</si>
  <si>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</si>
  <si>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</si>
  <si>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</si>
  <si>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</si>
  <si>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</si>
  <si>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</si>
  <si>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</si>
  <si>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</si>
  <si>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</si>
  <si>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</si>
  <si>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</si>
  <si>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</si>
  <si>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</si>
  <si>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</si>
  <si>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</si>
  <si>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</si>
  <si>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</si>
  <si>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</si>
  <si>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</si>
  <si>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</si>
  <si>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</si>
  <si>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</si>
  <si>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</si>
  <si>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</si>
  <si>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</si>
  <si>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</si>
  <si>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</si>
  <si>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</si>
  <si>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</si>
  <si>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</si>
  <si>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</si>
  <si>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</si>
  <si>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</si>
  <si>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</si>
  <si>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</si>
  <si>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</si>
  <si>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</si>
  <si>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</si>
  <si>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</si>
  <si>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</si>
  <si>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</si>
  <si>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</si>
  <si>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</si>
  <si>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</si>
  <si>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</si>
  <si>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</si>
  <si>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</si>
  <si>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</si>
  <si>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</si>
  <si>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</si>
  <si>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</si>
  <si>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</si>
  <si>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</si>
  <si>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</si>
  <si>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</si>
  <si>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</si>
  <si>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</si>
  <si>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</si>
  <si>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</si>
  <si>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</si>
  <si>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</si>
  <si>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</si>
  <si>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</si>
  <si>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</si>
  <si>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</si>
  <si>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</si>
  <si>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</si>
  <si>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</si>
  <si>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</si>
  <si>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</si>
  <si>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</si>
  <si>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</si>
  <si>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</si>
  <si>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</si>
  <si>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</si>
  <si>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</si>
  <si>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</si>
  <si>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</si>
  <si>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</si>
  <si>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</si>
  <si>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</si>
  <si>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</si>
  <si>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</si>
  <si>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</si>
  <si>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</si>
  <si>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</si>
  <si>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</si>
  <si>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</si>
  <si>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</si>
  <si>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</si>
  <si>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</si>
  <si>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</si>
  <si>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</si>
  <si>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</si>
  <si>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</si>
  <si>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</si>
  <si>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</si>
  <si>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</si>
  <si>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</si>
  <si>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</si>
  <si>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</si>
  <si>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</si>
  <si>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</si>
  <si>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</si>
  <si>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</si>
  <si>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</si>
  <si>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</si>
  <si>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</si>
  <si>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</si>
  <si>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</si>
  <si>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</si>
  <si>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</si>
  <si>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</si>
  <si>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</si>
  <si>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</si>
  <si>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</si>
  <si>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</si>
  <si>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</si>
  <si>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</si>
  <si>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</si>
  <si>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</si>
  <si>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</si>
  <si>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</si>
  <si>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</si>
  <si>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</si>
  <si>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</si>
  <si>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</si>
  <si>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</si>
  <si>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</si>
  <si>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</si>
  <si>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</si>
  <si>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</si>
  <si>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</si>
  <si>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</si>
  <si>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</si>
  <si>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</si>
  <si>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</si>
  <si>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</si>
  <si>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</si>
  <si>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</si>
  <si>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</si>
  <si>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</si>
  <si>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</si>
  <si>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</si>
  <si>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</si>
  <si>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</si>
  <si>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</si>
  <si>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</si>
  <si>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</si>
  <si>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</si>
  <si>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</si>
  <si>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</si>
  <si>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</si>
  <si>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</si>
  <si>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</si>
  <si>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</si>
  <si>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</si>
  <si>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</si>
  <si>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</si>
  <si>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</si>
  <si>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</si>
  <si>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</si>
  <si>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</si>
  <si>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</si>
  <si>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</si>
  <si>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</si>
  <si>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</si>
  <si>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</si>
  <si>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</si>
  <si>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</si>
  <si>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</si>
  <si>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</si>
  <si>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</si>
  <si>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</si>
  <si>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</si>
  <si>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</si>
  <si>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</si>
  <si>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</si>
  <si>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</si>
  <si>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</si>
  <si>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</si>
  <si>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</si>
  <si>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</si>
  <si>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</si>
  <si>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</si>
  <si>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</si>
  <si>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</si>
  <si>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</si>
  <si>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</si>
  <si>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</si>
  <si>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</si>
  <si>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</si>
  <si>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</si>
  <si>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</si>
  <si>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</si>
  <si>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</si>
  <si>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</si>
  <si>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</si>
  <si>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</si>
  <si>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</si>
  <si>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</si>
  <si>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</si>
  <si>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</si>
  <si>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</si>
  <si>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</si>
  <si>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</si>
  <si>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</si>
  <si>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</si>
  <si>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</si>
  <si>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</si>
  <si>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</si>
  <si>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</si>
  <si>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</si>
  <si>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</si>
  <si>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</si>
  <si>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</si>
  <si>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</si>
  <si>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</si>
  <si>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</si>
  <si>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</si>
  <si>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</si>
  <si>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</si>
  <si>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</si>
  <si>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</si>
  <si>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</si>
  <si>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</si>
  <si>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</si>
  <si>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</si>
  <si>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</si>
  <si>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</si>
  <si>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</si>
  <si>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</si>
  <si>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</si>
  <si>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</si>
  <si>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</si>
  <si>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</si>
  <si>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</si>
  <si>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</si>
  <si>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</si>
  <si>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</si>
  <si>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</si>
  <si>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</si>
  <si>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</si>
  <si>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</si>
  <si>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</si>
  <si>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</si>
  <si>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</si>
  <si>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</si>
  <si>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</si>
  <si>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</si>
  <si>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</si>
  <si>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</si>
  <si>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</si>
  <si>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</si>
  <si>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</si>
  <si>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</si>
  <si>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</si>
  <si>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</si>
  <si>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</si>
  <si>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</si>
  <si>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</si>
  <si>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</si>
  <si>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</si>
  <si>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</si>
  <si>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</si>
  <si>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</si>
  <si>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</si>
  <si>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</si>
  <si>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</si>
  <si>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</si>
  <si>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</si>
  <si>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</si>
  <si>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</si>
  <si>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</si>
  <si>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</si>
  <si>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</si>
  <si>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</si>
  <si>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</si>
  <si>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</si>
  <si>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</si>
  <si>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</si>
  <si>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</si>
  <si>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</si>
  <si>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</si>
  <si>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</si>
  <si>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</si>
  <si>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</si>
  <si>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</si>
  <si>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</si>
  <si>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</si>
  <si>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</si>
  <si>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</si>
  <si>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</si>
  <si>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</si>
  <si>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</si>
  <si>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</si>
  <si>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</si>
  <si>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</si>
  <si>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</si>
  <si>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</si>
  <si>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</si>
  <si>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</si>
  <si>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</si>
  <si>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</si>
  <si>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</si>
  <si>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</si>
  <si>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</si>
  <si>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</si>
  <si>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</si>
  <si>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</si>
  <si>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</si>
  <si>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</si>
  <si>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</si>
  <si>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</si>
  <si>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</si>
  <si>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</si>
  <si>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</si>
  <si>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</si>
  <si>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</si>
  <si>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</si>
  <si>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</si>
  <si>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</si>
  <si>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</si>
  <si>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</si>
  <si>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</si>
  <si>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</si>
  <si>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</si>
  <si>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</si>
  <si>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</si>
  <si>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</si>
  <si>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</si>
  <si>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</si>
  <si>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</si>
  <si>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</si>
  <si>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</si>
  <si>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</si>
  <si>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</si>
  <si>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</si>
  <si>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</si>
  <si>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</si>
  <si>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</si>
  <si>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</si>
  <si>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</si>
  <si>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</si>
  <si>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</si>
  <si>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</si>
  <si>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</si>
  <si>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</si>
  <si>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</si>
  <si>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</si>
  <si>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</si>
  <si>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</si>
  <si>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</si>
  <si>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</si>
  <si>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</si>
  <si>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CLIENTE APRESENTA NO RELATÓRIO DE ANÁLISE UM RISCO DE MÉDIO PARA BAIXO</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</si>
  <si>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</si>
  <si>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</si>
  <si>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</si>
  <si>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</si>
  <si>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cliente startup</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</si>
  <si>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</si>
  <si>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</si>
  <si>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</si>
  <si>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</si>
  <si>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</si>
  <si>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</si>
  <si>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</si>
  <si>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</si>
  <si>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</si>
  <si>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</si>
  <si>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</si>
  <si>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</si>
  <si>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</si>
  <si>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</si>
  <si>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</si>
  <si>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</si>
  <si>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</si>
  <si>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</si>
  <si>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</si>
  <si>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</si>
  <si>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</si>
  <si>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</si>
  <si>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</si>
  <si>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</si>
  <si>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</si>
  <si>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</si>
  <si>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</si>
  <si>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</si>
  <si>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</si>
  <si>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</si>
  <si>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506.629.459-72</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</si>
  <si>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</si>
  <si>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</si>
  <si>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</si>
  <si>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</si>
  <si>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</si>
  <si>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</si>
  <si>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</si>
  <si>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</si>
  <si>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</si>
  <si>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</si>
  <si>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</si>
  <si>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</si>
  <si>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</si>
  <si>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</si>
  <si>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</si>
  <si>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</si>
  <si>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</si>
  <si>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</si>
  <si>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</si>
  <si>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</si>
  <si>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</si>
  <si>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</si>
  <si>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</si>
  <si>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</si>
  <si>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</si>
  <si>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</si>
  <si>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</si>
  <si>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</si>
  <si>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</si>
  <si>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</si>
  <si>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</si>
  <si>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</si>
  <si>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</si>
  <si>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</si>
  <si>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</si>
  <si>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</si>
  <si>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</si>
  <si>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</si>
  <si>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</si>
  <si>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</si>
  <si>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</si>
  <si>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</si>
  <si>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</si>
  <si>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</si>
  <si>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</si>
  <si>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</si>
  <si>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</si>
  <si>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</si>
  <si>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</si>
  <si>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</si>
  <si>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</si>
  <si>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</si>
  <si>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</si>
  <si>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</si>
  <si>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</si>
  <si>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</si>
  <si>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</si>
  <si>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</si>
  <si>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</si>
  <si>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</si>
  <si>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</si>
  <si>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</si>
  <si>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</si>
  <si>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</si>
  <si>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</si>
  <si>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</si>
  <si>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</si>
  <si>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</si>
  <si>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</si>
  <si>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</si>
  <si>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</si>
  <si>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</si>
  <si>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</si>
  <si>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</si>
  <si>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</si>
  <si>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</si>
  <si>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</si>
  <si>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</si>
  <si>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</si>
  <si>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</si>
  <si>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</si>
  <si>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</si>
  <si>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</si>
  <si>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</si>
  <si>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</si>
  <si>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</si>
  <si>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</si>
  <si>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</si>
  <si>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</si>
  <si>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</si>
  <si>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</si>
  <si>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</si>
  <si>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</si>
  <si>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por Bruno Merlino após analise de credito.</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</si>
  <si>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</si>
  <si>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</si>
  <si>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</si>
  <si>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</si>
  <si>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</si>
  <si>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</si>
  <si>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</si>
  <si>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</si>
  <si>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</si>
  <si>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</si>
  <si>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</si>
  <si>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</si>
  <si>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</si>
  <si>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</si>
  <si>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</si>
  <si>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</si>
  <si>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</si>
  <si>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</si>
  <si>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</si>
  <si>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</si>
  <si>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</si>
  <si>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</si>
  <si>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</si>
  <si>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</si>
  <si>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</si>
  <si>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</si>
  <si>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</si>
  <si>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</si>
  <si>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</si>
  <si>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</si>
  <si>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</si>
  <si>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</si>
  <si>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</si>
  <si>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</si>
  <si>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</si>
  <si>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</si>
  <si>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LIBERAÇÃO DE CLIENTE AURORA MINERAÇÃO LTDA.</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</si>
  <si>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</si>
  <si>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</si>
  <si>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</si>
  <si>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</si>
  <si>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</si>
  <si>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</si>
  <si>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</si>
  <si>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</si>
  <si>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</si>
  <si>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</si>
  <si>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</si>
  <si>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</si>
  <si>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</si>
  <si>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</si>
  <si>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</si>
  <si>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</si>
  <si>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</si>
  <si>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</si>
  <si>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</si>
  <si>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</si>
  <si>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</si>
  <si>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</si>
  <si>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</si>
  <si>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</si>
  <si>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</si>
  <si>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</si>
  <si>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</si>
  <si>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</si>
  <si>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</si>
  <si>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</si>
  <si>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</si>
  <si>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Classificado como risco médio [6]
Trata-se de cliente sem histórico de relacionamento com a ADFERT e sem informações de comportamento com fornecedores no mercado. Porém, não possui anotações negativas.
Possui bom tempo de experiência no AGRO com boa capacidade de gestão de seus negócios.
O que chama a atenção, neste caso, é o alto grau de endividamento, comparado com seu patrimônio, tendo apresentado um crescimento da dívida em 2023 um pouco acima do crescimento da receita.
Com esse perfil de risco consideramos o cliente elegível a crédito.
Limite clean aprovado no valor de R$500.000,00 no dia 10/12/2024.
(LIMITE CONCEDIDO COM PRAZO DE 389 DIAS PARA PAGAMENTO.)</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</si>
  <si>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</si>
  <si>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</si>
  <si>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</si>
  <si>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</si>
  <si>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</si>
  <si>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</si>
  <si>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</si>
  <si>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</si>
  <si>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</si>
  <si>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</si>
  <si>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</si>
  <si>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</si>
  <si>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</si>
  <si>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</si>
  <si>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</si>
  <si>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</si>
  <si>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</si>
  <si>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</si>
  <si>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</si>
  <si>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</si>
  <si>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</si>
  <si>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</si>
  <si>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</si>
  <si>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</si>
  <si>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</si>
  <si>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</si>
  <si>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</si>
  <si>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</si>
  <si>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</si>
  <si>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</si>
  <si>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</si>
  <si>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</si>
  <si>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</si>
  <si>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41.841.473/0001-07</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</si>
  <si>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</si>
  <si>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</si>
  <si>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</si>
  <si>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</si>
  <si>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</si>
  <si>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</si>
  <si>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</si>
  <si>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</si>
  <si>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</si>
  <si>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</si>
  <si>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</si>
  <si>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</si>
  <si>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</si>
  <si>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</si>
  <si>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</si>
  <si>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</si>
  <si>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limite renovado pela seguradora 100.000,00 USD
Taxa de Câmbio utilizada: R$5,50 -&gt;R$550.000,00</t>
  </si>
  <si>
    <t>JOSE FRANCISCO PIRES DE SOUZA</t>
  </si>
  <si>
    <t>02.119.258/0002-18</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</si>
  <si>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</si>
  <si>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</si>
  <si>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</si>
  <si>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</si>
  <si>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</si>
  <si>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</si>
  <si>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</si>
  <si>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</si>
  <si>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CONCIDIDO DE ACORDO COM VALOR PRE APROVADO PELA FARM TECH</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</si>
  <si>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</si>
  <si>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</si>
  <si>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</si>
  <si>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</si>
  <si>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</si>
  <si>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</si>
  <si>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</si>
  <si>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</si>
  <si>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</si>
  <si>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</si>
  <si>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</si>
  <si>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</si>
  <si>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</si>
  <si>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</si>
  <si>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</si>
  <si>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</si>
  <si>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074.797.366-06</t>
  </si>
  <si>
    <t>VENDA DE IMOBILIZADO</t>
  </si>
  <si>
    <t>RODRIGO ESTAQUINI</t>
  </si>
  <si>
    <t>SYLVIA MARTINS DOMINGOS</t>
  </si>
  <si>
    <t>PARANAGRAN - IND E COM DE FERTILIZANTES</t>
  </si>
  <si>
    <t>NUTRIENTES IND DE FERTILIZANTES LTDA</t>
  </si>
  <si>
    <t>SAGRA - PIUMHI</t>
  </si>
  <si>
    <t>01.391.790/0013-80</t>
  </si>
  <si>
    <t>02.077.618/0002-66</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</si>
  <si>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</si>
  <si>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</si>
  <si>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</si>
  <si>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</si>
  <si>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</si>
  <si>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</si>
  <si>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</si>
  <si>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</si>
  <si>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</si>
  <si>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</si>
  <si>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</si>
  <si>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</si>
  <si>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</si>
  <si>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</si>
  <si>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</si>
  <si>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</si>
  <si>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</si>
  <si>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</si>
  <si>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</si>
  <si>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</si>
  <si>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</si>
  <si>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</si>
  <si>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CONCEDIDO PELA FARM TECH</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</si>
  <si>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</si>
  <si>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</si>
  <si>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</si>
  <si>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</si>
  <si>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</si>
  <si>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</si>
  <si>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</si>
  <si>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</si>
  <si>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</si>
  <si>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</si>
  <si>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</si>
  <si>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</si>
  <si>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</si>
  <si>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</si>
  <si>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</si>
  <si>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</si>
  <si>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</si>
  <si>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</si>
  <si>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</si>
  <si>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</si>
  <si>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</si>
  <si>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</si>
  <si>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</si>
  <si>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</si>
  <si>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058.245.426-35</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</si>
  <si>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</si>
  <si>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</si>
  <si>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</si>
  <si>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</si>
  <si>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</si>
  <si>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</si>
  <si>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</si>
  <si>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</si>
  <si>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</si>
  <si>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</si>
  <si>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</si>
  <si>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</si>
  <si>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</si>
  <si>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</si>
  <si>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</si>
  <si>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</si>
  <si>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</si>
  <si>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73.674.202/0002-73</t>
  </si>
  <si>
    <t>LUCAS DA CONCEIÇÃO CASSIMIRO</t>
  </si>
  <si>
    <t>077.998.984-88</t>
  </si>
  <si>
    <t>JOSE ROBERTO DOS SANTOS SILVA JUNIOR</t>
  </si>
  <si>
    <t>005.677.811-27</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</si>
  <si>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</si>
  <si>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</si>
  <si>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</si>
  <si>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</si>
  <si>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</si>
  <si>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</si>
  <si>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</si>
  <si>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</si>
  <si>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</si>
  <si>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</si>
  <si>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</si>
  <si>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</si>
  <si>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</si>
  <si>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</si>
  <si>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</si>
  <si>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</si>
  <si>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</si>
  <si>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</si>
  <si>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</si>
  <si>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</si>
  <si>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</si>
  <si>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</si>
  <si>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</si>
  <si>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</si>
  <si>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</si>
  <si>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</si>
  <si>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</si>
  <si>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23.673.309/0002-29</t>
  </si>
  <si>
    <t>AUREN COMERCIALIZADORA DE ENERGIA LTDA</t>
  </si>
  <si>
    <t>84.046.101/0542-85</t>
  </si>
  <si>
    <t>04.479.608/0004-44</t>
  </si>
  <si>
    <t>MOSAIC - CUBATÃO</t>
  </si>
  <si>
    <t>61.156.501/0099-60</t>
  </si>
  <si>
    <t>03.306.578/0069-57</t>
  </si>
  <si>
    <t>GOTLAND EQUADOR (SOLINAG)</t>
  </si>
  <si>
    <t>19.512.950/9001-</t>
  </si>
  <si>
    <t>ANDRESSA CAROLINA SILVA RODRIGUES</t>
  </si>
  <si>
    <t>096.141.946-69</t>
  </si>
  <si>
    <t>MOSAIC - PALMEIRANTE</t>
  </si>
  <si>
    <t>61.156.501/0208-58</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</si>
  <si>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</si>
  <si>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</si>
  <si>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</si>
  <si>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</si>
  <si>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</si>
  <si>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</si>
  <si>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</si>
  <si>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</si>
  <si>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</si>
  <si>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</si>
  <si>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</si>
  <si>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</si>
  <si>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 xml:space="preserve">Feb - 2026 - Sale of fixed assets to employees (chairs, desks etc) </t>
  </si>
  <si>
    <t>Jan - 2026 The client paid 50% of the amount in January 2026; the remainder will be paid in March.</t>
  </si>
  <si>
    <t>83.052.407/0003-51</t>
  </si>
  <si>
    <t>05.571.228/0003-17</t>
  </si>
  <si>
    <t>47.067.525/0215-39</t>
  </si>
  <si>
    <t>87.249.561/0020-70</t>
  </si>
  <si>
    <t>ELYMAR JOSE DA SILVA FERREIRA</t>
  </si>
  <si>
    <t>053.438.381-54</t>
  </si>
  <si>
    <t>MARCELO MARQUES COBRA - PESSOA FISICA</t>
  </si>
  <si>
    <t>073.734.916-69</t>
  </si>
  <si>
    <t>01.094.764/0002-37</t>
  </si>
  <si>
    <t>26.840.997/0001-81</t>
  </si>
  <si>
    <t>49.998.028/0001-59</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</si>
  <si>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</si>
  <si>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</si>
  <si>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</si>
  <si>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</si>
  <si>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</si>
  <si>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</si>
  <si>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</si>
  <si>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</si>
  <si>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</si>
  <si>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</si>
  <si>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</si>
  <si>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</si>
  <si>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</si>
  <si>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</si>
  <si>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</si>
  <si>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</si>
  <si>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</si>
  <si>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</si>
  <si>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</si>
  <si>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</si>
  <si>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</si>
  <si>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</si>
  <si>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</si>
  <si>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</si>
  <si>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13.341.380/0001-70</t>
  </si>
  <si>
    <t>HERINGER - PARANAGUÁ</t>
  </si>
  <si>
    <t>87.456.562/0006-37</t>
  </si>
  <si>
    <t>04.987.734/0001-67</t>
  </si>
  <si>
    <t>96.449.533/0001-24</t>
  </si>
  <si>
    <t>BANCO SUMITOMO MITSUI BRASILEIRO S.A.</t>
  </si>
  <si>
    <t>60.518.222/0001-22</t>
  </si>
  <si>
    <t>RENDIMENTOS DE APLICAÇÃO FINANCEIRA-ADF</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</si>
  <si>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</si>
  <si>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</si>
  <si>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</si>
  <si>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</si>
  <si>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</si>
  <si>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Receivables as on 31th Mar 26</t>
  </si>
  <si>
    <t xml:space="preserve">March - 2026 - Sale of fixed assets to employees (chairs, desks etc) </t>
  </si>
  <si>
    <t xml:space="preserve">March - 2026 - </t>
  </si>
  <si>
    <t>Total Over Due in Litigation (TOP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</si>
</sst>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s>
  <fonts count="50"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b/>
      <sz val="10"/>
      <color rgb="FFFF000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s>
  <fills count="17">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1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4"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cellStyleXfs>
  <cellXfs count="431">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32" fillId="11" borderId="0" xfId="0" applyFont="1" applyFill="1"/>
    <xf numFmtId="0" fontId="24" fillId="11" borderId="0" xfId="0" applyFont="1" applyFill="1"/>
    <xf numFmtId="0" fontId="36" fillId="11" borderId="0" xfId="0" applyFont="1" applyFill="1"/>
    <xf numFmtId="0" fontId="39"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43" fontId="41" fillId="11" borderId="0" xfId="1" applyFont="1" applyFill="1" applyAlignment="1">
      <alignment vertical="center" wrapText="1"/>
    </xf>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0" fontId="24" fillId="11" borderId="0" xfId="0" applyFont="1" applyFill="1" applyAlignment="1">
      <alignment horizontal="center"/>
    </xf>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0" fontId="18" fillId="3" borderId="6" xfId="0" applyFont="1" applyFill="1" applyBorder="1" applyAlignment="1">
      <alignment horizontal="center" vertical="center" wrapText="1"/>
    </xf>
    <xf numFmtId="0" fontId="18" fillId="3" borderId="6" xfId="0" applyFont="1" applyFill="1" applyBorder="1" applyAlignment="1">
      <alignment horizontal="center"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0" fontId="18" fillId="3" borderId="0" xfId="0" applyFont="1" applyFill="1" applyAlignment="1">
      <alignment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5"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7"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48" fillId="0" borderId="0" xfId="1" applyNumberFormat="1" applyFont="1"/>
    <xf numFmtId="171" fontId="49"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43" fontId="24" fillId="0" borderId="4" xfId="1" applyFont="1" applyBorder="1" applyAlignment="1">
      <alignment horizontal="center"/>
    </xf>
    <xf numFmtId="43" fontId="24" fillId="0" borderId="4" xfId="1" applyFont="1" applyBorder="1"/>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5"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0" fontId="24" fillId="0" borderId="4" xfId="0" applyFont="1" applyBorder="1"/>
    <xf numFmtId="165" fontId="24" fillId="11" borderId="0" xfId="0" applyNumberFormat="1" applyFont="1" applyFill="1" applyAlignment="1">
      <alignment vertical="center"/>
    </xf>
    <xf numFmtId="0" fontId="45" fillId="13" borderId="0" xfId="0" applyFont="1" applyFill="1" applyAlignment="1">
      <alignment vertical="center"/>
    </xf>
    <xf numFmtId="165" fontId="45" fillId="13" borderId="0" xfId="0" applyNumberFormat="1" applyFont="1" applyFill="1" applyAlignment="1">
      <alignment vertical="center"/>
    </xf>
    <xf numFmtId="165" fontId="45" fillId="16" borderId="0" xfId="0" applyNumberFormat="1" applyFont="1" applyFill="1" applyAlignment="1">
      <alignment vertical="center"/>
    </xf>
    <xf numFmtId="165" fontId="45" fillId="14" borderId="0" xfId="0" applyNumberFormat="1" applyFont="1" applyFill="1" applyAlignment="1">
      <alignment vertical="center"/>
    </xf>
    <xf numFmtId="165" fontId="45" fillId="11" borderId="0" xfId="0" applyNumberFormat="1" applyFont="1" applyFill="1" applyAlignment="1">
      <alignment vertical="center"/>
    </xf>
    <xf numFmtId="165" fontId="45" fillId="11" borderId="6" xfId="0" applyNumberFormat="1" applyFont="1" applyFill="1" applyBorder="1" applyAlignment="1">
      <alignment vertical="center"/>
    </xf>
    <xf numFmtId="165" fontId="45"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5" fillId="14" borderId="20" xfId="0" applyNumberFormat="1" applyFont="1" applyFill="1" applyBorder="1" applyAlignment="1">
      <alignment vertical="center"/>
    </xf>
    <xf numFmtId="0" fontId="44"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8" fontId="24" fillId="0" borderId="4" xfId="1" applyNumberFormat="1" applyFont="1" applyBorder="1"/>
    <xf numFmtId="165" fontId="24" fillId="16" borderId="0" xfId="1" applyNumberFormat="1" applyFont="1" applyFill="1" applyBorder="1" applyAlignment="1">
      <alignment vertical="center"/>
    </xf>
    <xf numFmtId="0" fontId="46"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0" fontId="32" fillId="11" borderId="0" xfId="0" applyNumberFormat="1" applyFont="1" applyFill="1"/>
    <xf numFmtId="0" fontId="36" fillId="11" borderId="4" xfId="0" applyFont="1" applyFill="1" applyBorder="1"/>
    <xf numFmtId="166" fontId="36" fillId="11" borderId="4" xfId="0" applyNumberFormat="1" applyFont="1" applyFill="1" applyBorder="1"/>
    <xf numFmtId="0" fontId="36" fillId="11" borderId="4" xfId="0" applyFont="1" applyFill="1" applyBorder="1" applyAlignment="1">
      <alignment horizontal="center" vertical="center"/>
    </xf>
    <xf numFmtId="169" fontId="0" fillId="0" borderId="0" xfId="0" applyNumberFormat="1" applyAlignment="1">
      <alignment horizontal="left"/>
    </xf>
    <xf numFmtId="22" fontId="0" fillId="0" borderId="0" xfId="0" applyNumberFormat="1" applyAlignment="1">
      <alignment horizontal="left"/>
    </xf>
    <xf numFmtId="165" fontId="29" fillId="11" borderId="4" xfId="6" quotePrefix="1" applyNumberFormat="1" applyFont="1" applyFill="1" applyBorder="1" applyAlignment="1">
      <alignment horizontal="left" vertical="center"/>
    </xf>
    <xf numFmtId="43" fontId="35" fillId="0" borderId="0" xfId="1" applyFont="1"/>
    <xf numFmtId="165" fontId="1" fillId="0" borderId="0" xfId="1" applyNumberFormat="1" applyFont="1" applyAlignment="1">
      <alignment vertical="center"/>
    </xf>
    <xf numFmtId="0" fontId="27" fillId="11" borderId="0" xfId="7" applyFont="1" applyFill="1" applyAlignment="1">
      <alignment horizontal="left" vertical="center" wrapText="1"/>
    </xf>
    <xf numFmtId="0" fontId="10" fillId="11" borderId="0" xfId="14" applyFill="1" applyAlignment="1">
      <alignment horizontal="left" vertical="center"/>
    </xf>
    <xf numFmtId="49" fontId="29" fillId="11" borderId="4" xfId="6" applyNumberFormat="1" applyFont="1" applyFill="1" applyBorder="1" applyAlignment="1">
      <alignment horizontal="left" vertical="center" wrapText="1"/>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27" fillId="7" borderId="0" xfId="7" applyFont="1" applyFill="1" applyAlignment="1">
      <alignment horizontal="left" vertical="center" wrapText="1"/>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18" fillId="3" borderId="9" xfId="1" applyNumberFormat="1" applyFont="1" applyFill="1" applyBorder="1" applyAlignment="1">
      <alignment horizontal="center" vertical="center"/>
    </xf>
    <xf numFmtId="0" fontId="24" fillId="11" borderId="13" xfId="0" applyFont="1" applyFill="1" applyBorder="1" applyAlignment="1">
      <alignment horizontal="center" vertical="center"/>
    </xf>
    <xf numFmtId="0" fontId="24" fillId="11" borderId="0" xfId="0" applyFont="1" applyFill="1" applyAlignment="1">
      <alignment horizontal="center" vertical="center"/>
    </xf>
    <xf numFmtId="0" fontId="33" fillId="0" borderId="0" xfId="0" applyFont="1" applyAlignment="1">
      <alignment horizontal="right" wrapText="1"/>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9"/>
  <sheetViews>
    <sheetView showGridLines="0" topLeftCell="A20" zoomScale="70" zoomScaleNormal="70" workbookViewId="0">
      <pane xSplit="4" ySplit="6" topLeftCell="G26" activePane="bottomRight" state="frozen"/>
      <selection activeCell="A9" sqref="A9:XFD9"/>
      <selection pane="topRight" activeCell="A9" sqref="A9:XFD9"/>
      <selection pane="bottomLeft" activeCell="A9" sqref="A9:XFD9"/>
      <selection pane="bottomRight" activeCell="Q29" sqref="Q29"/>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556</v>
      </c>
      <c r="C1" s="194"/>
    </row>
    <row r="2" spans="2:16" ht="15.6" hidden="1" x14ac:dyDescent="0.25">
      <c r="B2" s="408" t="s">
        <v>557</v>
      </c>
      <c r="C2" s="408"/>
      <c r="D2" s="408"/>
      <c r="E2" s="408"/>
      <c r="F2" s="408"/>
      <c r="G2" s="228"/>
      <c r="I2" s="196">
        <f>I22/1000</f>
        <v>61380.63306</v>
      </c>
      <c r="J2" s="196">
        <f>J22/1000</f>
        <v>99724.765440000017</v>
      </c>
    </row>
    <row r="3" spans="2:16" ht="14.4" hidden="1" customHeight="1" x14ac:dyDescent="0.25">
      <c r="C3" s="193"/>
    </row>
    <row r="4" spans="2:16" ht="15.6" hidden="1" x14ac:dyDescent="0.25">
      <c r="B4" s="406" t="s">
        <v>558</v>
      </c>
      <c r="C4" s="194"/>
      <c r="D4" s="406" t="s">
        <v>339</v>
      </c>
      <c r="E4" s="406" t="s">
        <v>27</v>
      </c>
      <c r="F4" s="406" t="s">
        <v>8</v>
      </c>
      <c r="G4" s="406" t="s">
        <v>8</v>
      </c>
      <c r="I4" s="406" t="s">
        <v>340</v>
      </c>
      <c r="J4" s="406" t="s">
        <v>340</v>
      </c>
      <c r="L4" s="406" t="s">
        <v>559</v>
      </c>
      <c r="M4" s="406"/>
      <c r="N4" s="406"/>
      <c r="P4" s="406" t="s">
        <v>338</v>
      </c>
    </row>
    <row r="5" spans="2:16" ht="15.6" hidden="1" x14ac:dyDescent="0.25">
      <c r="B5" s="407"/>
      <c r="C5" s="194"/>
      <c r="D5" s="407"/>
      <c r="E5" s="407"/>
      <c r="F5" s="407"/>
      <c r="G5" s="407"/>
      <c r="I5" s="407"/>
      <c r="J5" s="407"/>
      <c r="L5" s="51" t="s">
        <v>483</v>
      </c>
      <c r="M5" s="51" t="s">
        <v>484</v>
      </c>
      <c r="N5" s="51" t="s">
        <v>485</v>
      </c>
      <c r="P5" s="407"/>
    </row>
    <row r="6" spans="2:16" ht="46.8" hidden="1" x14ac:dyDescent="0.25">
      <c r="B6" s="133" t="s">
        <v>504</v>
      </c>
      <c r="C6" s="194"/>
      <c r="D6" s="133" t="s">
        <v>342</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560</v>
      </c>
    </row>
    <row r="7" spans="2:16" ht="15.6" hidden="1" x14ac:dyDescent="0.25">
      <c r="B7" s="133" t="s">
        <v>505</v>
      </c>
      <c r="C7" s="194"/>
      <c r="D7" s="133" t="s">
        <v>342</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506</v>
      </c>
    </row>
    <row r="8" spans="2:16" ht="46.8" hidden="1" x14ac:dyDescent="0.25">
      <c r="B8" s="133" t="s">
        <v>507</v>
      </c>
      <c r="C8" s="194"/>
      <c r="D8" s="133" t="s">
        <v>342</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561</v>
      </c>
    </row>
    <row r="9" spans="2:16" ht="46.8" hidden="1" x14ac:dyDescent="0.25">
      <c r="B9" s="133" t="s">
        <v>508</v>
      </c>
      <c r="C9" s="194"/>
      <c r="D9" s="133" t="s">
        <v>342</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509</v>
      </c>
    </row>
    <row r="10" spans="2:16" ht="15.6" hidden="1" x14ac:dyDescent="0.25">
      <c r="B10" s="133" t="s">
        <v>510</v>
      </c>
      <c r="C10" s="194"/>
      <c r="D10" s="133" t="s">
        <v>342</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511</v>
      </c>
    </row>
    <row r="11" spans="2:16" ht="31.2" hidden="1" x14ac:dyDescent="0.25">
      <c r="B11" s="133" t="s">
        <v>512</v>
      </c>
      <c r="C11" s="194"/>
      <c r="D11" s="133" t="s">
        <v>342</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513</v>
      </c>
    </row>
    <row r="12" spans="2:16" ht="15.6" hidden="1" x14ac:dyDescent="0.25">
      <c r="B12" s="133" t="s">
        <v>514</v>
      </c>
      <c r="C12" s="194"/>
      <c r="D12" s="133" t="s">
        <v>342</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506</v>
      </c>
    </row>
    <row r="13" spans="2:16" ht="15.6" hidden="1" x14ac:dyDescent="0.25">
      <c r="B13" s="133"/>
      <c r="C13" s="194"/>
      <c r="D13" s="133"/>
      <c r="E13" s="134"/>
      <c r="F13" s="134"/>
      <c r="G13" s="134"/>
      <c r="I13" s="134"/>
      <c r="J13" s="134"/>
      <c r="L13" s="138"/>
      <c r="M13" s="139"/>
      <c r="N13" s="134"/>
      <c r="P13" s="197"/>
    </row>
    <row r="14" spans="2:16" ht="15.6" hidden="1" x14ac:dyDescent="0.25">
      <c r="B14" s="199" t="s">
        <v>515</v>
      </c>
      <c r="C14" s="194"/>
      <c r="D14" s="199"/>
      <c r="E14" s="200">
        <f>E39/1000</f>
        <v>22315.752189999999</v>
      </c>
      <c r="F14" s="200">
        <v>0</v>
      </c>
      <c r="G14" s="200">
        <v>0</v>
      </c>
      <c r="I14" s="200">
        <f>I39/1000</f>
        <v>10427.319537200001</v>
      </c>
      <c r="J14" s="200">
        <f>J39/1000</f>
        <v>0</v>
      </c>
      <c r="L14" s="200">
        <f>L39/1000</f>
        <v>10427.319537200001</v>
      </c>
      <c r="M14" s="200">
        <f>M39/1000</f>
        <v>11888.432652799998</v>
      </c>
      <c r="N14" s="200">
        <v>0</v>
      </c>
      <c r="P14" s="200"/>
    </row>
    <row r="15" spans="2:16" ht="15.6" hidden="1" x14ac:dyDescent="0.25">
      <c r="B15" s="148" t="s">
        <v>348</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349</v>
      </c>
      <c r="C16" s="194"/>
      <c r="D16" s="148"/>
      <c r="E16" s="149">
        <f>E46/1000</f>
        <v>714.67216999999994</v>
      </c>
      <c r="F16" s="149">
        <f>F46/1000</f>
        <v>0</v>
      </c>
      <c r="G16" s="149">
        <f>G46/1000</f>
        <v>714.67216999999994</v>
      </c>
      <c r="I16" s="149">
        <f>I46/1000</f>
        <v>177.26660509999999</v>
      </c>
      <c r="J16" s="149">
        <f>J46/1000</f>
        <v>0</v>
      </c>
      <c r="L16" s="149">
        <f>L46/1000</f>
        <v>0</v>
      </c>
      <c r="M16" s="149">
        <f>M46/1000</f>
        <v>0</v>
      </c>
      <c r="N16" s="149">
        <f>N46/1000</f>
        <v>714.67216999999994</v>
      </c>
      <c r="P16" s="149" t="s">
        <v>350</v>
      </c>
    </row>
    <row r="17" spans="2:19" ht="15.6" hidden="1" x14ac:dyDescent="0.25">
      <c r="B17" s="157" t="s">
        <v>351</v>
      </c>
      <c r="C17" s="194"/>
      <c r="D17" s="158"/>
      <c r="E17" s="159">
        <f>E16+E15+E14</f>
        <v>23036.500679999997</v>
      </c>
      <c r="F17" s="159">
        <f>F16+F15+F14</f>
        <v>0</v>
      </c>
      <c r="G17" s="159">
        <f>G16+G15+G14</f>
        <v>714.67216999999994</v>
      </c>
      <c r="I17" s="159">
        <f>I16+I15+I14</f>
        <v>10610.662462300001</v>
      </c>
      <c r="J17" s="159">
        <f>J16+J15+J14</f>
        <v>0</v>
      </c>
      <c r="L17" s="159">
        <f>L14+L15</f>
        <v>10433.395857200001</v>
      </c>
      <c r="M17" s="159">
        <f>M16+M14</f>
        <v>11888.432652799998</v>
      </c>
      <c r="N17" s="159">
        <f>N16+N14</f>
        <v>714.67216999999994</v>
      </c>
      <c r="P17" s="160"/>
    </row>
    <row r="18" spans="2:19" hidden="1" x14ac:dyDescent="0.25"/>
    <row r="19" spans="2:19" ht="15.6" hidden="1" x14ac:dyDescent="0.25">
      <c r="B19" s="130" t="s">
        <v>502</v>
      </c>
      <c r="I19" s="201"/>
      <c r="J19" s="201"/>
    </row>
    <row r="20" spans="2:19" ht="15.6" x14ac:dyDescent="0.25">
      <c r="B20" s="130"/>
      <c r="I20" s="202"/>
      <c r="J20" s="202"/>
    </row>
    <row r="21" spans="2:19" ht="15.6" x14ac:dyDescent="0.25">
      <c r="B21" s="130"/>
      <c r="I21" s="201"/>
      <c r="J21" s="201"/>
      <c r="P21" s="195"/>
    </row>
    <row r="22" spans="2:19" ht="15.6" hidden="1" x14ac:dyDescent="0.25">
      <c r="B22" s="51" t="s">
        <v>557</v>
      </c>
      <c r="C22" s="51"/>
      <c r="D22" s="51"/>
      <c r="E22" s="51"/>
      <c r="F22" s="51"/>
      <c r="G22" s="51"/>
      <c r="I22" s="196">
        <f>SUM(E132:F132)</f>
        <v>61380633.060000002</v>
      </c>
      <c r="J22" s="196">
        <f>SUM(F132:G132)</f>
        <v>99724765.440000013</v>
      </c>
    </row>
    <row r="23" spans="2:19" ht="15.6" hidden="1" x14ac:dyDescent="0.25">
      <c r="B23" s="130"/>
    </row>
    <row r="24" spans="2:19" ht="15.6" x14ac:dyDescent="0.25">
      <c r="B24" s="406" t="s">
        <v>921</v>
      </c>
      <c r="C24" s="194"/>
      <c r="D24" s="406" t="s">
        <v>339</v>
      </c>
      <c r="E24" s="406" t="s">
        <v>27</v>
      </c>
      <c r="F24" s="406" t="s">
        <v>8</v>
      </c>
      <c r="G24" s="406" t="s">
        <v>351</v>
      </c>
      <c r="I24" s="406" t="s">
        <v>340</v>
      </c>
      <c r="J24" s="406" t="s">
        <v>616</v>
      </c>
      <c r="L24" s="406" t="s">
        <v>574</v>
      </c>
      <c r="M24" s="406"/>
      <c r="N24" s="406"/>
      <c r="P24" s="406" t="s">
        <v>338</v>
      </c>
    </row>
    <row r="25" spans="2:19" ht="15.6" x14ac:dyDescent="0.25">
      <c r="B25" s="407"/>
      <c r="C25" s="194"/>
      <c r="D25" s="407"/>
      <c r="E25" s="407"/>
      <c r="F25" s="407"/>
      <c r="G25" s="407"/>
      <c r="I25" s="407"/>
      <c r="J25" s="407"/>
      <c r="L25" s="51" t="s">
        <v>483</v>
      </c>
      <c r="M25" s="51" t="s">
        <v>484</v>
      </c>
      <c r="N25" s="51" t="s">
        <v>485</v>
      </c>
      <c r="P25" s="407"/>
    </row>
    <row r="26" spans="2:19" ht="116.4" customHeight="1" x14ac:dyDescent="0.25">
      <c r="B26" s="133" t="s">
        <v>177</v>
      </c>
      <c r="C26" s="194"/>
      <c r="D26" s="145" t="s">
        <v>174</v>
      </c>
      <c r="E26" s="134">
        <v>7560727.799999997</v>
      </c>
      <c r="F26" s="134">
        <v>0</v>
      </c>
      <c r="G26" s="249">
        <f>SUM(E26:F26)</f>
        <v>7560727.799999997</v>
      </c>
      <c r="H26" s="250"/>
      <c r="I26" s="134">
        <v>0</v>
      </c>
      <c r="J26" s="134"/>
      <c r="L26" s="67">
        <f>I26</f>
        <v>0</v>
      </c>
      <c r="M26" s="67">
        <f>E26-I26</f>
        <v>7560727.799999997</v>
      </c>
      <c r="N26" s="67"/>
      <c r="P26" s="219" t="s">
        <v>707</v>
      </c>
      <c r="S26" s="215"/>
    </row>
    <row r="27" spans="2:19" ht="72" customHeight="1" x14ac:dyDescent="0.25">
      <c r="B27" s="133" t="s">
        <v>429</v>
      </c>
      <c r="C27" s="194"/>
      <c r="D27" s="145" t="s">
        <v>174</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562</v>
      </c>
      <c r="S27" s="215"/>
    </row>
    <row r="28" spans="2:19" ht="57.6" customHeight="1" x14ac:dyDescent="0.25">
      <c r="B28" s="133" t="s">
        <v>210</v>
      </c>
      <c r="C28" s="194"/>
      <c r="D28" s="145" t="s">
        <v>174</v>
      </c>
      <c r="E28" s="134">
        <v>3044850.9199999995</v>
      </c>
      <c r="F28" s="134">
        <v>0</v>
      </c>
      <c r="G28" s="249">
        <f>SUM(E28:F28)</f>
        <v>3044850.9199999995</v>
      </c>
      <c r="I28" s="134">
        <v>3044850.9199999995</v>
      </c>
      <c r="J28" s="134"/>
      <c r="L28" s="67">
        <f t="shared" si="17"/>
        <v>3044850.9199999995</v>
      </c>
      <c r="M28" s="67">
        <f t="shared" si="18"/>
        <v>0</v>
      </c>
      <c r="N28" s="67"/>
      <c r="P28" s="219" t="s">
        <v>708</v>
      </c>
      <c r="S28" s="216"/>
    </row>
    <row r="29" spans="2:19" s="195" customFormat="1" ht="135.6" customHeight="1" x14ac:dyDescent="0.25">
      <c r="B29" s="145" t="s">
        <v>187</v>
      </c>
      <c r="C29" s="194"/>
      <c r="D29" s="145" t="s">
        <v>174</v>
      </c>
      <c r="E29" s="134">
        <v>2492842.0500000007</v>
      </c>
      <c r="F29" s="142">
        <v>0</v>
      </c>
      <c r="G29" s="294">
        <f>SUM(E29:F29)</f>
        <v>2492842.0500000007</v>
      </c>
      <c r="I29" s="134">
        <v>0</v>
      </c>
      <c r="J29" s="142"/>
      <c r="L29" s="295">
        <f t="shared" si="17"/>
        <v>0</v>
      </c>
      <c r="M29" s="67">
        <f t="shared" si="18"/>
        <v>2492842.0500000007</v>
      </c>
      <c r="N29" s="295"/>
      <c r="P29" s="220" t="s">
        <v>564</v>
      </c>
      <c r="Q29" s="296"/>
      <c r="S29" s="297"/>
    </row>
    <row r="30" spans="2:19" ht="181.8" customHeight="1" x14ac:dyDescent="0.25">
      <c r="B30" s="133" t="s">
        <v>195</v>
      </c>
      <c r="C30" s="194"/>
      <c r="D30" s="145" t="s">
        <v>174</v>
      </c>
      <c r="E30" s="134">
        <v>1863200.9</v>
      </c>
      <c r="F30" s="134">
        <v>0</v>
      </c>
      <c r="G30" s="249">
        <f t="shared" si="16"/>
        <v>1863200.9</v>
      </c>
      <c r="I30" s="134">
        <v>1863200.9</v>
      </c>
      <c r="J30" s="134"/>
      <c r="L30" s="67">
        <f t="shared" si="17"/>
        <v>1863200.9</v>
      </c>
      <c r="M30" s="67">
        <f t="shared" si="18"/>
        <v>0</v>
      </c>
      <c r="N30" s="67"/>
      <c r="P30" s="219" t="s">
        <v>709</v>
      </c>
      <c r="S30" s="216"/>
    </row>
    <row r="31" spans="2:19" ht="79.8" customHeight="1" x14ac:dyDescent="0.25">
      <c r="B31" s="133" t="s">
        <v>199</v>
      </c>
      <c r="C31" s="194"/>
      <c r="D31" s="145" t="s">
        <v>174</v>
      </c>
      <c r="E31" s="134">
        <v>1702848.7400000002</v>
      </c>
      <c r="F31" s="134">
        <v>0</v>
      </c>
      <c r="G31" s="249">
        <f t="shared" ref="G31:G37" si="19">SUM(E31:F31)</f>
        <v>1702848.7400000002</v>
      </c>
      <c r="I31" s="134">
        <v>1702848.7400000002</v>
      </c>
      <c r="J31" s="134"/>
      <c r="L31" s="67">
        <f>I31</f>
        <v>1702848.7400000002</v>
      </c>
      <c r="M31" s="67">
        <f t="shared" si="18"/>
        <v>0</v>
      </c>
      <c r="N31" s="67"/>
      <c r="P31" s="220" t="s">
        <v>563</v>
      </c>
    </row>
    <row r="32" spans="2:19" ht="140.4" x14ac:dyDescent="0.25">
      <c r="B32" s="133" t="s">
        <v>207</v>
      </c>
      <c r="C32" s="194"/>
      <c r="D32" s="145" t="s">
        <v>174</v>
      </c>
      <c r="E32" s="134">
        <v>876011.75</v>
      </c>
      <c r="F32" s="134">
        <v>0</v>
      </c>
      <c r="G32" s="249">
        <f t="shared" si="19"/>
        <v>876011.75</v>
      </c>
      <c r="I32" s="134">
        <v>0</v>
      </c>
      <c r="J32" s="134"/>
      <c r="L32" s="67">
        <f t="shared" si="17"/>
        <v>0</v>
      </c>
      <c r="M32" s="67">
        <f t="shared" si="18"/>
        <v>876011.75</v>
      </c>
      <c r="N32" s="67"/>
      <c r="P32" s="219" t="s">
        <v>710</v>
      </c>
    </row>
    <row r="33" spans="2:19" ht="62.4" x14ac:dyDescent="0.25">
      <c r="B33" s="145" t="s">
        <v>427</v>
      </c>
      <c r="C33" s="400"/>
      <c r="D33" s="145" t="s">
        <v>174</v>
      </c>
      <c r="E33" s="134">
        <v>237309.12</v>
      </c>
      <c r="F33" s="142">
        <v>0</v>
      </c>
      <c r="G33" s="294">
        <f t="shared" si="19"/>
        <v>237309.12</v>
      </c>
      <c r="H33" s="401"/>
      <c r="I33" s="142">
        <v>237309.12</v>
      </c>
      <c r="J33" s="142"/>
      <c r="K33" s="401"/>
      <c r="L33" s="142">
        <f>I33</f>
        <v>237309.12</v>
      </c>
      <c r="M33" s="67">
        <f t="shared" si="18"/>
        <v>0</v>
      </c>
      <c r="N33" s="142"/>
      <c r="O33" s="401"/>
      <c r="P33" s="220" t="s">
        <v>711</v>
      </c>
    </row>
    <row r="34" spans="2:19" ht="46.8" x14ac:dyDescent="0.25">
      <c r="B34" s="145" t="s">
        <v>53</v>
      </c>
      <c r="C34" s="194"/>
      <c r="D34" s="145" t="s">
        <v>520</v>
      </c>
      <c r="E34" s="142">
        <v>226233.60000000001</v>
      </c>
      <c r="F34" s="142">
        <v>0</v>
      </c>
      <c r="G34" s="294">
        <f t="shared" si="19"/>
        <v>226233.60000000001</v>
      </c>
      <c r="I34" s="142">
        <v>226233.60000000001</v>
      </c>
      <c r="J34" s="142"/>
      <c r="L34" s="295">
        <f t="shared" ref="L34:L37" si="20">I34</f>
        <v>226233.60000000001</v>
      </c>
      <c r="M34" s="295">
        <f t="shared" si="18"/>
        <v>0</v>
      </c>
      <c r="N34" s="295"/>
      <c r="P34" s="220" t="s">
        <v>615</v>
      </c>
    </row>
    <row r="35" spans="2:19" ht="33" customHeight="1" x14ac:dyDescent="0.25">
      <c r="B35" s="145" t="s">
        <v>270</v>
      </c>
      <c r="C35" s="194"/>
      <c r="D35" s="145" t="s">
        <v>174</v>
      </c>
      <c r="E35" s="142">
        <v>988506.24</v>
      </c>
      <c r="F35" s="142">
        <v>0</v>
      </c>
      <c r="G35" s="294">
        <f t="shared" si="19"/>
        <v>988506.24</v>
      </c>
      <c r="I35" s="142">
        <v>29655.1872</v>
      </c>
      <c r="J35" s="142"/>
      <c r="L35" s="295">
        <f t="shared" si="20"/>
        <v>29655.1872</v>
      </c>
      <c r="M35" s="295">
        <f t="shared" si="18"/>
        <v>958851.05279999995</v>
      </c>
      <c r="N35" s="295"/>
      <c r="P35" s="220" t="s">
        <v>777</v>
      </c>
    </row>
    <row r="36" spans="2:19" ht="45.6" customHeight="1" x14ac:dyDescent="0.25">
      <c r="B36" s="145" t="s">
        <v>294</v>
      </c>
      <c r="C36" s="194"/>
      <c r="D36" s="145" t="s">
        <v>520</v>
      </c>
      <c r="E36" s="142">
        <v>213750</v>
      </c>
      <c r="F36" s="142">
        <v>0</v>
      </c>
      <c r="G36" s="294">
        <f t="shared" si="19"/>
        <v>213750</v>
      </c>
      <c r="I36" s="142">
        <v>213750</v>
      </c>
      <c r="J36" s="142"/>
      <c r="L36" s="295">
        <f t="shared" si="20"/>
        <v>213750</v>
      </c>
      <c r="M36" s="295">
        <f t="shared" si="18"/>
        <v>0</v>
      </c>
      <c r="N36" s="295"/>
      <c r="P36" s="220" t="s">
        <v>706</v>
      </c>
    </row>
    <row r="37" spans="2:19" ht="51" customHeight="1" x14ac:dyDescent="0.25">
      <c r="B37" s="145" t="s">
        <v>91</v>
      </c>
      <c r="C37" s="194"/>
      <c r="D37" s="145" t="s">
        <v>520</v>
      </c>
      <c r="E37" s="142">
        <v>20940</v>
      </c>
      <c r="F37" s="142">
        <v>0</v>
      </c>
      <c r="G37" s="294">
        <f t="shared" si="19"/>
        <v>20940</v>
      </c>
      <c r="I37" s="142">
        <v>20940</v>
      </c>
      <c r="J37" s="142"/>
      <c r="L37" s="295">
        <f t="shared" si="20"/>
        <v>20940</v>
      </c>
      <c r="M37" s="295">
        <f t="shared" si="18"/>
        <v>0</v>
      </c>
      <c r="N37" s="295"/>
      <c r="P37" s="220" t="s">
        <v>610</v>
      </c>
    </row>
    <row r="38" spans="2:19" ht="15.6" x14ac:dyDescent="0.25">
      <c r="B38" s="133"/>
      <c r="C38" s="194"/>
      <c r="D38" s="133"/>
      <c r="E38" s="134"/>
      <c r="F38" s="134"/>
      <c r="G38" s="134"/>
      <c r="I38" s="134"/>
      <c r="J38" s="134"/>
      <c r="L38" s="67"/>
      <c r="M38" s="67"/>
      <c r="N38" s="134"/>
      <c r="P38" s="197"/>
    </row>
    <row r="39" spans="2:19" ht="13.95" customHeight="1" x14ac:dyDescent="0.25">
      <c r="B39" s="199" t="s">
        <v>924</v>
      </c>
      <c r="C39" s="194"/>
      <c r="D39" s="199"/>
      <c r="E39" s="200">
        <f>SUM(E26:E37)</f>
        <v>22315752.189999998</v>
      </c>
      <c r="F39" s="200">
        <f>SUM(F26:F37)</f>
        <v>0</v>
      </c>
      <c r="G39" s="200">
        <f>SUM(G26:G37)</f>
        <v>22315752.189999998</v>
      </c>
      <c r="I39" s="283">
        <f>SUM(I26:I37)</f>
        <v>10427319.5372</v>
      </c>
      <c r="J39" s="200">
        <f>SUM(J26:J37)</f>
        <v>0</v>
      </c>
      <c r="L39" s="283">
        <f>SUM(L26:L37)</f>
        <v>10427319.5372</v>
      </c>
      <c r="M39" s="200">
        <f>SUM(M26:M37)</f>
        <v>11888432.652799997</v>
      </c>
      <c r="N39" s="200">
        <f>SUM(N26:N37)</f>
        <v>0</v>
      </c>
      <c r="P39" s="200"/>
    </row>
    <row r="40" spans="2:19" ht="31.2" outlineLevel="1" x14ac:dyDescent="0.25">
      <c r="B40" s="214" t="s">
        <v>265</v>
      </c>
      <c r="C40" s="194"/>
      <c r="D40" s="145" t="s">
        <v>520</v>
      </c>
      <c r="E40" s="146">
        <v>100</v>
      </c>
      <c r="F40" s="134">
        <v>0</v>
      </c>
      <c r="G40" s="147">
        <f t="shared" ref="G40:G43" si="21">SUM(E40:F40)</f>
        <v>100</v>
      </c>
      <c r="I40" s="134">
        <v>100</v>
      </c>
      <c r="J40" s="142"/>
      <c r="L40" s="146">
        <f>I40</f>
        <v>100</v>
      </c>
      <c r="M40" s="146">
        <f t="shared" ref="M40:M43" si="22">E40-L40</f>
        <v>0</v>
      </c>
      <c r="N40" s="146"/>
      <c r="P40" s="402" t="s">
        <v>613</v>
      </c>
    </row>
    <row r="41" spans="2:19" ht="31.2" outlineLevel="1" x14ac:dyDescent="0.25">
      <c r="B41" s="214" t="s">
        <v>309</v>
      </c>
      <c r="C41" s="194"/>
      <c r="D41" s="145" t="s">
        <v>520</v>
      </c>
      <c r="E41" s="146">
        <v>50</v>
      </c>
      <c r="F41" s="134">
        <v>0</v>
      </c>
      <c r="G41" s="147">
        <f t="shared" si="21"/>
        <v>50</v>
      </c>
      <c r="I41" s="134">
        <v>50</v>
      </c>
      <c r="J41" s="142"/>
      <c r="L41" s="146">
        <f t="shared" ref="L41:L42" si="23">I41</f>
        <v>50</v>
      </c>
      <c r="M41" s="146">
        <f t="shared" si="22"/>
        <v>0</v>
      </c>
      <c r="N41" s="146"/>
      <c r="P41" s="402" t="s">
        <v>614</v>
      </c>
    </row>
    <row r="42" spans="2:19" ht="15.6" outlineLevel="1" x14ac:dyDescent="0.25">
      <c r="B42" s="214" t="s">
        <v>420</v>
      </c>
      <c r="C42" s="194"/>
      <c r="D42" s="145" t="s">
        <v>520</v>
      </c>
      <c r="E42" s="146">
        <v>5626.32</v>
      </c>
      <c r="F42" s="134">
        <v>0</v>
      </c>
      <c r="G42" s="147">
        <f t="shared" si="21"/>
        <v>5626.32</v>
      </c>
      <c r="I42" s="134">
        <v>5626.32</v>
      </c>
      <c r="J42" s="142"/>
      <c r="L42" s="146">
        <f t="shared" si="23"/>
        <v>5626.32</v>
      </c>
      <c r="M42" s="146">
        <f>E42-L42</f>
        <v>0</v>
      </c>
      <c r="N42" s="146"/>
      <c r="P42" s="402" t="s">
        <v>611</v>
      </c>
    </row>
    <row r="43" spans="2:19" ht="16.95" customHeight="1" outlineLevel="1" x14ac:dyDescent="0.25">
      <c r="B43" s="214" t="s">
        <v>383</v>
      </c>
      <c r="C43" s="194"/>
      <c r="D43" s="145" t="s">
        <v>520</v>
      </c>
      <c r="E43" s="146">
        <v>300</v>
      </c>
      <c r="F43" s="134">
        <v>0</v>
      </c>
      <c r="G43" s="147">
        <f t="shared" si="21"/>
        <v>300</v>
      </c>
      <c r="I43" s="134">
        <v>300</v>
      </c>
      <c r="J43" s="142"/>
      <c r="L43" s="146">
        <f>I43</f>
        <v>300</v>
      </c>
      <c r="M43" s="146">
        <f t="shared" si="22"/>
        <v>0</v>
      </c>
      <c r="N43" s="146"/>
      <c r="P43" s="217" t="s">
        <v>612</v>
      </c>
    </row>
    <row r="44" spans="2:19" ht="16.95" customHeight="1" outlineLevel="1" x14ac:dyDescent="0.25">
      <c r="B44" s="145"/>
      <c r="C44" s="194"/>
      <c r="D44" s="145"/>
      <c r="E44" s="259"/>
      <c r="F44" s="134"/>
      <c r="G44" s="147"/>
      <c r="I44" s="134"/>
      <c r="J44" s="134"/>
      <c r="L44" s="146"/>
      <c r="M44" s="146"/>
      <c r="N44" s="147"/>
      <c r="P44" s="221"/>
    </row>
    <row r="45" spans="2:19" ht="15.6" collapsed="1" x14ac:dyDescent="0.25">
      <c r="B45" s="148" t="s">
        <v>575</v>
      </c>
      <c r="C45" s="194"/>
      <c r="D45" s="148"/>
      <c r="E45" s="149">
        <f>SUM(E40:E44)</f>
        <v>6076.32</v>
      </c>
      <c r="F45" s="149">
        <f>SUM(F40:F44)</f>
        <v>0</v>
      </c>
      <c r="G45" s="149">
        <f>SUM(G40:G44)</f>
        <v>6076.32</v>
      </c>
      <c r="I45" s="282">
        <f>SUM(I40:I44)</f>
        <v>6076.32</v>
      </c>
      <c r="J45" s="149">
        <f>SUM(J40:J44)</f>
        <v>0</v>
      </c>
      <c r="L45" s="149">
        <f>SUM(L40:L44)</f>
        <v>6076.32</v>
      </c>
      <c r="M45" s="149">
        <f>SUM(M40:M44)</f>
        <v>0</v>
      </c>
      <c r="N45" s="149">
        <f>SUM(N40:N44)</f>
        <v>0</v>
      </c>
      <c r="P45" s="149"/>
    </row>
    <row r="46" spans="2:19" ht="15.6" x14ac:dyDescent="0.25">
      <c r="B46" s="148" t="s">
        <v>349</v>
      </c>
      <c r="C46" s="194"/>
      <c r="D46" s="148"/>
      <c r="E46" s="149">
        <f>SUM(E47:E56)</f>
        <v>714672.16999999993</v>
      </c>
      <c r="F46" s="149">
        <f>F57+F58+F59</f>
        <v>0</v>
      </c>
      <c r="G46" s="149">
        <f>SUM(G47:G56)</f>
        <v>714672.16999999993</v>
      </c>
      <c r="I46" s="282">
        <f>SUM(I47:I56)</f>
        <v>177266.60509999999</v>
      </c>
      <c r="J46" s="149">
        <f>SUM(J47:J56)</f>
        <v>0</v>
      </c>
      <c r="L46" s="149">
        <f>SUM(L47:L56)</f>
        <v>0</v>
      </c>
      <c r="M46" s="149">
        <f>SUM(M47:M56)</f>
        <v>0</v>
      </c>
      <c r="N46" s="149">
        <f>SUM(N47:N56)</f>
        <v>714672.16999999993</v>
      </c>
      <c r="P46" s="149" t="s">
        <v>350</v>
      </c>
    </row>
    <row r="47" spans="2:19" s="195" customFormat="1" ht="15.6" outlineLevel="2" x14ac:dyDescent="0.3">
      <c r="B47" s="145" t="s">
        <v>128</v>
      </c>
      <c r="C47" s="194"/>
      <c r="D47" s="145" t="s">
        <v>920</v>
      </c>
      <c r="E47" s="146">
        <v>449507.68999999994</v>
      </c>
      <c r="F47" s="147">
        <v>0</v>
      </c>
      <c r="G47" s="147">
        <v>449507.68999999994</v>
      </c>
      <c r="I47" s="134">
        <v>13485.2307</v>
      </c>
      <c r="J47" s="134"/>
      <c r="L47" s="146"/>
      <c r="M47" s="146"/>
      <c r="N47" s="146">
        <f>E47</f>
        <v>449507.68999999994</v>
      </c>
      <c r="P47" s="217" t="s">
        <v>781</v>
      </c>
      <c r="S47" s="269"/>
    </row>
    <row r="48" spans="2:19" s="195" customFormat="1" ht="15.6" outlineLevel="2" x14ac:dyDescent="0.3">
      <c r="B48" s="145" t="s">
        <v>438</v>
      </c>
      <c r="C48" s="194"/>
      <c r="D48" s="145" t="s">
        <v>920</v>
      </c>
      <c r="E48" s="146">
        <v>14548.35</v>
      </c>
      <c r="F48" s="147"/>
      <c r="G48" s="147">
        <f>SUM(E48:F48)</f>
        <v>14548.35</v>
      </c>
      <c r="I48" s="134">
        <v>0</v>
      </c>
      <c r="J48" s="134"/>
      <c r="L48" s="146"/>
      <c r="M48" s="146"/>
      <c r="N48" s="146">
        <f>E48</f>
        <v>14548.35</v>
      </c>
      <c r="P48" s="217" t="s">
        <v>872</v>
      </c>
      <c r="S48" s="269"/>
    </row>
    <row r="49" spans="2:18" s="195" customFormat="1" ht="15.6" outlineLevel="2" x14ac:dyDescent="0.25">
      <c r="B49" s="145" t="s">
        <v>422</v>
      </c>
      <c r="C49" s="194"/>
      <c r="D49" s="145" t="s">
        <v>520</v>
      </c>
      <c r="E49" s="146">
        <v>10200.799999999999</v>
      </c>
      <c r="F49" s="147"/>
      <c r="G49" s="147">
        <f t="shared" ref="G49:G56" si="24">SUM(E49:F49)</f>
        <v>10200.799999999999</v>
      </c>
      <c r="I49" s="134">
        <v>0</v>
      </c>
      <c r="J49" s="134"/>
      <c r="L49" s="146"/>
      <c r="M49" s="146"/>
      <c r="N49" s="146">
        <f t="shared" ref="N49:N55" si="25">E49</f>
        <v>10200.799999999999</v>
      </c>
      <c r="P49" s="217"/>
    </row>
    <row r="50" spans="2:18" s="195" customFormat="1" ht="15.6" outlineLevel="2" x14ac:dyDescent="0.25">
      <c r="B50" s="145" t="s">
        <v>842</v>
      </c>
      <c r="C50" s="194"/>
      <c r="D50" s="145" t="s">
        <v>520</v>
      </c>
      <c r="E50" s="146">
        <v>49440</v>
      </c>
      <c r="F50" s="147"/>
      <c r="G50" s="147">
        <f t="shared" si="24"/>
        <v>49440</v>
      </c>
      <c r="I50" s="134">
        <v>0</v>
      </c>
      <c r="J50" s="134"/>
      <c r="L50" s="146"/>
      <c r="M50" s="146"/>
      <c r="N50" s="146">
        <f t="shared" si="25"/>
        <v>49440</v>
      </c>
      <c r="P50" s="217" t="s">
        <v>923</v>
      </c>
    </row>
    <row r="51" spans="2:18" s="195" customFormat="1" ht="15.6" outlineLevel="2" x14ac:dyDescent="0.25">
      <c r="B51" s="145" t="s">
        <v>795</v>
      </c>
      <c r="C51" s="194"/>
      <c r="D51" s="145" t="s">
        <v>520</v>
      </c>
      <c r="E51" s="146">
        <v>1750</v>
      </c>
      <c r="F51" s="147"/>
      <c r="G51" s="147">
        <f t="shared" si="24"/>
        <v>1750</v>
      </c>
      <c r="I51" s="134">
        <v>0</v>
      </c>
      <c r="J51" s="134"/>
      <c r="L51" s="146"/>
      <c r="M51" s="146"/>
      <c r="N51" s="146">
        <f t="shared" si="25"/>
        <v>1750</v>
      </c>
      <c r="P51" s="217" t="s">
        <v>922</v>
      </c>
    </row>
    <row r="52" spans="2:18" s="195" customFormat="1" ht="15.6" outlineLevel="2" x14ac:dyDescent="0.25">
      <c r="B52" s="145" t="s">
        <v>739</v>
      </c>
      <c r="C52" s="194"/>
      <c r="D52" s="145" t="s">
        <v>520</v>
      </c>
      <c r="E52" s="146">
        <v>303.01</v>
      </c>
      <c r="F52" s="147"/>
      <c r="G52" s="147">
        <f t="shared" si="24"/>
        <v>303.01</v>
      </c>
      <c r="I52" s="134">
        <v>0</v>
      </c>
      <c r="J52" s="134"/>
      <c r="L52" s="146"/>
      <c r="M52" s="146"/>
      <c r="N52" s="146">
        <f t="shared" si="25"/>
        <v>303.01</v>
      </c>
      <c r="P52" s="217" t="s">
        <v>871</v>
      </c>
      <c r="R52" s="250"/>
    </row>
    <row r="53" spans="2:18" s="195" customFormat="1" ht="15.6" outlineLevel="2" x14ac:dyDescent="0.25">
      <c r="B53" s="145" t="s">
        <v>500</v>
      </c>
      <c r="C53" s="194"/>
      <c r="D53" s="145" t="s">
        <v>520</v>
      </c>
      <c r="E53" s="146">
        <v>16818.920000000002</v>
      </c>
      <c r="F53" s="147"/>
      <c r="G53" s="147">
        <f t="shared" si="24"/>
        <v>16818.920000000002</v>
      </c>
      <c r="I53" s="134">
        <v>16756.646000000001</v>
      </c>
      <c r="J53" s="134"/>
      <c r="L53" s="146"/>
      <c r="M53" s="146"/>
      <c r="N53" s="146">
        <f t="shared" si="25"/>
        <v>16818.920000000002</v>
      </c>
      <c r="P53" s="217" t="s">
        <v>780</v>
      </c>
    </row>
    <row r="54" spans="2:18" s="195" customFormat="1" ht="15.6" outlineLevel="2" x14ac:dyDescent="0.25">
      <c r="B54" s="145" t="s">
        <v>658</v>
      </c>
      <c r="C54" s="194"/>
      <c r="D54" s="145" t="s">
        <v>520</v>
      </c>
      <c r="E54" s="146">
        <v>3393</v>
      </c>
      <c r="F54" s="147"/>
      <c r="G54" s="147">
        <f t="shared" si="24"/>
        <v>3393</v>
      </c>
      <c r="I54" s="134">
        <v>101.78999999999999</v>
      </c>
      <c r="J54" s="134"/>
      <c r="L54" s="146"/>
      <c r="M54" s="146"/>
      <c r="N54" s="146">
        <f t="shared" si="25"/>
        <v>3393</v>
      </c>
      <c r="P54" s="217" t="s">
        <v>782</v>
      </c>
    </row>
    <row r="55" spans="2:18" s="195" customFormat="1" ht="15.6" outlineLevel="2" x14ac:dyDescent="0.25">
      <c r="B55" s="145" t="s">
        <v>679</v>
      </c>
      <c r="C55" s="194"/>
      <c r="D55" s="145" t="s">
        <v>920</v>
      </c>
      <c r="E55" s="146">
        <v>527.28</v>
      </c>
      <c r="F55" s="147"/>
      <c r="G55" s="147">
        <f t="shared" si="24"/>
        <v>527.28</v>
      </c>
      <c r="I55" s="134">
        <v>15.818399999999999</v>
      </c>
      <c r="J55" s="134"/>
      <c r="L55" s="146"/>
      <c r="M55" s="146"/>
      <c r="N55" s="146">
        <f t="shared" si="25"/>
        <v>527.28</v>
      </c>
      <c r="P55" s="217" t="s">
        <v>778</v>
      </c>
    </row>
    <row r="56" spans="2:18" s="195" customFormat="1" ht="46.8" outlineLevel="2" x14ac:dyDescent="0.25">
      <c r="B56" s="145" t="s">
        <v>529</v>
      </c>
      <c r="C56" s="194"/>
      <c r="D56" s="145" t="s">
        <v>520</v>
      </c>
      <c r="E56" s="397">
        <v>168183.12</v>
      </c>
      <c r="F56" s="147"/>
      <c r="G56" s="147">
        <f t="shared" si="24"/>
        <v>168183.12</v>
      </c>
      <c r="I56" s="134">
        <v>146907.12</v>
      </c>
      <c r="J56" s="146"/>
      <c r="L56" s="146"/>
      <c r="M56" s="146"/>
      <c r="N56" s="146">
        <f>E56</f>
        <v>168183.12</v>
      </c>
      <c r="P56" s="402" t="s">
        <v>779</v>
      </c>
    </row>
    <row r="57" spans="2:18" ht="15.6" outlineLevel="1" x14ac:dyDescent="0.25">
      <c r="B57" s="403" t="s">
        <v>8</v>
      </c>
      <c r="C57" s="194"/>
      <c r="D57" s="148" t="s">
        <v>520</v>
      </c>
      <c r="E57" s="150"/>
      <c r="F57" s="149"/>
      <c r="G57" s="149"/>
      <c r="I57" s="149"/>
      <c r="J57" s="149"/>
      <c r="L57" s="149"/>
      <c r="M57" s="149"/>
      <c r="N57" s="149"/>
      <c r="P57" s="149"/>
    </row>
    <row r="58" spans="2:18" ht="15.6" outlineLevel="1" x14ac:dyDescent="0.25">
      <c r="B58" s="404"/>
      <c r="C58" s="194"/>
      <c r="D58" s="148" t="s">
        <v>920</v>
      </c>
      <c r="E58" s="150"/>
      <c r="F58" s="149"/>
      <c r="G58" s="149"/>
      <c r="I58" s="149"/>
      <c r="J58" s="149"/>
      <c r="L58" s="149"/>
      <c r="M58" s="149"/>
      <c r="N58" s="149"/>
      <c r="P58" s="149"/>
    </row>
    <row r="59" spans="2:18" ht="15.6" outlineLevel="1" x14ac:dyDescent="0.25">
      <c r="B59" s="405"/>
      <c r="C59" s="194"/>
      <c r="D59" s="148" t="s">
        <v>174</v>
      </c>
      <c r="E59" s="150"/>
      <c r="F59" s="149"/>
      <c r="G59" s="149"/>
      <c r="I59" s="149"/>
      <c r="J59" s="149"/>
      <c r="L59" s="149"/>
      <c r="M59" s="149"/>
      <c r="N59" s="149"/>
      <c r="P59" s="149"/>
    </row>
    <row r="60" spans="2:18" s="195" customFormat="1" ht="21" customHeight="1" outlineLevel="2" x14ac:dyDescent="0.25">
      <c r="B60" s="152" t="s">
        <v>531</v>
      </c>
      <c r="C60" s="203"/>
      <c r="D60" s="145" t="s">
        <v>520</v>
      </c>
      <c r="E60" s="153"/>
      <c r="F60" s="153">
        <v>5607780.2999999998</v>
      </c>
      <c r="G60" s="153">
        <f t="shared" ref="G60:G103" si="26">E60+F60</f>
        <v>5607780.2999999998</v>
      </c>
      <c r="I60" s="154"/>
      <c r="J60" s="154"/>
      <c r="L60" s="155"/>
      <c r="M60" s="155"/>
      <c r="N60" s="153"/>
      <c r="O60" s="153">
        <v>475235</v>
      </c>
      <c r="P60" s="223"/>
    </row>
    <row r="61" spans="2:18" s="195" customFormat="1" ht="15.6" outlineLevel="2" x14ac:dyDescent="0.25">
      <c r="B61" s="152" t="s">
        <v>500</v>
      </c>
      <c r="C61" s="194"/>
      <c r="D61" s="145" t="s">
        <v>520</v>
      </c>
      <c r="E61" s="146"/>
      <c r="F61" s="146">
        <v>5479695.75</v>
      </c>
      <c r="G61" s="153">
        <f t="shared" si="26"/>
        <v>5479695.75</v>
      </c>
      <c r="I61" s="146"/>
      <c r="J61" s="146"/>
      <c r="L61" s="146"/>
      <c r="M61" s="146"/>
      <c r="N61" s="146"/>
      <c r="O61" s="146">
        <v>3633158.100000001</v>
      </c>
      <c r="P61" s="222"/>
    </row>
    <row r="62" spans="2:18" s="195" customFormat="1" ht="15.6" outlineLevel="2" x14ac:dyDescent="0.25">
      <c r="B62" s="152" t="s">
        <v>420</v>
      </c>
      <c r="C62" s="194"/>
      <c r="D62" s="145" t="s">
        <v>520</v>
      </c>
      <c r="E62" s="146"/>
      <c r="F62" s="146">
        <v>3073292.2</v>
      </c>
      <c r="G62" s="153">
        <f t="shared" si="26"/>
        <v>3073292.2</v>
      </c>
      <c r="I62" s="146"/>
      <c r="J62" s="146"/>
      <c r="L62" s="146"/>
      <c r="M62" s="146"/>
      <c r="N62" s="146"/>
      <c r="O62" s="146"/>
      <c r="P62" s="222"/>
    </row>
    <row r="63" spans="2:18" s="195" customFormat="1" ht="15.6" outlineLevel="2" x14ac:dyDescent="0.25">
      <c r="B63" s="152" t="s">
        <v>577</v>
      </c>
      <c r="C63" s="194"/>
      <c r="D63" s="145" t="s">
        <v>520</v>
      </c>
      <c r="E63" s="146"/>
      <c r="F63" s="146">
        <v>973206.83000000007</v>
      </c>
      <c r="G63" s="153">
        <f t="shared" si="26"/>
        <v>973206.83000000007</v>
      </c>
      <c r="I63" s="146"/>
      <c r="J63" s="146"/>
      <c r="L63" s="146"/>
      <c r="M63" s="146"/>
      <c r="N63" s="146"/>
      <c r="O63" s="146"/>
      <c r="P63" s="222"/>
    </row>
    <row r="64" spans="2:18" s="195" customFormat="1" ht="15.6" outlineLevel="2" x14ac:dyDescent="0.25">
      <c r="B64" s="152" t="s">
        <v>83</v>
      </c>
      <c r="C64" s="194"/>
      <c r="D64" s="145" t="s">
        <v>520</v>
      </c>
      <c r="E64" s="146"/>
      <c r="F64" s="146">
        <v>831017.13</v>
      </c>
      <c r="G64" s="153">
        <f t="shared" si="26"/>
        <v>831017.13</v>
      </c>
      <c r="I64" s="146"/>
      <c r="J64" s="146"/>
      <c r="L64" s="146"/>
      <c r="M64" s="146"/>
      <c r="N64" s="146"/>
      <c r="O64" s="146"/>
      <c r="P64" s="222"/>
    </row>
    <row r="65" spans="2:16" s="195" customFormat="1" ht="15.6" outlineLevel="2" x14ac:dyDescent="0.25">
      <c r="B65" s="152" t="s">
        <v>120</v>
      </c>
      <c r="C65" s="194"/>
      <c r="D65" s="145" t="s">
        <v>520</v>
      </c>
      <c r="E65" s="146"/>
      <c r="F65" s="146">
        <v>798155.7</v>
      </c>
      <c r="G65" s="153">
        <f t="shared" si="26"/>
        <v>798155.7</v>
      </c>
      <c r="I65" s="146"/>
      <c r="J65" s="146"/>
      <c r="L65" s="146"/>
      <c r="M65" s="146"/>
      <c r="N65" s="146"/>
      <c r="O65" s="146">
        <v>3231664.82</v>
      </c>
      <c r="P65" s="222"/>
    </row>
    <row r="66" spans="2:16" s="195" customFormat="1" ht="15.6" outlineLevel="2" x14ac:dyDescent="0.25">
      <c r="B66" s="152" t="s">
        <v>417</v>
      </c>
      <c r="C66" s="194"/>
      <c r="D66" s="145" t="s">
        <v>520</v>
      </c>
      <c r="E66" s="146"/>
      <c r="F66" s="146">
        <v>797138.1</v>
      </c>
      <c r="G66" s="153">
        <f t="shared" si="26"/>
        <v>797138.1</v>
      </c>
      <c r="I66" s="146"/>
      <c r="J66" s="146"/>
      <c r="L66" s="146"/>
      <c r="M66" s="146"/>
      <c r="N66" s="146"/>
      <c r="O66" s="146">
        <v>225884.2</v>
      </c>
      <c r="P66" s="222"/>
    </row>
    <row r="67" spans="2:16" s="195" customFormat="1" ht="15.6" outlineLevel="2" x14ac:dyDescent="0.25">
      <c r="B67" s="152" t="s">
        <v>793</v>
      </c>
      <c r="C67" s="194"/>
      <c r="D67" s="145" t="s">
        <v>520</v>
      </c>
      <c r="E67" s="146"/>
      <c r="F67" s="146">
        <v>782849.8</v>
      </c>
      <c r="G67" s="153">
        <f t="shared" si="26"/>
        <v>782849.8</v>
      </c>
      <c r="I67" s="146"/>
      <c r="J67" s="146"/>
      <c r="L67" s="146"/>
      <c r="M67" s="146"/>
      <c r="N67" s="146"/>
      <c r="O67" s="146">
        <v>6158350.8999999994</v>
      </c>
      <c r="P67" s="222"/>
    </row>
    <row r="68" spans="2:16" s="195" customFormat="1" ht="15.6" outlineLevel="2" x14ac:dyDescent="0.25">
      <c r="B68" s="152" t="s">
        <v>428</v>
      </c>
      <c r="C68" s="194"/>
      <c r="D68" s="145" t="s">
        <v>520</v>
      </c>
      <c r="E68" s="146"/>
      <c r="F68" s="146">
        <v>631958.30000000005</v>
      </c>
      <c r="G68" s="153">
        <f t="shared" si="26"/>
        <v>631958.30000000005</v>
      </c>
      <c r="I68" s="146"/>
      <c r="J68" s="146"/>
      <c r="L68" s="146"/>
      <c r="M68" s="146"/>
      <c r="N68" s="146"/>
      <c r="O68" s="146">
        <v>866804.7</v>
      </c>
      <c r="P68" s="222"/>
    </row>
    <row r="69" spans="2:16" s="195" customFormat="1" ht="15.6" outlineLevel="2" x14ac:dyDescent="0.25">
      <c r="B69" s="152" t="s">
        <v>576</v>
      </c>
      <c r="C69" s="194"/>
      <c r="D69" s="145" t="s">
        <v>520</v>
      </c>
      <c r="E69" s="146"/>
      <c r="F69" s="146">
        <v>611643.59999999986</v>
      </c>
      <c r="G69" s="153">
        <f t="shared" si="26"/>
        <v>611643.59999999986</v>
      </c>
      <c r="I69" s="146"/>
      <c r="J69" s="146"/>
      <c r="L69" s="146"/>
      <c r="M69" s="146"/>
      <c r="N69" s="146"/>
      <c r="O69" s="146">
        <v>158126.39999999999</v>
      </c>
      <c r="P69" s="222"/>
    </row>
    <row r="70" spans="2:16" s="195" customFormat="1" ht="15.6" outlineLevel="2" x14ac:dyDescent="0.25">
      <c r="B70" s="152" t="s">
        <v>430</v>
      </c>
      <c r="C70" s="194"/>
      <c r="D70" s="145" t="s">
        <v>520</v>
      </c>
      <c r="E70" s="146"/>
      <c r="F70" s="146">
        <v>520104</v>
      </c>
      <c r="G70" s="153">
        <f t="shared" si="26"/>
        <v>520104</v>
      </c>
      <c r="I70" s="146"/>
      <c r="J70" s="146"/>
      <c r="L70" s="146"/>
      <c r="M70" s="146"/>
      <c r="N70" s="146"/>
      <c r="O70" s="146">
        <v>1227102.3999999999</v>
      </c>
      <c r="P70" s="222"/>
    </row>
    <row r="71" spans="2:16" s="195" customFormat="1" ht="15.6" outlineLevel="2" x14ac:dyDescent="0.25">
      <c r="B71" s="152" t="s">
        <v>618</v>
      </c>
      <c r="C71" s="194"/>
      <c r="D71" s="145" t="s">
        <v>520</v>
      </c>
      <c r="E71" s="146"/>
      <c r="F71" s="146">
        <v>500890</v>
      </c>
      <c r="G71" s="153">
        <f t="shared" si="26"/>
        <v>500890</v>
      </c>
      <c r="I71" s="146"/>
      <c r="J71" s="146"/>
      <c r="L71" s="146"/>
      <c r="M71" s="146"/>
      <c r="N71" s="146"/>
      <c r="O71" s="146">
        <v>53489.3</v>
      </c>
      <c r="P71" s="222"/>
    </row>
    <row r="72" spans="2:16" s="195" customFormat="1" ht="15.6" outlineLevel="2" x14ac:dyDescent="0.25">
      <c r="B72" s="152" t="s">
        <v>416</v>
      </c>
      <c r="C72" s="194"/>
      <c r="D72" s="145" t="s">
        <v>520</v>
      </c>
      <c r="E72" s="146"/>
      <c r="F72" s="146">
        <v>482208.1</v>
      </c>
      <c r="G72" s="153">
        <f t="shared" si="26"/>
        <v>482208.1</v>
      </c>
      <c r="I72" s="146"/>
      <c r="J72" s="146"/>
      <c r="L72" s="146"/>
      <c r="M72" s="146"/>
      <c r="N72" s="146"/>
      <c r="O72" s="146"/>
      <c r="P72" s="222"/>
    </row>
    <row r="73" spans="2:16" s="195" customFormat="1" ht="15.6" outlineLevel="2" x14ac:dyDescent="0.25">
      <c r="B73" s="152" t="s">
        <v>532</v>
      </c>
      <c r="C73" s="194"/>
      <c r="D73" s="145" t="s">
        <v>520</v>
      </c>
      <c r="E73" s="146"/>
      <c r="F73" s="146">
        <v>408048.2</v>
      </c>
      <c r="G73" s="153">
        <f t="shared" si="26"/>
        <v>408048.2</v>
      </c>
      <c r="I73" s="146"/>
      <c r="J73" s="146"/>
      <c r="L73" s="146"/>
      <c r="M73" s="146"/>
      <c r="N73" s="146"/>
      <c r="O73" s="146">
        <v>528498.80000000005</v>
      </c>
      <c r="P73" s="222"/>
    </row>
    <row r="74" spans="2:16" s="195" customFormat="1" ht="15.6" outlineLevel="2" x14ac:dyDescent="0.25">
      <c r="B74" s="152" t="s">
        <v>40</v>
      </c>
      <c r="C74" s="194"/>
      <c r="D74" s="145" t="s">
        <v>520</v>
      </c>
      <c r="E74" s="146"/>
      <c r="F74" s="146">
        <v>391080</v>
      </c>
      <c r="G74" s="153">
        <f t="shared" si="26"/>
        <v>391080</v>
      </c>
      <c r="I74" s="146"/>
      <c r="J74" s="146"/>
      <c r="L74" s="146"/>
      <c r="M74" s="146"/>
      <c r="N74" s="146"/>
      <c r="O74" s="146">
        <v>417989.80000000005</v>
      </c>
      <c r="P74" s="222"/>
    </row>
    <row r="75" spans="2:16" s="195" customFormat="1" ht="15.6" outlineLevel="2" x14ac:dyDescent="0.25">
      <c r="B75" s="152" t="s">
        <v>30</v>
      </c>
      <c r="C75" s="194"/>
      <c r="D75" s="145" t="s">
        <v>520</v>
      </c>
      <c r="E75" s="146"/>
      <c r="F75" s="146">
        <v>350989.1</v>
      </c>
      <c r="G75" s="153">
        <f t="shared" si="26"/>
        <v>350989.1</v>
      </c>
      <c r="I75" s="146"/>
      <c r="J75" s="146"/>
      <c r="L75" s="146"/>
      <c r="M75" s="146"/>
      <c r="N75" s="146"/>
      <c r="O75" s="146">
        <v>1424871.4000000001</v>
      </c>
      <c r="P75" s="222"/>
    </row>
    <row r="76" spans="2:16" s="195" customFormat="1" ht="15.6" outlineLevel="2" x14ac:dyDescent="0.25">
      <c r="B76" s="152" t="s">
        <v>683</v>
      </c>
      <c r="C76" s="194"/>
      <c r="D76" s="145" t="s">
        <v>520</v>
      </c>
      <c r="E76" s="146"/>
      <c r="F76" s="146">
        <v>327257.90000000002</v>
      </c>
      <c r="G76" s="153">
        <f t="shared" si="26"/>
        <v>327257.90000000002</v>
      </c>
      <c r="I76" s="146"/>
      <c r="J76" s="146"/>
      <c r="L76" s="146"/>
      <c r="M76" s="146"/>
      <c r="N76" s="146"/>
      <c r="O76" s="146">
        <v>1708772</v>
      </c>
      <c r="P76" s="222"/>
    </row>
    <row r="77" spans="2:16" s="195" customFormat="1" ht="15.6" outlineLevel="2" x14ac:dyDescent="0.25">
      <c r="B77" s="152" t="s">
        <v>745</v>
      </c>
      <c r="C77" s="194"/>
      <c r="D77" s="145" t="s">
        <v>520</v>
      </c>
      <c r="E77" s="146"/>
      <c r="F77" s="146">
        <v>244770</v>
      </c>
      <c r="G77" s="153">
        <f t="shared" si="26"/>
        <v>244770</v>
      </c>
      <c r="I77" s="146"/>
      <c r="J77" s="146"/>
      <c r="L77" s="146"/>
      <c r="M77" s="146"/>
      <c r="N77" s="146"/>
      <c r="O77" s="146">
        <v>324729</v>
      </c>
      <c r="P77" s="222"/>
    </row>
    <row r="78" spans="2:16" s="195" customFormat="1" ht="15.6" outlineLevel="2" x14ac:dyDescent="0.25">
      <c r="B78" s="152" t="s">
        <v>735</v>
      </c>
      <c r="C78" s="194"/>
      <c r="D78" s="145" t="s">
        <v>520</v>
      </c>
      <c r="E78" s="146"/>
      <c r="F78" s="146">
        <v>218160</v>
      </c>
      <c r="G78" s="153">
        <f t="shared" si="26"/>
        <v>218160</v>
      </c>
      <c r="I78" s="146"/>
      <c r="J78" s="146"/>
      <c r="L78" s="146"/>
      <c r="M78" s="146"/>
      <c r="N78" s="146"/>
      <c r="O78" s="146">
        <v>1034572.5</v>
      </c>
      <c r="P78" s="222"/>
    </row>
    <row r="79" spans="2:16" s="195" customFormat="1" ht="15.6" outlineLevel="2" x14ac:dyDescent="0.25">
      <c r="B79" s="152" t="s">
        <v>530</v>
      </c>
      <c r="C79" s="194"/>
      <c r="D79" s="145" t="s">
        <v>520</v>
      </c>
      <c r="E79" s="146"/>
      <c r="F79" s="146">
        <v>195071.61</v>
      </c>
      <c r="G79" s="153">
        <f t="shared" si="26"/>
        <v>195071.61</v>
      </c>
      <c r="I79" s="146"/>
      <c r="J79" s="146"/>
      <c r="L79" s="146"/>
      <c r="M79" s="146"/>
      <c r="N79" s="146"/>
      <c r="O79" s="146">
        <v>444240</v>
      </c>
      <c r="P79" s="222"/>
    </row>
    <row r="80" spans="2:16" s="195" customFormat="1" ht="15.6" outlineLevel="2" x14ac:dyDescent="0.25">
      <c r="B80" s="152" t="s">
        <v>425</v>
      </c>
      <c r="C80" s="194"/>
      <c r="D80" s="145" t="s">
        <v>520</v>
      </c>
      <c r="E80" s="146"/>
      <c r="F80" s="146">
        <v>167464</v>
      </c>
      <c r="G80" s="153">
        <f t="shared" si="26"/>
        <v>167464</v>
      </c>
      <c r="I80" s="146"/>
      <c r="J80" s="146"/>
      <c r="L80" s="146"/>
      <c r="M80" s="146"/>
      <c r="N80" s="146"/>
      <c r="O80" s="146">
        <v>159679.79999999999</v>
      </c>
      <c r="P80" s="222"/>
    </row>
    <row r="81" spans="2:16" s="195" customFormat="1" ht="15.6" outlineLevel="2" x14ac:dyDescent="0.25">
      <c r="B81" s="152" t="s">
        <v>726</v>
      </c>
      <c r="C81" s="194"/>
      <c r="D81" s="145" t="s">
        <v>520</v>
      </c>
      <c r="E81" s="146"/>
      <c r="F81" s="146">
        <v>161379</v>
      </c>
      <c r="G81" s="153">
        <f t="shared" si="26"/>
        <v>161379</v>
      </c>
      <c r="I81" s="146"/>
      <c r="J81" s="146"/>
      <c r="L81" s="146"/>
      <c r="M81" s="146"/>
      <c r="N81" s="146"/>
      <c r="O81" s="146">
        <v>23451.75</v>
      </c>
      <c r="P81" s="222"/>
    </row>
    <row r="82" spans="2:16" s="195" customFormat="1" ht="15.6" outlineLevel="2" x14ac:dyDescent="0.25">
      <c r="B82" s="152" t="s">
        <v>65</v>
      </c>
      <c r="C82" s="194"/>
      <c r="D82" s="145" t="s">
        <v>520</v>
      </c>
      <c r="E82" s="146"/>
      <c r="F82" s="146">
        <v>150199.79999999999</v>
      </c>
      <c r="G82" s="153">
        <f t="shared" si="26"/>
        <v>150199.79999999999</v>
      </c>
      <c r="I82" s="146"/>
      <c r="J82" s="146"/>
      <c r="L82" s="146"/>
      <c r="M82" s="146"/>
      <c r="N82" s="146"/>
      <c r="O82" s="146"/>
      <c r="P82" s="222"/>
    </row>
    <row r="83" spans="2:16" s="195" customFormat="1" ht="15.6" outlineLevel="2" x14ac:dyDescent="0.25">
      <c r="B83" s="152" t="s">
        <v>550</v>
      </c>
      <c r="C83" s="194"/>
      <c r="D83" s="145" t="s">
        <v>520</v>
      </c>
      <c r="E83" s="146"/>
      <c r="F83" s="146">
        <v>148538.91999999998</v>
      </c>
      <c r="G83" s="153">
        <f t="shared" si="26"/>
        <v>148538.91999999998</v>
      </c>
      <c r="I83" s="146"/>
      <c r="J83" s="146"/>
      <c r="L83" s="146"/>
      <c r="M83" s="146"/>
      <c r="N83" s="146"/>
      <c r="O83" s="146"/>
      <c r="P83" s="222"/>
    </row>
    <row r="84" spans="2:16" s="195" customFormat="1" ht="15.6" outlineLevel="2" x14ac:dyDescent="0.25">
      <c r="B84" s="152" t="s">
        <v>488</v>
      </c>
      <c r="C84" s="194"/>
      <c r="D84" s="145" t="s">
        <v>520</v>
      </c>
      <c r="E84" s="146"/>
      <c r="F84" s="146">
        <v>137084.1</v>
      </c>
      <c r="G84" s="153">
        <f t="shared" si="26"/>
        <v>137084.1</v>
      </c>
      <c r="I84" s="146"/>
      <c r="J84" s="146"/>
      <c r="L84" s="146"/>
      <c r="M84" s="146"/>
      <c r="N84" s="146"/>
      <c r="O84" s="146"/>
      <c r="P84" s="222"/>
    </row>
    <row r="85" spans="2:16" s="195" customFormat="1" ht="15.6" outlineLevel="2" x14ac:dyDescent="0.25">
      <c r="B85" s="152" t="s">
        <v>421</v>
      </c>
      <c r="C85" s="194"/>
      <c r="D85" s="145" t="s">
        <v>520</v>
      </c>
      <c r="E85" s="146"/>
      <c r="F85" s="146">
        <v>99785</v>
      </c>
      <c r="G85" s="153">
        <f t="shared" si="26"/>
        <v>99785</v>
      </c>
      <c r="I85" s="146"/>
      <c r="J85" s="146"/>
      <c r="L85" s="146"/>
      <c r="M85" s="146"/>
      <c r="N85" s="146"/>
      <c r="O85" s="146"/>
      <c r="P85" s="222"/>
    </row>
    <row r="86" spans="2:16" s="195" customFormat="1" ht="15.6" outlineLevel="2" x14ac:dyDescent="0.25">
      <c r="B86" s="152" t="s">
        <v>658</v>
      </c>
      <c r="C86" s="194"/>
      <c r="D86" s="145" t="s">
        <v>520</v>
      </c>
      <c r="E86" s="146"/>
      <c r="F86" s="146">
        <v>99532</v>
      </c>
      <c r="G86" s="153">
        <f t="shared" si="26"/>
        <v>99532</v>
      </c>
      <c r="I86" s="146"/>
      <c r="J86" s="146"/>
      <c r="L86" s="146"/>
      <c r="M86" s="146"/>
      <c r="N86" s="146"/>
      <c r="O86" s="146"/>
      <c r="P86" s="222"/>
    </row>
    <row r="87" spans="2:16" s="195" customFormat="1" ht="15.6" outlineLevel="2" x14ac:dyDescent="0.25">
      <c r="B87" s="152" t="s">
        <v>303</v>
      </c>
      <c r="C87" s="194"/>
      <c r="D87" s="145" t="s">
        <v>520</v>
      </c>
      <c r="E87" s="146"/>
      <c r="F87" s="146">
        <v>87139.5</v>
      </c>
      <c r="G87" s="153">
        <f t="shared" si="26"/>
        <v>87139.5</v>
      </c>
      <c r="I87" s="146"/>
      <c r="J87" s="146"/>
      <c r="L87" s="146"/>
      <c r="M87" s="146"/>
      <c r="N87" s="146"/>
      <c r="O87" s="146"/>
      <c r="P87" s="222"/>
    </row>
    <row r="88" spans="2:16" s="195" customFormat="1" ht="15.6" outlineLevel="2" x14ac:dyDescent="0.25">
      <c r="B88" s="152" t="s">
        <v>89</v>
      </c>
      <c r="C88" s="194"/>
      <c r="D88" s="145" t="s">
        <v>520</v>
      </c>
      <c r="E88" s="146"/>
      <c r="F88" s="146">
        <v>83198.7</v>
      </c>
      <c r="G88" s="153">
        <f t="shared" si="26"/>
        <v>83198.7</v>
      </c>
      <c r="I88" s="146"/>
      <c r="J88" s="146"/>
      <c r="L88" s="146"/>
      <c r="M88" s="146"/>
      <c r="N88" s="146"/>
      <c r="O88" s="146"/>
      <c r="P88" s="222"/>
    </row>
    <row r="89" spans="2:16" s="195" customFormat="1" ht="15.6" outlineLevel="2" x14ac:dyDescent="0.25">
      <c r="B89" s="152" t="s">
        <v>419</v>
      </c>
      <c r="C89" s="194"/>
      <c r="D89" s="145" t="s">
        <v>520</v>
      </c>
      <c r="E89" s="146"/>
      <c r="F89" s="146">
        <v>80980</v>
      </c>
      <c r="G89" s="153">
        <f t="shared" si="26"/>
        <v>80980</v>
      </c>
      <c r="I89" s="146"/>
      <c r="J89" s="146"/>
      <c r="L89" s="146"/>
      <c r="M89" s="146"/>
      <c r="N89" s="146"/>
      <c r="O89" s="146">
        <v>73440</v>
      </c>
      <c r="P89" s="222"/>
    </row>
    <row r="90" spans="2:16" s="195" customFormat="1" ht="15.6" outlineLevel="2" x14ac:dyDescent="0.25">
      <c r="B90" s="152" t="s">
        <v>296</v>
      </c>
      <c r="C90" s="194"/>
      <c r="D90" s="145" t="s">
        <v>520</v>
      </c>
      <c r="E90" s="146"/>
      <c r="F90" s="146">
        <v>74021.399999999994</v>
      </c>
      <c r="G90" s="153">
        <f t="shared" si="26"/>
        <v>74021.399999999994</v>
      </c>
      <c r="I90" s="146"/>
      <c r="J90" s="146"/>
      <c r="L90" s="146"/>
      <c r="M90" s="146"/>
      <c r="N90" s="146"/>
      <c r="O90" s="146">
        <v>112012.5</v>
      </c>
      <c r="P90" s="222"/>
    </row>
    <row r="91" spans="2:16" s="195" customFormat="1" ht="15.6" outlineLevel="2" x14ac:dyDescent="0.25">
      <c r="B91" s="152" t="s">
        <v>555</v>
      </c>
      <c r="C91" s="194"/>
      <c r="D91" s="145" t="s">
        <v>520</v>
      </c>
      <c r="E91" s="146"/>
      <c r="F91" s="146">
        <v>66740</v>
      </c>
      <c r="G91" s="153">
        <f t="shared" si="26"/>
        <v>66740</v>
      </c>
      <c r="I91" s="146"/>
      <c r="J91" s="146"/>
      <c r="L91" s="146"/>
      <c r="M91" s="146"/>
      <c r="N91" s="146"/>
      <c r="O91" s="146">
        <v>42240</v>
      </c>
      <c r="P91" s="222"/>
    </row>
    <row r="92" spans="2:16" s="195" customFormat="1" ht="15.6" outlineLevel="2" x14ac:dyDescent="0.25">
      <c r="B92" s="152" t="s">
        <v>252</v>
      </c>
      <c r="C92" s="194"/>
      <c r="D92" s="145" t="s">
        <v>520</v>
      </c>
      <c r="E92" s="146"/>
      <c r="F92" s="146">
        <v>66308</v>
      </c>
      <c r="G92" s="153">
        <f t="shared" si="26"/>
        <v>66308</v>
      </c>
      <c r="I92" s="146"/>
      <c r="J92" s="146"/>
      <c r="L92" s="146"/>
      <c r="M92" s="146"/>
      <c r="N92" s="146"/>
      <c r="O92" s="146">
        <v>462630</v>
      </c>
      <c r="P92" s="222"/>
    </row>
    <row r="93" spans="2:16" s="195" customFormat="1" ht="15.6" outlineLevel="2" x14ac:dyDescent="0.25">
      <c r="B93" s="152" t="s">
        <v>414</v>
      </c>
      <c r="C93" s="194"/>
      <c r="D93" s="145" t="s">
        <v>520</v>
      </c>
      <c r="E93" s="146"/>
      <c r="F93" s="146">
        <v>60117.8</v>
      </c>
      <c r="G93" s="153">
        <f t="shared" si="26"/>
        <v>60117.8</v>
      </c>
      <c r="I93" s="146"/>
      <c r="J93" s="146"/>
      <c r="L93" s="146"/>
      <c r="M93" s="146"/>
      <c r="N93" s="146"/>
      <c r="O93" s="146">
        <v>3860</v>
      </c>
      <c r="P93" s="222"/>
    </row>
    <row r="94" spans="2:16" s="195" customFormat="1" ht="15.6" outlineLevel="2" x14ac:dyDescent="0.25">
      <c r="B94" s="152" t="s">
        <v>95</v>
      </c>
      <c r="C94" s="194"/>
      <c r="D94" s="145" t="s">
        <v>520</v>
      </c>
      <c r="E94" s="146"/>
      <c r="F94" s="146">
        <v>52840</v>
      </c>
      <c r="G94" s="153">
        <f t="shared" si="26"/>
        <v>52840</v>
      </c>
      <c r="I94" s="146"/>
      <c r="J94" s="146"/>
      <c r="L94" s="146"/>
      <c r="M94" s="146"/>
      <c r="N94" s="146"/>
      <c r="O94" s="146">
        <v>105854.98</v>
      </c>
      <c r="P94" s="222"/>
    </row>
    <row r="95" spans="2:16" s="195" customFormat="1" ht="15.6" outlineLevel="2" x14ac:dyDescent="0.25">
      <c r="B95" s="152" t="s">
        <v>50</v>
      </c>
      <c r="C95" s="194"/>
      <c r="D95" s="145" t="s">
        <v>520</v>
      </c>
      <c r="E95" s="146"/>
      <c r="F95" s="146">
        <v>42240</v>
      </c>
      <c r="G95" s="153">
        <f t="shared" si="26"/>
        <v>42240</v>
      </c>
      <c r="I95" s="146"/>
      <c r="J95" s="146"/>
      <c r="L95" s="146"/>
      <c r="M95" s="146"/>
      <c r="N95" s="146"/>
      <c r="O95" s="146">
        <v>149397</v>
      </c>
      <c r="P95" s="222"/>
    </row>
    <row r="96" spans="2:16" s="195" customFormat="1" ht="15.6" outlineLevel="2" x14ac:dyDescent="0.25">
      <c r="B96" s="152" t="s">
        <v>94</v>
      </c>
      <c r="C96" s="194"/>
      <c r="D96" s="145" t="s">
        <v>520</v>
      </c>
      <c r="E96" s="146"/>
      <c r="F96" s="146">
        <v>28444.5</v>
      </c>
      <c r="G96" s="153">
        <f t="shared" si="26"/>
        <v>28444.5</v>
      </c>
      <c r="I96" s="146"/>
      <c r="J96" s="146"/>
      <c r="L96" s="146"/>
      <c r="M96" s="146"/>
      <c r="N96" s="146"/>
      <c r="O96" s="146">
        <v>51900</v>
      </c>
      <c r="P96" s="222"/>
    </row>
    <row r="97" spans="2:16" s="195" customFormat="1" ht="15.6" outlineLevel="2" x14ac:dyDescent="0.25">
      <c r="B97" s="152" t="s">
        <v>422</v>
      </c>
      <c r="C97" s="194"/>
      <c r="D97" s="145" t="s">
        <v>520</v>
      </c>
      <c r="E97" s="146"/>
      <c r="F97" s="146">
        <v>10200.799999999999</v>
      </c>
      <c r="G97" s="153">
        <f t="shared" si="26"/>
        <v>10200.799999999999</v>
      </c>
      <c r="I97" s="146"/>
      <c r="J97" s="146"/>
      <c r="L97" s="146"/>
      <c r="M97" s="146"/>
      <c r="N97" s="146"/>
      <c r="O97" s="146">
        <v>71604.399999999994</v>
      </c>
      <c r="P97" s="222"/>
    </row>
    <row r="98" spans="2:16" s="195" customFormat="1" ht="15.6" outlineLevel="2" x14ac:dyDescent="0.25">
      <c r="B98" s="152" t="s">
        <v>418</v>
      </c>
      <c r="C98" s="194"/>
      <c r="D98" s="145" t="s">
        <v>520</v>
      </c>
      <c r="E98" s="146"/>
      <c r="F98" s="146">
        <v>2340</v>
      </c>
      <c r="G98" s="153">
        <f t="shared" si="26"/>
        <v>2340</v>
      </c>
      <c r="I98" s="146"/>
      <c r="J98" s="146"/>
      <c r="L98" s="146"/>
      <c r="M98" s="146"/>
      <c r="N98" s="146"/>
      <c r="O98" s="146">
        <v>245</v>
      </c>
      <c r="P98" s="222"/>
    </row>
    <row r="99" spans="2:16" s="195" customFormat="1" ht="15.6" outlineLevel="2" x14ac:dyDescent="0.25">
      <c r="B99" s="152" t="s">
        <v>879</v>
      </c>
      <c r="C99" s="194"/>
      <c r="D99" s="145" t="s">
        <v>520</v>
      </c>
      <c r="E99" s="146"/>
      <c r="F99" s="146">
        <v>1260</v>
      </c>
      <c r="G99" s="153">
        <f t="shared" si="26"/>
        <v>1260</v>
      </c>
      <c r="I99" s="146"/>
      <c r="J99" s="146"/>
      <c r="L99" s="146"/>
      <c r="M99" s="146"/>
      <c r="N99" s="146"/>
      <c r="O99" s="146"/>
      <c r="P99" s="222"/>
    </row>
    <row r="100" spans="2:16" s="195" customFormat="1" ht="15.6" outlineLevel="2" x14ac:dyDescent="0.25">
      <c r="B100" s="152" t="s">
        <v>855</v>
      </c>
      <c r="C100" s="194"/>
      <c r="D100" s="145" t="s">
        <v>520</v>
      </c>
      <c r="E100" s="146"/>
      <c r="F100" s="146">
        <v>1166.67</v>
      </c>
      <c r="G100" s="153">
        <f t="shared" si="26"/>
        <v>1166.67</v>
      </c>
      <c r="I100" s="146"/>
      <c r="J100" s="146"/>
      <c r="L100" s="146"/>
      <c r="M100" s="146"/>
      <c r="N100" s="146"/>
      <c r="O100" s="146"/>
      <c r="P100" s="222"/>
    </row>
    <row r="101" spans="2:16" s="195" customFormat="1" ht="15.6" outlineLevel="2" x14ac:dyDescent="0.25">
      <c r="B101" s="152" t="s">
        <v>877</v>
      </c>
      <c r="C101" s="194"/>
      <c r="D101" s="145" t="s">
        <v>520</v>
      </c>
      <c r="E101" s="146"/>
      <c r="F101" s="146">
        <v>662</v>
      </c>
      <c r="G101" s="153">
        <f t="shared" si="26"/>
        <v>662</v>
      </c>
      <c r="I101" s="146"/>
      <c r="J101" s="146"/>
      <c r="L101" s="146"/>
      <c r="M101" s="146"/>
      <c r="N101" s="146"/>
      <c r="O101" s="146">
        <v>183510</v>
      </c>
      <c r="P101" s="222"/>
    </row>
    <row r="102" spans="2:16" s="195" customFormat="1" ht="15.6" outlineLevel="2" x14ac:dyDescent="0.25">
      <c r="B102" s="152" t="s">
        <v>815</v>
      </c>
      <c r="C102" s="194"/>
      <c r="D102" s="145" t="s">
        <v>520</v>
      </c>
      <c r="E102" s="146"/>
      <c r="F102" s="146">
        <v>292.08</v>
      </c>
      <c r="G102" s="153">
        <f t="shared" si="26"/>
        <v>292.08</v>
      </c>
      <c r="I102" s="146"/>
      <c r="J102" s="146"/>
      <c r="L102" s="146"/>
      <c r="M102" s="146"/>
      <c r="N102" s="146"/>
      <c r="O102" s="146"/>
      <c r="P102" s="222"/>
    </row>
    <row r="103" spans="2:16" s="195" customFormat="1" ht="15.6" outlineLevel="2" x14ac:dyDescent="0.25">
      <c r="B103" s="152" t="s">
        <v>537</v>
      </c>
      <c r="C103" s="194"/>
      <c r="D103" s="145" t="s">
        <v>520</v>
      </c>
      <c r="E103" s="146"/>
      <c r="F103" s="146">
        <v>200</v>
      </c>
      <c r="G103" s="153">
        <f t="shared" si="26"/>
        <v>200</v>
      </c>
      <c r="I103" s="146"/>
      <c r="J103" s="146"/>
      <c r="L103" s="146"/>
      <c r="M103" s="146"/>
      <c r="N103" s="146"/>
      <c r="O103" s="146"/>
      <c r="P103" s="222"/>
    </row>
    <row r="104" spans="2:16" s="195" customFormat="1" ht="15.6" outlineLevel="2" x14ac:dyDescent="0.25">
      <c r="B104" s="152" t="s">
        <v>553</v>
      </c>
      <c r="C104" s="194"/>
      <c r="D104" s="145" t="s">
        <v>174</v>
      </c>
      <c r="E104" s="146"/>
      <c r="F104" s="146">
        <v>2033573.62</v>
      </c>
      <c r="G104" s="153">
        <f t="shared" ref="G104:G128" si="27">E104+F104</f>
        <v>2033573.62</v>
      </c>
      <c r="I104" s="146"/>
      <c r="J104" s="146"/>
      <c r="L104" s="146"/>
      <c r="M104" s="146"/>
      <c r="N104" s="146"/>
      <c r="O104" s="146"/>
      <c r="P104" s="222"/>
    </row>
    <row r="105" spans="2:16" s="195" customFormat="1" ht="15.6" outlineLevel="2" x14ac:dyDescent="0.25">
      <c r="B105" s="152" t="s">
        <v>182</v>
      </c>
      <c r="C105" s="194"/>
      <c r="D105" s="145" t="s">
        <v>174</v>
      </c>
      <c r="E105" s="146"/>
      <c r="F105" s="146">
        <v>1200190.42</v>
      </c>
      <c r="G105" s="153">
        <f t="shared" si="27"/>
        <v>1200190.42</v>
      </c>
      <c r="I105" s="146"/>
      <c r="J105" s="146"/>
      <c r="L105" s="146"/>
      <c r="M105" s="146"/>
      <c r="N105" s="146"/>
      <c r="O105" s="146"/>
      <c r="P105" s="222"/>
    </row>
    <row r="106" spans="2:16" s="195" customFormat="1" ht="15.6" outlineLevel="2" x14ac:dyDescent="0.25">
      <c r="B106" s="152" t="s">
        <v>335</v>
      </c>
      <c r="C106" s="194"/>
      <c r="D106" s="145" t="s">
        <v>174</v>
      </c>
      <c r="E106" s="146"/>
      <c r="F106" s="146">
        <v>815729</v>
      </c>
      <c r="G106" s="153">
        <f t="shared" si="27"/>
        <v>815729</v>
      </c>
      <c r="I106" s="146"/>
      <c r="J106" s="146"/>
      <c r="L106" s="146"/>
      <c r="M106" s="146"/>
      <c r="N106" s="146"/>
      <c r="O106" s="156"/>
      <c r="P106" s="222"/>
    </row>
    <row r="107" spans="2:16" s="195" customFormat="1" ht="15.6" outlineLevel="2" x14ac:dyDescent="0.25">
      <c r="B107" s="152" t="s">
        <v>432</v>
      </c>
      <c r="C107" s="194"/>
      <c r="D107" s="145" t="s">
        <v>174</v>
      </c>
      <c r="E107" s="146"/>
      <c r="F107" s="146">
        <v>770854.72</v>
      </c>
      <c r="G107" s="153">
        <f t="shared" si="27"/>
        <v>770854.72</v>
      </c>
      <c r="I107" s="146"/>
      <c r="J107" s="146"/>
      <c r="L107" s="146"/>
      <c r="M107" s="146"/>
      <c r="N107" s="146"/>
      <c r="P107" s="222"/>
    </row>
    <row r="108" spans="2:16" s="195" customFormat="1" ht="15.6" outlineLevel="2" x14ac:dyDescent="0.25">
      <c r="B108" s="152" t="s">
        <v>581</v>
      </c>
      <c r="C108" s="194"/>
      <c r="D108" s="145" t="s">
        <v>174</v>
      </c>
      <c r="E108" s="146"/>
      <c r="F108" s="146">
        <v>739540.06</v>
      </c>
      <c r="G108" s="153">
        <f t="shared" si="27"/>
        <v>739540.06</v>
      </c>
      <c r="I108" s="146"/>
      <c r="J108" s="146"/>
      <c r="L108" s="146"/>
      <c r="M108" s="146"/>
      <c r="N108" s="146"/>
      <c r="P108" s="222"/>
    </row>
    <row r="109" spans="2:16" s="195" customFormat="1" ht="15.6" outlineLevel="2" x14ac:dyDescent="0.25">
      <c r="B109" s="152" t="s">
        <v>83</v>
      </c>
      <c r="C109" s="194"/>
      <c r="D109" s="145" t="s">
        <v>174</v>
      </c>
      <c r="E109" s="146"/>
      <c r="F109" s="146">
        <v>662365.68000000005</v>
      </c>
      <c r="G109" s="153">
        <f t="shared" si="27"/>
        <v>662365.68000000005</v>
      </c>
      <c r="I109" s="146"/>
      <c r="J109" s="146"/>
      <c r="L109" s="146"/>
      <c r="M109" s="146"/>
      <c r="N109" s="146"/>
      <c r="P109" s="222"/>
    </row>
    <row r="110" spans="2:16" s="195" customFormat="1" ht="15.6" outlineLevel="2" x14ac:dyDescent="0.25">
      <c r="B110" s="152" t="s">
        <v>452</v>
      </c>
      <c r="C110" s="194"/>
      <c r="D110" s="145" t="s">
        <v>174</v>
      </c>
      <c r="E110" s="146"/>
      <c r="F110" s="146">
        <v>640473.04</v>
      </c>
      <c r="G110" s="153">
        <f t="shared" si="27"/>
        <v>640473.04</v>
      </c>
      <c r="I110" s="146"/>
      <c r="J110" s="146"/>
      <c r="L110" s="146"/>
      <c r="M110" s="146"/>
      <c r="N110" s="146"/>
      <c r="P110" s="222"/>
    </row>
    <row r="111" spans="2:16" s="195" customFormat="1" ht="15.6" outlineLevel="2" x14ac:dyDescent="0.25">
      <c r="B111" s="152" t="s">
        <v>380</v>
      </c>
      <c r="C111" s="194"/>
      <c r="D111" s="145" t="s">
        <v>174</v>
      </c>
      <c r="E111" s="146"/>
      <c r="F111" s="146">
        <v>566412.34000000008</v>
      </c>
      <c r="G111" s="153">
        <f t="shared" si="27"/>
        <v>566412.34000000008</v>
      </c>
      <c r="I111" s="146"/>
      <c r="J111" s="146"/>
      <c r="L111" s="146"/>
      <c r="M111" s="146"/>
      <c r="N111" s="146"/>
      <c r="P111" s="222"/>
    </row>
    <row r="112" spans="2:16" s="195" customFormat="1" ht="15.6" outlineLevel="2" x14ac:dyDescent="0.25">
      <c r="B112" s="152" t="s">
        <v>377</v>
      </c>
      <c r="C112" s="194"/>
      <c r="D112" s="145" t="s">
        <v>174</v>
      </c>
      <c r="E112" s="146"/>
      <c r="F112" s="146">
        <v>329327.90999999997</v>
      </c>
      <c r="G112" s="153">
        <f t="shared" si="27"/>
        <v>329327.90999999997</v>
      </c>
      <c r="I112" s="146"/>
      <c r="J112" s="146"/>
      <c r="L112" s="146"/>
      <c r="M112" s="146"/>
      <c r="N112" s="146"/>
      <c r="P112" s="222"/>
    </row>
    <row r="113" spans="2:16" s="195" customFormat="1" ht="15.6" outlineLevel="2" x14ac:dyDescent="0.25">
      <c r="B113" s="152" t="s">
        <v>197</v>
      </c>
      <c r="C113" s="194"/>
      <c r="D113" s="145" t="s">
        <v>174</v>
      </c>
      <c r="E113" s="146"/>
      <c r="F113" s="146">
        <v>269056</v>
      </c>
      <c r="G113" s="153">
        <f t="shared" si="27"/>
        <v>269056</v>
      </c>
      <c r="I113" s="146"/>
      <c r="J113" s="146"/>
      <c r="L113" s="146"/>
      <c r="M113" s="146"/>
      <c r="N113" s="146"/>
      <c r="P113" s="222"/>
    </row>
    <row r="114" spans="2:16" s="195" customFormat="1" ht="15.6" outlineLevel="2" x14ac:dyDescent="0.25">
      <c r="B114" s="152" t="s">
        <v>378</v>
      </c>
      <c r="C114" s="194"/>
      <c r="D114" s="145" t="s">
        <v>174</v>
      </c>
      <c r="E114" s="146"/>
      <c r="F114" s="146">
        <v>222808.17</v>
      </c>
      <c r="G114" s="153">
        <f t="shared" si="27"/>
        <v>222808.17</v>
      </c>
      <c r="I114" s="146"/>
      <c r="J114" s="146"/>
      <c r="L114" s="146"/>
      <c r="M114" s="146"/>
      <c r="N114" s="146"/>
      <c r="P114" s="222"/>
    </row>
    <row r="115" spans="2:16" s="195" customFormat="1" ht="15.6" outlineLevel="2" x14ac:dyDescent="0.25">
      <c r="B115" s="152" t="s">
        <v>433</v>
      </c>
      <c r="C115" s="194"/>
      <c r="D115" s="145" t="s">
        <v>174</v>
      </c>
      <c r="E115" s="146"/>
      <c r="F115" s="146">
        <v>133718</v>
      </c>
      <c r="G115" s="153">
        <f t="shared" si="27"/>
        <v>133718</v>
      </c>
      <c r="I115" s="146"/>
      <c r="J115" s="146"/>
      <c r="L115" s="146"/>
      <c r="M115" s="146"/>
      <c r="N115" s="146"/>
      <c r="P115" s="222"/>
    </row>
    <row r="116" spans="2:16" s="195" customFormat="1" ht="15.6" outlineLevel="2" x14ac:dyDescent="0.25">
      <c r="B116" s="152" t="s">
        <v>671</v>
      </c>
      <c r="C116" s="194"/>
      <c r="D116" s="145" t="s">
        <v>174</v>
      </c>
      <c r="E116" s="146"/>
      <c r="F116" s="146">
        <v>20525.8</v>
      </c>
      <c r="G116" s="153">
        <f t="shared" si="27"/>
        <v>20525.8</v>
      </c>
      <c r="I116" s="146"/>
      <c r="J116" s="146"/>
      <c r="L116" s="146"/>
      <c r="M116" s="146"/>
      <c r="N116" s="146"/>
      <c r="P116" s="222"/>
    </row>
    <row r="117" spans="2:16" s="195" customFormat="1" ht="15.6" outlineLevel="2" x14ac:dyDescent="0.25">
      <c r="B117" s="152" t="s">
        <v>864</v>
      </c>
      <c r="C117" s="194"/>
      <c r="D117" s="145" t="s">
        <v>174</v>
      </c>
      <c r="E117" s="146"/>
      <c r="F117" s="146">
        <v>11278.17</v>
      </c>
      <c r="G117" s="153">
        <f t="shared" si="27"/>
        <v>11278.17</v>
      </c>
      <c r="I117" s="146"/>
      <c r="J117" s="146"/>
      <c r="L117" s="146"/>
      <c r="M117" s="146"/>
      <c r="N117" s="146"/>
      <c r="P117" s="222"/>
    </row>
    <row r="118" spans="2:16" s="195" customFormat="1" ht="15.6" outlineLevel="2" x14ac:dyDescent="0.25">
      <c r="B118" s="152" t="s">
        <v>426</v>
      </c>
      <c r="C118" s="194"/>
      <c r="D118" s="145" t="s">
        <v>174</v>
      </c>
      <c r="E118" s="146"/>
      <c r="F118" s="146">
        <v>5030.5</v>
      </c>
      <c r="G118" s="153">
        <f t="shared" si="27"/>
        <v>5030.5</v>
      </c>
      <c r="I118" s="146"/>
      <c r="J118" s="146"/>
      <c r="L118" s="146"/>
      <c r="M118" s="146"/>
      <c r="N118" s="146"/>
      <c r="P118" s="222"/>
    </row>
    <row r="119" spans="2:16" s="195" customFormat="1" ht="15.6" outlineLevel="2" x14ac:dyDescent="0.25">
      <c r="B119" s="152" t="s">
        <v>337</v>
      </c>
      <c r="C119" s="194"/>
      <c r="D119" s="145" t="s">
        <v>920</v>
      </c>
      <c r="E119" s="146"/>
      <c r="F119" s="146">
        <v>3280155.1799999997</v>
      </c>
      <c r="G119" s="153">
        <f t="shared" si="27"/>
        <v>3280155.1799999997</v>
      </c>
      <c r="I119" s="146"/>
      <c r="J119" s="146"/>
      <c r="L119" s="146"/>
      <c r="M119" s="146"/>
      <c r="N119" s="146"/>
      <c r="P119" s="222"/>
    </row>
    <row r="120" spans="2:16" s="195" customFormat="1" ht="15.6" outlineLevel="2" x14ac:dyDescent="0.25">
      <c r="B120" s="152" t="s">
        <v>295</v>
      </c>
      <c r="C120" s="194"/>
      <c r="D120" s="145" t="s">
        <v>920</v>
      </c>
      <c r="E120" s="146"/>
      <c r="F120" s="146">
        <v>510391.22</v>
      </c>
      <c r="G120" s="153">
        <f t="shared" si="27"/>
        <v>510391.22</v>
      </c>
      <c r="I120" s="146"/>
      <c r="J120" s="146"/>
      <c r="L120" s="146"/>
      <c r="M120" s="146"/>
      <c r="N120" s="146"/>
      <c r="P120" s="222"/>
    </row>
    <row r="121" spans="2:16" s="195" customFormat="1" ht="15.6" outlineLevel="2" x14ac:dyDescent="0.25">
      <c r="B121" s="152" t="s">
        <v>355</v>
      </c>
      <c r="C121" s="194"/>
      <c r="D121" s="145" t="s">
        <v>920</v>
      </c>
      <c r="E121" s="146"/>
      <c r="F121" s="146">
        <v>224812.61</v>
      </c>
      <c r="G121" s="153">
        <f t="shared" si="27"/>
        <v>224812.61</v>
      </c>
      <c r="I121" s="146"/>
      <c r="J121" s="146"/>
      <c r="L121" s="146"/>
      <c r="M121" s="146"/>
      <c r="N121" s="146"/>
      <c r="P121" s="222"/>
    </row>
    <row r="122" spans="2:16" s="195" customFormat="1" ht="15.6" outlineLevel="2" x14ac:dyDescent="0.25">
      <c r="B122" s="152" t="s">
        <v>131</v>
      </c>
      <c r="C122" s="194"/>
      <c r="D122" s="145" t="s">
        <v>920</v>
      </c>
      <c r="E122" s="146"/>
      <c r="F122" s="146">
        <v>213717.72</v>
      </c>
      <c r="G122" s="153">
        <f t="shared" si="27"/>
        <v>213717.72</v>
      </c>
      <c r="I122" s="146"/>
      <c r="J122" s="146"/>
      <c r="L122" s="146"/>
      <c r="M122" s="146"/>
      <c r="N122" s="146"/>
      <c r="P122" s="222"/>
    </row>
    <row r="123" spans="2:16" s="195" customFormat="1" ht="15.6" outlineLevel="2" x14ac:dyDescent="0.25">
      <c r="B123" s="152" t="s">
        <v>126</v>
      </c>
      <c r="C123" s="194"/>
      <c r="D123" s="145" t="s">
        <v>920</v>
      </c>
      <c r="E123" s="146"/>
      <c r="F123" s="146">
        <v>157607.13</v>
      </c>
      <c r="G123" s="153">
        <f t="shared" si="27"/>
        <v>157607.13</v>
      </c>
      <c r="I123" s="146"/>
      <c r="J123" s="146"/>
      <c r="L123" s="146"/>
      <c r="M123" s="146"/>
      <c r="N123" s="146"/>
      <c r="P123" s="222"/>
    </row>
    <row r="124" spans="2:16" s="195" customFormat="1" ht="15.6" outlineLevel="2" x14ac:dyDescent="0.25">
      <c r="B124" s="152" t="s">
        <v>130</v>
      </c>
      <c r="C124" s="194"/>
      <c r="D124" s="145" t="s">
        <v>920</v>
      </c>
      <c r="E124" s="146"/>
      <c r="F124" s="146">
        <v>145895</v>
      </c>
      <c r="G124" s="153">
        <f t="shared" si="27"/>
        <v>145895</v>
      </c>
      <c r="I124" s="146"/>
      <c r="J124" s="146"/>
      <c r="L124" s="146"/>
      <c r="M124" s="146"/>
      <c r="N124" s="146"/>
      <c r="P124" s="222"/>
    </row>
    <row r="125" spans="2:16" s="195" customFormat="1" ht="15.6" outlineLevel="2" x14ac:dyDescent="0.25">
      <c r="B125" s="152" t="s">
        <v>382</v>
      </c>
      <c r="C125" s="194"/>
      <c r="D125" s="145" t="s">
        <v>920</v>
      </c>
      <c r="E125" s="146"/>
      <c r="F125" s="146">
        <v>132178.28</v>
      </c>
      <c r="G125" s="153">
        <f t="shared" si="27"/>
        <v>132178.28</v>
      </c>
      <c r="I125" s="146"/>
      <c r="J125" s="146"/>
      <c r="L125" s="146"/>
      <c r="M125" s="146"/>
      <c r="N125" s="146"/>
      <c r="P125" s="222"/>
    </row>
    <row r="126" spans="2:16" s="195" customFormat="1" ht="15.6" outlineLevel="2" x14ac:dyDescent="0.25">
      <c r="B126" s="152" t="s">
        <v>535</v>
      </c>
      <c r="C126" s="194"/>
      <c r="D126" s="145" t="s">
        <v>920</v>
      </c>
      <c r="E126" s="146"/>
      <c r="F126" s="146">
        <v>103419.88999999998</v>
      </c>
      <c r="G126" s="153">
        <f t="shared" si="27"/>
        <v>103419.88999999998</v>
      </c>
      <c r="I126" s="146"/>
      <c r="J126" s="146"/>
      <c r="L126" s="146"/>
      <c r="M126" s="146"/>
      <c r="N126" s="146"/>
      <c r="P126" s="222"/>
    </row>
    <row r="127" spans="2:16" s="195" customFormat="1" ht="15.6" outlineLevel="2" x14ac:dyDescent="0.25">
      <c r="B127" s="152" t="s">
        <v>305</v>
      </c>
      <c r="C127" s="194"/>
      <c r="D127" s="145" t="s">
        <v>920</v>
      </c>
      <c r="E127" s="146"/>
      <c r="F127" s="146">
        <v>86689.1</v>
      </c>
      <c r="G127" s="153">
        <f t="shared" si="27"/>
        <v>86689.1</v>
      </c>
      <c r="I127" s="146"/>
      <c r="J127" s="146"/>
      <c r="L127" s="146"/>
      <c r="M127" s="146"/>
      <c r="N127" s="146"/>
      <c r="P127" s="222"/>
    </row>
    <row r="128" spans="2:16" s="195" customFormat="1" ht="15.6" outlineLevel="2" x14ac:dyDescent="0.25">
      <c r="B128" s="152" t="s">
        <v>492</v>
      </c>
      <c r="C128" s="194"/>
      <c r="D128" s="145" t="s">
        <v>920</v>
      </c>
      <c r="E128" s="146"/>
      <c r="F128" s="146">
        <v>76480.23</v>
      </c>
      <c r="G128" s="153">
        <f t="shared" si="27"/>
        <v>76480.23</v>
      </c>
      <c r="I128" s="146"/>
      <c r="J128" s="146"/>
      <c r="L128" s="146"/>
      <c r="M128" s="146"/>
      <c r="N128" s="146"/>
      <c r="P128" s="222"/>
    </row>
    <row r="129" spans="2:16" s="195" customFormat="1" ht="15.6" outlineLevel="2" x14ac:dyDescent="0.25">
      <c r="B129" s="152" t="s">
        <v>907</v>
      </c>
      <c r="C129" s="194"/>
      <c r="D129" s="145" t="s">
        <v>920</v>
      </c>
      <c r="E129" s="146"/>
      <c r="F129" s="146">
        <v>58715.6</v>
      </c>
      <c r="G129" s="153">
        <f t="shared" ref="G129:G131" si="28">E129+F129</f>
        <v>58715.6</v>
      </c>
      <c r="I129" s="146"/>
      <c r="J129" s="146"/>
      <c r="L129" s="146"/>
      <c r="M129" s="146"/>
      <c r="N129" s="146"/>
      <c r="P129" s="222"/>
    </row>
    <row r="130" spans="2:16" s="195" customFormat="1" ht="15.6" outlineLevel="2" x14ac:dyDescent="0.25">
      <c r="B130" s="152" t="s">
        <v>853</v>
      </c>
      <c r="C130" s="194"/>
      <c r="D130" s="145" t="s">
        <v>920</v>
      </c>
      <c r="E130" s="146"/>
      <c r="F130" s="146">
        <v>45718.46</v>
      </c>
      <c r="G130" s="153">
        <f t="shared" si="28"/>
        <v>45718.46</v>
      </c>
      <c r="I130" s="146"/>
      <c r="J130" s="146"/>
      <c r="L130" s="146"/>
      <c r="M130" s="146"/>
      <c r="N130" s="146"/>
      <c r="P130" s="222"/>
    </row>
    <row r="131" spans="2:16" s="195" customFormat="1" ht="15.6" outlineLevel="2" x14ac:dyDescent="0.25">
      <c r="B131" s="152" t="s">
        <v>360</v>
      </c>
      <c r="C131" s="194"/>
      <c r="D131" s="145" t="s">
        <v>920</v>
      </c>
      <c r="E131" s="146"/>
      <c r="F131" s="146">
        <v>40017.64</v>
      </c>
      <c r="G131" s="153">
        <f t="shared" si="28"/>
        <v>40017.64</v>
      </c>
      <c r="I131" s="146"/>
      <c r="J131" s="146"/>
      <c r="L131" s="146"/>
      <c r="M131" s="146"/>
      <c r="N131" s="146"/>
      <c r="P131" s="222"/>
    </row>
    <row r="132" spans="2:16" ht="15.6" x14ac:dyDescent="0.25">
      <c r="B132" s="157" t="s">
        <v>351</v>
      </c>
      <c r="C132" s="194"/>
      <c r="D132" s="158"/>
      <c r="E132" s="159">
        <f>E46+E45+E39+SUM(E60:E131)</f>
        <v>23036500.679999996</v>
      </c>
      <c r="F132" s="159">
        <f>F46+F45+F39+SUM(F60:F131)</f>
        <v>38344132.38000001</v>
      </c>
      <c r="G132" s="159">
        <f>G46+G45+G39+SUM(G60:G131)</f>
        <v>61380633.060000002</v>
      </c>
      <c r="I132" s="159">
        <f>I46+I45+I39+SUM(I60:I131)</f>
        <v>10610662.462300001</v>
      </c>
      <c r="J132" s="159">
        <f>J46+J45+J39+SUM(J60:J131)</f>
        <v>0</v>
      </c>
      <c r="L132" s="159">
        <f>L46+L45+L39+SUM(L60:L131)</f>
        <v>10433395.8572</v>
      </c>
      <c r="M132" s="159">
        <f>M46+M45+M39+SUM(M60:M131)</f>
        <v>11888432.652799997</v>
      </c>
      <c r="N132" s="159">
        <f>N46+N45+N39+SUM(N60:N131)</f>
        <v>714672.16999999993</v>
      </c>
      <c r="P132" s="160"/>
    </row>
    <row r="133" spans="2:16" ht="15.6" x14ac:dyDescent="0.25">
      <c r="C133" s="194"/>
    </row>
    <row r="134" spans="2:16" ht="15.6" x14ac:dyDescent="0.25">
      <c r="B134" s="157"/>
      <c r="C134" s="194"/>
      <c r="D134" s="158" t="s">
        <v>920</v>
      </c>
      <c r="E134" s="159">
        <f t="shared" ref="E134:N136" si="29">SUMIF($D$26:$D$132,$D134,E$26:E$132)</f>
        <v>464583.31999999995</v>
      </c>
      <c r="F134" s="159">
        <f t="shared" si="29"/>
        <v>5075798.0599999987</v>
      </c>
      <c r="G134" s="159">
        <f t="shared" si="29"/>
        <v>5540381.379999999</v>
      </c>
      <c r="H134" s="195">
        <f t="shared" si="29"/>
        <v>0</v>
      </c>
      <c r="I134" s="159">
        <f t="shared" si="29"/>
        <v>13501.0491</v>
      </c>
      <c r="J134" s="159">
        <f t="shared" si="29"/>
        <v>0</v>
      </c>
      <c r="K134" s="195">
        <f t="shared" si="29"/>
        <v>0</v>
      </c>
      <c r="L134" s="159">
        <f t="shared" si="29"/>
        <v>0</v>
      </c>
      <c r="M134" s="159">
        <f t="shared" si="29"/>
        <v>0</v>
      </c>
      <c r="N134" s="159">
        <f t="shared" si="29"/>
        <v>464583.31999999995</v>
      </c>
      <c r="P134" s="160"/>
    </row>
    <row r="135" spans="2:16" ht="15.6" x14ac:dyDescent="0.25">
      <c r="B135" s="157"/>
      <c r="C135" s="194"/>
      <c r="D135" s="158" t="s">
        <v>174</v>
      </c>
      <c r="E135" s="159">
        <f t="shared" si="29"/>
        <v>21854828.589999996</v>
      </c>
      <c r="F135" s="159">
        <f t="shared" si="29"/>
        <v>8420883.4299999997</v>
      </c>
      <c r="G135" s="159">
        <f t="shared" si="29"/>
        <v>30275712.019999996</v>
      </c>
      <c r="H135" s="195">
        <f t="shared" si="29"/>
        <v>0</v>
      </c>
      <c r="I135" s="159">
        <f t="shared" si="29"/>
        <v>9966395.9372000005</v>
      </c>
      <c r="J135" s="159">
        <f t="shared" si="29"/>
        <v>0</v>
      </c>
      <c r="K135" s="195">
        <f t="shared" si="29"/>
        <v>0</v>
      </c>
      <c r="L135" s="159">
        <f t="shared" si="29"/>
        <v>9966395.9372000005</v>
      </c>
      <c r="M135" s="159">
        <f t="shared" si="29"/>
        <v>11888432.652799997</v>
      </c>
      <c r="N135" s="159">
        <f t="shared" si="29"/>
        <v>0</v>
      </c>
      <c r="P135" s="160"/>
    </row>
    <row r="136" spans="2:16" ht="15.6" x14ac:dyDescent="0.25">
      <c r="B136" s="157"/>
      <c r="C136" s="194"/>
      <c r="D136" s="158" t="s">
        <v>520</v>
      </c>
      <c r="E136" s="159">
        <f t="shared" si="29"/>
        <v>717088.77</v>
      </c>
      <c r="F136" s="159">
        <f t="shared" si="29"/>
        <v>24847450.890000008</v>
      </c>
      <c r="G136" s="159">
        <f t="shared" si="29"/>
        <v>25564539.660000008</v>
      </c>
      <c r="H136" s="195">
        <f t="shared" si="29"/>
        <v>0</v>
      </c>
      <c r="I136" s="159">
        <f t="shared" si="29"/>
        <v>630765.47600000002</v>
      </c>
      <c r="J136" s="159">
        <f t="shared" si="29"/>
        <v>0</v>
      </c>
      <c r="K136" s="195">
        <f t="shared" si="29"/>
        <v>0</v>
      </c>
      <c r="L136" s="159">
        <f t="shared" si="29"/>
        <v>466999.92</v>
      </c>
      <c r="M136" s="159">
        <f t="shared" si="29"/>
        <v>0</v>
      </c>
      <c r="N136" s="159">
        <f t="shared" si="29"/>
        <v>250088.85</v>
      </c>
      <c r="P136" s="160"/>
    </row>
    <row r="137" spans="2:16" ht="15.6" x14ac:dyDescent="0.25">
      <c r="B137" s="157"/>
      <c r="C137" s="194"/>
      <c r="D137" s="158" t="s">
        <v>351</v>
      </c>
      <c r="E137" s="159">
        <f>SUM(E134:E136)</f>
        <v>23036500.679999996</v>
      </c>
      <c r="F137" s="159">
        <f t="shared" ref="F137:N137" si="30">SUM(F134:F136)</f>
        <v>38344132.38000001</v>
      </c>
      <c r="G137" s="159">
        <f t="shared" si="30"/>
        <v>61380633.060000002</v>
      </c>
      <c r="H137" s="195">
        <f t="shared" si="30"/>
        <v>0</v>
      </c>
      <c r="I137" s="281">
        <f>SUM(I134:I136)</f>
        <v>10610662.462300001</v>
      </c>
      <c r="J137" s="159">
        <f t="shared" si="30"/>
        <v>0</v>
      </c>
      <c r="K137" s="195">
        <f t="shared" si="30"/>
        <v>0</v>
      </c>
      <c r="L137" s="159">
        <f t="shared" si="30"/>
        <v>10433395.8572</v>
      </c>
      <c r="M137" s="159">
        <f t="shared" si="30"/>
        <v>11888432.652799997</v>
      </c>
      <c r="N137" s="159">
        <f t="shared" si="30"/>
        <v>714672.16999999993</v>
      </c>
      <c r="P137" s="160"/>
    </row>
    <row r="138" spans="2:16" x14ac:dyDescent="0.25">
      <c r="E138" s="218">
        <f>+E137-E132</f>
        <v>0</v>
      </c>
      <c r="F138" s="218">
        <f>+F137-F132</f>
        <v>0</v>
      </c>
      <c r="G138" s="218">
        <f>+G137-G132</f>
        <v>0</v>
      </c>
      <c r="H138" s="218">
        <f t="shared" ref="H138:K138" si="31">+H137-H132</f>
        <v>0</v>
      </c>
      <c r="I138" s="218">
        <f>+I137-I132</f>
        <v>0</v>
      </c>
      <c r="J138" s="218">
        <f>+J137-J132</f>
        <v>0</v>
      </c>
      <c r="K138" s="218">
        <f t="shared" si="31"/>
        <v>0</v>
      </c>
      <c r="L138" s="218">
        <f>+L137-L132</f>
        <v>0</v>
      </c>
      <c r="M138" s="218">
        <f>+M137-M132</f>
        <v>0</v>
      </c>
      <c r="N138" s="218">
        <f>+N137-N132</f>
        <v>0</v>
      </c>
    </row>
    <row r="139" spans="2:16" x14ac:dyDescent="0.25">
      <c r="I139" s="218"/>
      <c r="J139" s="218"/>
      <c r="M139" s="218"/>
    </row>
    <row r="140" spans="2:16" x14ac:dyDescent="0.25">
      <c r="I140" s="216"/>
      <c r="J140" s="216"/>
    </row>
    <row r="141" spans="2:16" x14ac:dyDescent="0.25">
      <c r="E141" s="399">
        <f>22879117.56+157383.12</f>
        <v>23036500.68</v>
      </c>
      <c r="F141" s="258">
        <v>38344132.380000003</v>
      </c>
      <c r="G141" s="399">
        <f>61223249.94+157383.12</f>
        <v>61380633.059999995</v>
      </c>
      <c r="I141" s="258">
        <v>10610662.462299995</v>
      </c>
    </row>
    <row r="142" spans="2:16" x14ac:dyDescent="0.25">
      <c r="E142" s="218">
        <f>E141-E132</f>
        <v>0</v>
      </c>
      <c r="F142" s="218">
        <f>F141-F132</f>
        <v>0</v>
      </c>
      <c r="G142" s="218">
        <f>G132-G141</f>
        <v>0</v>
      </c>
      <c r="H142" s="218">
        <f t="shared" ref="H142" si="32">H132-H141</f>
        <v>0</v>
      </c>
      <c r="I142" s="258">
        <f>I132-I141</f>
        <v>0</v>
      </c>
    </row>
    <row r="145" spans="5:7" x14ac:dyDescent="0.25">
      <c r="E145" s="218"/>
      <c r="F145" s="218"/>
    </row>
    <row r="146" spans="5:7" x14ac:dyDescent="0.25">
      <c r="E146" s="215"/>
      <c r="F146" s="218"/>
    </row>
    <row r="147" spans="5:7" x14ac:dyDescent="0.25">
      <c r="E147" s="215"/>
    </row>
    <row r="148" spans="5:7" x14ac:dyDescent="0.25">
      <c r="E148" s="216"/>
      <c r="G148" s="218"/>
    </row>
    <row r="149" spans="5:7" x14ac:dyDescent="0.25">
      <c r="E149" s="216"/>
    </row>
  </sheetData>
  <autoFilter ref="A21:T138" xr:uid="{4E0151F4-2778-4E4A-BE26-75C4E309E92D}"/>
  <mergeCells count="21">
    <mergeCell ref="B2:D2"/>
    <mergeCell ref="E2:F2"/>
    <mergeCell ref="B4:B5"/>
    <mergeCell ref="D4:D5"/>
    <mergeCell ref="E4:E5"/>
    <mergeCell ref="F4:F5"/>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502</v>
      </c>
    </row>
    <row r="2" spans="2:13" ht="15.6" x14ac:dyDescent="0.25">
      <c r="B2" s="406" t="s">
        <v>543</v>
      </c>
      <c r="D2" s="406" t="s">
        <v>339</v>
      </c>
      <c r="E2" s="406" t="s">
        <v>27</v>
      </c>
      <c r="F2" s="406" t="s">
        <v>8</v>
      </c>
      <c r="G2" s="406" t="s">
        <v>340</v>
      </c>
      <c r="I2" s="406" t="s">
        <v>503</v>
      </c>
      <c r="J2" s="406"/>
      <c r="K2" s="406"/>
      <c r="M2" s="406" t="s">
        <v>338</v>
      </c>
    </row>
    <row r="3" spans="2:13" ht="15.6" x14ac:dyDescent="0.25">
      <c r="B3" s="407"/>
      <c r="D3" s="407"/>
      <c r="E3" s="407"/>
      <c r="F3" s="407"/>
      <c r="G3" s="407"/>
      <c r="I3" s="51" t="s">
        <v>483</v>
      </c>
      <c r="J3" s="51" t="s">
        <v>484</v>
      </c>
      <c r="K3" s="51" t="s">
        <v>485</v>
      </c>
      <c r="M3" s="407"/>
    </row>
    <row r="4" spans="2:13" ht="34.200000000000003" customHeight="1" x14ac:dyDescent="0.25">
      <c r="B4" s="133" t="s">
        <v>504</v>
      </c>
      <c r="D4" s="133" t="s">
        <v>342</v>
      </c>
      <c r="E4" s="134">
        <v>7560727.7999999998</v>
      </c>
      <c r="F4" s="134"/>
      <c r="G4" s="134">
        <v>3780363.9000000008</v>
      </c>
      <c r="I4" s="67">
        <v>3780363.8999999985</v>
      </c>
      <c r="J4" s="67">
        <v>3780363.8999999985</v>
      </c>
      <c r="K4" s="67"/>
      <c r="M4" s="135" t="s">
        <v>546</v>
      </c>
    </row>
    <row r="5" spans="2:13" ht="22.2" customHeight="1" x14ac:dyDescent="0.25">
      <c r="B5" s="133" t="s">
        <v>505</v>
      </c>
      <c r="D5" s="133" t="s">
        <v>342</v>
      </c>
      <c r="E5" s="134">
        <v>3088531.07</v>
      </c>
      <c r="F5" s="134">
        <v>0</v>
      </c>
      <c r="G5" s="134">
        <v>3088531.0700000008</v>
      </c>
      <c r="I5" s="67">
        <v>3088531.0700000008</v>
      </c>
      <c r="J5" s="67"/>
      <c r="K5" s="67"/>
      <c r="M5" s="135" t="s">
        <v>506</v>
      </c>
    </row>
    <row r="6" spans="2:13" ht="21.6" customHeight="1" x14ac:dyDescent="0.25">
      <c r="B6" s="133" t="s">
        <v>507</v>
      </c>
      <c r="D6" s="133" t="s">
        <v>342</v>
      </c>
      <c r="E6" s="134">
        <v>1076345</v>
      </c>
      <c r="F6" s="134">
        <v>0</v>
      </c>
      <c r="G6" s="134">
        <v>1076345</v>
      </c>
      <c r="I6" s="67">
        <v>1076345</v>
      </c>
      <c r="J6" s="67"/>
      <c r="K6" s="67"/>
      <c r="M6" s="136" t="s">
        <v>545</v>
      </c>
    </row>
    <row r="7" spans="2:13" ht="31.2" x14ac:dyDescent="0.25">
      <c r="B7" s="133" t="s">
        <v>508</v>
      </c>
      <c r="D7" s="133" t="s">
        <v>342</v>
      </c>
      <c r="E7" s="134">
        <v>1892359.96</v>
      </c>
      <c r="F7" s="134">
        <v>0</v>
      </c>
      <c r="G7" s="134">
        <v>0</v>
      </c>
      <c r="I7" s="67">
        <v>0</v>
      </c>
      <c r="J7" s="67">
        <v>1892359.9599999997</v>
      </c>
      <c r="K7" s="67"/>
      <c r="M7" s="137" t="s">
        <v>509</v>
      </c>
    </row>
    <row r="8" spans="2:13" ht="15.6" x14ac:dyDescent="0.25">
      <c r="B8" s="133" t="s">
        <v>510</v>
      </c>
      <c r="D8" s="133" t="s">
        <v>342</v>
      </c>
      <c r="E8" s="134">
        <v>1716645.3400000003</v>
      </c>
      <c r="F8" s="134"/>
      <c r="G8" s="134">
        <v>1716645.3400000003</v>
      </c>
      <c r="I8" s="67">
        <v>1716645.3400000003</v>
      </c>
      <c r="J8" s="67"/>
      <c r="K8" s="67"/>
      <c r="M8" s="135" t="s">
        <v>511</v>
      </c>
    </row>
    <row r="9" spans="2:13" ht="31.2" x14ac:dyDescent="0.25">
      <c r="B9" s="133" t="s">
        <v>512</v>
      </c>
      <c r="D9" s="133" t="s">
        <v>342</v>
      </c>
      <c r="E9" s="134">
        <v>2971789.8900000006</v>
      </c>
      <c r="F9" s="134"/>
      <c r="G9" s="134">
        <v>89153.696699999986</v>
      </c>
      <c r="I9" s="67"/>
      <c r="J9" s="67">
        <v>2971789.8900000006</v>
      </c>
      <c r="K9" s="67"/>
      <c r="M9" s="137" t="s">
        <v>513</v>
      </c>
    </row>
    <row r="10" spans="2:13" ht="15.6" x14ac:dyDescent="0.25">
      <c r="B10" s="133" t="s">
        <v>514</v>
      </c>
      <c r="D10" s="133" t="s">
        <v>342</v>
      </c>
      <c r="E10" s="134">
        <v>3044850.92</v>
      </c>
      <c r="F10" s="134">
        <v>0</v>
      </c>
      <c r="G10" s="134">
        <v>91345.527599999972</v>
      </c>
      <c r="I10" s="67"/>
      <c r="J10" s="67">
        <v>3044850.9199999995</v>
      </c>
      <c r="K10" s="67"/>
      <c r="M10" s="135" t="s">
        <v>506</v>
      </c>
    </row>
    <row r="11" spans="2:13" ht="1.95" customHeight="1" x14ac:dyDescent="0.25">
      <c r="B11" s="133"/>
      <c r="D11" s="133"/>
      <c r="E11" s="134"/>
      <c r="F11" s="134"/>
      <c r="G11" s="134"/>
      <c r="I11" s="138"/>
      <c r="J11" s="139"/>
      <c r="K11" s="134"/>
      <c r="M11" s="135"/>
    </row>
    <row r="12" spans="2:13" ht="15.6" x14ac:dyDescent="0.25">
      <c r="B12" s="140" t="s">
        <v>515</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516</v>
      </c>
      <c r="D13" s="133" t="s">
        <v>174</v>
      </c>
      <c r="E13" s="64">
        <v>110528</v>
      </c>
      <c r="F13" s="134">
        <v>0</v>
      </c>
      <c r="G13" s="134">
        <v>110527.99999999999</v>
      </c>
      <c r="I13" s="64">
        <v>110528</v>
      </c>
      <c r="J13" s="142"/>
      <c r="K13" s="142"/>
      <c r="M13" s="143" t="s">
        <v>408</v>
      </c>
    </row>
    <row r="14" spans="2:13" ht="15.6" hidden="1" outlineLevel="1" x14ac:dyDescent="0.25">
      <c r="B14" s="133" t="s">
        <v>517</v>
      </c>
      <c r="D14" s="133" t="s">
        <v>174</v>
      </c>
      <c r="E14" s="64">
        <v>22222.25</v>
      </c>
      <c r="F14" s="134">
        <v>0</v>
      </c>
      <c r="G14" s="134">
        <v>22222.25</v>
      </c>
      <c r="I14" s="142">
        <v>22222.25</v>
      </c>
      <c r="J14" s="142"/>
      <c r="K14" s="142"/>
      <c r="M14" s="143" t="s">
        <v>518</v>
      </c>
    </row>
    <row r="15" spans="2:13" ht="15.6" hidden="1" outlineLevel="1" x14ac:dyDescent="0.25">
      <c r="B15" s="133" t="s">
        <v>519</v>
      </c>
      <c r="D15" s="133" t="s">
        <v>520</v>
      </c>
      <c r="E15" s="64">
        <v>226233.60000000001</v>
      </c>
      <c r="F15" s="134">
        <v>0</v>
      </c>
      <c r="G15" s="134">
        <v>6787.0079999999998</v>
      </c>
      <c r="I15" s="144">
        <v>226233.60000000001</v>
      </c>
      <c r="J15" s="142"/>
      <c r="K15" s="142"/>
      <c r="M15" s="143" t="s">
        <v>407</v>
      </c>
    </row>
    <row r="16" spans="2:13" ht="15.6" hidden="1" outlineLevel="1" x14ac:dyDescent="0.25">
      <c r="B16" s="133" t="s">
        <v>521</v>
      </c>
      <c r="D16" s="133" t="s">
        <v>520</v>
      </c>
      <c r="E16" s="64">
        <v>140872.6</v>
      </c>
      <c r="F16" s="134">
        <v>0</v>
      </c>
      <c r="G16" s="134">
        <v>140872.6</v>
      </c>
      <c r="I16" s="144">
        <v>140872.6</v>
      </c>
      <c r="J16" s="142"/>
      <c r="K16" s="142"/>
      <c r="M16" s="143" t="s">
        <v>408</v>
      </c>
    </row>
    <row r="17" spans="2:13" ht="15.6" hidden="1" outlineLevel="1" x14ac:dyDescent="0.25">
      <c r="B17" s="133" t="s">
        <v>522</v>
      </c>
      <c r="D17" s="133" t="s">
        <v>520</v>
      </c>
      <c r="E17" s="64">
        <v>41379</v>
      </c>
      <c r="F17" s="134">
        <v>0</v>
      </c>
      <c r="G17" s="134">
        <v>41379</v>
      </c>
      <c r="I17" s="142">
        <v>41379</v>
      </c>
      <c r="J17" s="142"/>
      <c r="K17" s="142"/>
      <c r="M17" s="143" t="s">
        <v>408</v>
      </c>
    </row>
    <row r="18" spans="2:13" ht="15.6" hidden="1" outlineLevel="1" x14ac:dyDescent="0.25">
      <c r="B18" s="133" t="s">
        <v>91</v>
      </c>
      <c r="D18" s="133" t="s">
        <v>520</v>
      </c>
      <c r="E18" s="64">
        <v>20940</v>
      </c>
      <c r="F18" s="134"/>
      <c r="G18" s="134">
        <v>20940</v>
      </c>
      <c r="I18" s="64">
        <v>20940</v>
      </c>
      <c r="J18" s="142"/>
      <c r="K18" s="142"/>
      <c r="M18" s="143"/>
    </row>
    <row r="19" spans="2:13" s="131" customFormat="1" ht="15.6" hidden="1" outlineLevel="1" x14ac:dyDescent="0.25">
      <c r="B19" s="133" t="s">
        <v>523</v>
      </c>
      <c r="D19" s="145" t="s">
        <v>520</v>
      </c>
      <c r="E19" s="146">
        <v>102008.2</v>
      </c>
      <c r="F19" s="147"/>
      <c r="G19" s="146">
        <v>3060.25</v>
      </c>
      <c r="I19" s="146">
        <v>102008.2</v>
      </c>
      <c r="J19" s="147"/>
      <c r="K19" s="147"/>
      <c r="M19" s="143" t="s">
        <v>524</v>
      </c>
    </row>
    <row r="20" spans="2:13" ht="15.6" hidden="1" outlineLevel="1" x14ac:dyDescent="0.25">
      <c r="B20" s="136" t="s">
        <v>525</v>
      </c>
      <c r="D20" s="133" t="s">
        <v>520</v>
      </c>
      <c r="E20" s="64">
        <v>84291.45</v>
      </c>
      <c r="F20" s="134">
        <v>0</v>
      </c>
      <c r="G20" s="134">
        <v>84291.45</v>
      </c>
      <c r="I20" s="144">
        <v>84291.45</v>
      </c>
      <c r="J20" s="142"/>
      <c r="K20" s="142"/>
      <c r="M20" s="143" t="s">
        <v>408</v>
      </c>
    </row>
    <row r="21" spans="2:13" ht="15.6" collapsed="1" x14ac:dyDescent="0.25">
      <c r="B21" s="148" t="s">
        <v>348</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349</v>
      </c>
      <c r="D22" s="148"/>
      <c r="E22" s="149">
        <f>SUM(E23:E43)</f>
        <v>7425775.789999987</v>
      </c>
      <c r="F22" s="149">
        <f>F44+F45+F46</f>
        <v>35847179.720000006</v>
      </c>
      <c r="G22" s="149">
        <f>SUM(G23:G43)</f>
        <v>526944.99209999992</v>
      </c>
      <c r="I22" s="149"/>
      <c r="J22" s="149"/>
      <c r="K22" s="149"/>
      <c r="M22" s="149" t="s">
        <v>350</v>
      </c>
    </row>
    <row r="23" spans="2:13" s="131" customFormat="1" ht="15.6" hidden="1" outlineLevel="1" x14ac:dyDescent="0.25">
      <c r="B23" s="145" t="s">
        <v>544</v>
      </c>
      <c r="D23" s="145" t="s">
        <v>520</v>
      </c>
      <c r="E23" s="146">
        <f>1991399-67239</f>
        <v>1924160</v>
      </c>
      <c r="F23" s="146"/>
      <c r="G23" s="146">
        <v>67314</v>
      </c>
      <c r="I23" s="147"/>
      <c r="J23" s="147"/>
      <c r="K23" s="146">
        <f>E23</f>
        <v>1924160</v>
      </c>
      <c r="M23" s="146" t="s">
        <v>536</v>
      </c>
    </row>
    <row r="24" spans="2:13" s="131" customFormat="1" ht="15.6" hidden="1" outlineLevel="1" x14ac:dyDescent="0.25">
      <c r="B24" s="145" t="s">
        <v>500</v>
      </c>
      <c r="D24" s="145" t="s">
        <v>520</v>
      </c>
      <c r="E24" s="146">
        <f>765704.79-80843.12</f>
        <v>684861.67</v>
      </c>
      <c r="F24" s="146"/>
      <c r="G24" s="146">
        <v>66674.040000000008</v>
      </c>
      <c r="I24" s="147"/>
      <c r="J24" s="147"/>
      <c r="K24" s="146">
        <f>E24</f>
        <v>684861.67</v>
      </c>
      <c r="M24" s="147"/>
    </row>
    <row r="25" spans="2:13" s="131" customFormat="1" ht="15.6" hidden="1" outlineLevel="1" x14ac:dyDescent="0.25">
      <c r="B25" s="145" t="s">
        <v>294</v>
      </c>
      <c r="D25" s="145" t="s">
        <v>520</v>
      </c>
      <c r="E25" s="146">
        <v>213750</v>
      </c>
      <c r="F25" s="146"/>
      <c r="G25" s="146">
        <v>1475.1</v>
      </c>
      <c r="I25" s="147"/>
      <c r="J25" s="147"/>
      <c r="K25" s="146"/>
      <c r="M25" s="147"/>
    </row>
    <row r="26" spans="2:13" s="131" customFormat="1" ht="15.6" hidden="1" outlineLevel="1" x14ac:dyDescent="0.25">
      <c r="B26" s="145" t="s">
        <v>414</v>
      </c>
      <c r="D26" s="145" t="s">
        <v>520</v>
      </c>
      <c r="E26" s="146">
        <v>56400</v>
      </c>
      <c r="F26" s="146"/>
      <c r="G26" s="146"/>
      <c r="I26" s="147"/>
      <c r="J26" s="147"/>
      <c r="K26" s="146"/>
      <c r="M26" s="147"/>
    </row>
    <row r="27" spans="2:13" s="131" customFormat="1" ht="15.6" hidden="1" outlineLevel="1" x14ac:dyDescent="0.25">
      <c r="B27" s="145" t="s">
        <v>530</v>
      </c>
      <c r="D27" s="145" t="s">
        <v>520</v>
      </c>
      <c r="E27" s="146">
        <v>397800</v>
      </c>
      <c r="F27" s="146"/>
      <c r="G27" s="146"/>
      <c r="I27" s="147"/>
      <c r="J27" s="147"/>
      <c r="K27" s="146"/>
      <c r="M27" s="147"/>
    </row>
    <row r="28" spans="2:13" s="131" customFormat="1" ht="15.6" hidden="1" outlineLevel="1" x14ac:dyDescent="0.25">
      <c r="B28" s="145" t="s">
        <v>531</v>
      </c>
      <c r="D28" s="145" t="s">
        <v>520</v>
      </c>
      <c r="E28" s="146">
        <f>123685.2-16500</f>
        <v>107185.2</v>
      </c>
      <c r="F28" s="146"/>
      <c r="G28" s="146"/>
      <c r="I28" s="147"/>
      <c r="J28" s="147"/>
      <c r="K28" s="146"/>
      <c r="M28" s="147"/>
    </row>
    <row r="29" spans="2:13" s="131" customFormat="1" ht="15.6" hidden="1" outlineLevel="1" x14ac:dyDescent="0.25">
      <c r="B29" s="145" t="s">
        <v>416</v>
      </c>
      <c r="D29" s="145" t="s">
        <v>520</v>
      </c>
      <c r="E29" s="146">
        <f>414240-1200</f>
        <v>413040</v>
      </c>
      <c r="F29" s="146"/>
      <c r="G29" s="146"/>
      <c r="I29" s="147"/>
      <c r="J29" s="147"/>
      <c r="K29" s="146"/>
      <c r="M29" s="147"/>
    </row>
    <row r="30" spans="2:13" s="131" customFormat="1" ht="15.6" hidden="1" outlineLevel="1" x14ac:dyDescent="0.25">
      <c r="B30" s="145" t="s">
        <v>420</v>
      </c>
      <c r="D30" s="145" t="s">
        <v>520</v>
      </c>
      <c r="E30" s="146">
        <f>63226.32-57600</f>
        <v>5626.32</v>
      </c>
      <c r="F30" s="146"/>
      <c r="G30" s="146"/>
      <c r="I30" s="147"/>
      <c r="J30" s="147"/>
      <c r="K30" s="146"/>
      <c r="M30" s="147"/>
    </row>
    <row r="31" spans="2:13" s="131" customFormat="1" ht="15.6" hidden="1" outlineLevel="1" x14ac:dyDescent="0.25">
      <c r="B31" s="145" t="s">
        <v>527</v>
      </c>
      <c r="D31" s="145" t="s">
        <v>526</v>
      </c>
      <c r="E31" s="146">
        <v>256935.85</v>
      </c>
      <c r="F31" s="146"/>
      <c r="G31" s="146">
        <v>256935.85</v>
      </c>
      <c r="I31" s="147"/>
      <c r="J31" s="146">
        <v>256935.85</v>
      </c>
      <c r="K31" s="147"/>
      <c r="M31" s="147"/>
    </row>
    <row r="32" spans="2:13" s="131" customFormat="1" ht="15.6" hidden="1" outlineLevel="1" x14ac:dyDescent="0.25">
      <c r="B32" s="145" t="s">
        <v>491</v>
      </c>
      <c r="D32" s="145" t="s">
        <v>526</v>
      </c>
      <c r="E32" s="146">
        <v>69886.47</v>
      </c>
      <c r="F32" s="146"/>
      <c r="G32" s="146"/>
      <c r="I32" s="147"/>
      <c r="J32" s="147"/>
      <c r="K32" s="146"/>
      <c r="M32" s="147"/>
    </row>
    <row r="33" spans="2:13" s="131" customFormat="1" ht="15.6" hidden="1" outlineLevel="1" x14ac:dyDescent="0.25">
      <c r="B33" s="145" t="s">
        <v>492</v>
      </c>
      <c r="D33" s="145" t="s">
        <v>526</v>
      </c>
      <c r="E33" s="146">
        <v>136847.66999999998</v>
      </c>
      <c r="F33" s="146"/>
      <c r="G33" s="146"/>
      <c r="I33" s="147"/>
      <c r="J33" s="147"/>
      <c r="K33" s="146"/>
      <c r="M33" s="147"/>
    </row>
    <row r="34" spans="2:13" s="131" customFormat="1" ht="15.6" hidden="1" outlineLevel="1" x14ac:dyDescent="0.25">
      <c r="B34" s="145" t="s">
        <v>438</v>
      </c>
      <c r="D34" s="145" t="s">
        <v>526</v>
      </c>
      <c r="E34" s="146">
        <v>82123.570000000007</v>
      </c>
      <c r="F34" s="146"/>
      <c r="G34" s="146"/>
      <c r="I34" s="147"/>
      <c r="J34" s="147"/>
      <c r="K34" s="146"/>
      <c r="M34" s="147"/>
    </row>
    <row r="35" spans="2:13" s="131" customFormat="1" ht="15.6" hidden="1" outlineLevel="1" x14ac:dyDescent="0.25">
      <c r="B35" s="145" t="s">
        <v>374</v>
      </c>
      <c r="D35" s="145" t="s">
        <v>526</v>
      </c>
      <c r="E35" s="146">
        <v>703377.76</v>
      </c>
      <c r="F35" s="146"/>
      <c r="G35" s="146"/>
      <c r="I35" s="147"/>
      <c r="J35" s="147"/>
      <c r="K35" s="146"/>
      <c r="M35" s="147"/>
    </row>
    <row r="36" spans="2:13" s="131" customFormat="1" ht="15.6" hidden="1" outlineLevel="1" x14ac:dyDescent="0.25">
      <c r="B36" s="145" t="s">
        <v>382</v>
      </c>
      <c r="D36" s="145" t="s">
        <v>526</v>
      </c>
      <c r="E36" s="146">
        <v>201503.56</v>
      </c>
      <c r="F36" s="146"/>
      <c r="G36" s="146"/>
      <c r="I36" s="147"/>
      <c r="J36" s="147"/>
      <c r="K36" s="146"/>
      <c r="M36" s="147"/>
    </row>
    <row r="37" spans="2:13" s="131" customFormat="1" ht="15.6" hidden="1" outlineLevel="1" x14ac:dyDescent="0.25">
      <c r="B37" s="145" t="s">
        <v>179</v>
      </c>
      <c r="D37" s="145" t="s">
        <v>526</v>
      </c>
      <c r="E37" s="146">
        <v>150938.01999999999</v>
      </c>
      <c r="F37" s="146"/>
      <c r="G37" s="146"/>
      <c r="I37" s="147"/>
      <c r="J37" s="147"/>
      <c r="K37" s="146"/>
      <c r="M37" s="147"/>
    </row>
    <row r="38" spans="2:13" s="131" customFormat="1" ht="15.6" hidden="1" outlineLevel="1" x14ac:dyDescent="0.25">
      <c r="B38" s="145" t="s">
        <v>403</v>
      </c>
      <c r="D38" s="145" t="s">
        <v>526</v>
      </c>
      <c r="E38" s="146">
        <v>317041.26</v>
      </c>
      <c r="F38" s="146"/>
      <c r="G38" s="146"/>
      <c r="I38" s="147"/>
      <c r="J38" s="147"/>
      <c r="K38" s="146">
        <f>E38</f>
        <v>317041.26</v>
      </c>
      <c r="M38" s="147"/>
    </row>
    <row r="39" spans="2:13" s="131" customFormat="1" ht="15.6" hidden="1" outlineLevel="1" x14ac:dyDescent="0.25">
      <c r="B39" s="145" t="s">
        <v>528</v>
      </c>
      <c r="D39" s="145" t="s">
        <v>526</v>
      </c>
      <c r="E39" s="146">
        <v>381748.49</v>
      </c>
      <c r="F39" s="146"/>
      <c r="G39" s="146">
        <v>0</v>
      </c>
      <c r="I39" s="147"/>
      <c r="J39" s="147"/>
      <c r="K39" s="146">
        <f>E39</f>
        <v>381748.49</v>
      </c>
      <c r="M39" s="147"/>
    </row>
    <row r="40" spans="2:13" s="131" customFormat="1" ht="15.6" hidden="1" outlineLevel="1" x14ac:dyDescent="0.25">
      <c r="B40" s="145" t="s">
        <v>427</v>
      </c>
      <c r="D40" s="145" t="s">
        <v>174</v>
      </c>
      <c r="E40" s="146">
        <v>237309.12</v>
      </c>
      <c r="F40" s="146"/>
      <c r="G40" s="146">
        <v>0</v>
      </c>
      <c r="I40" s="147"/>
      <c r="J40" s="147"/>
      <c r="K40" s="146">
        <v>117330.4</v>
      </c>
      <c r="M40" s="147"/>
    </row>
    <row r="41" spans="2:13" s="131" customFormat="1" ht="15.6" hidden="1" outlineLevel="1" x14ac:dyDescent="0.25">
      <c r="B41" s="145" t="s">
        <v>424</v>
      </c>
      <c r="D41" s="145" t="s">
        <v>174</v>
      </c>
      <c r="E41" s="146">
        <v>659074</v>
      </c>
      <c r="F41" s="146"/>
      <c r="G41" s="146">
        <v>0</v>
      </c>
      <c r="I41" s="147"/>
      <c r="J41" s="146">
        <v>659074</v>
      </c>
      <c r="K41" s="146"/>
      <c r="M41" s="147"/>
    </row>
    <row r="42" spans="2:13" s="131" customFormat="1" ht="15.6" hidden="1" outlineLevel="1" x14ac:dyDescent="0.25">
      <c r="B42" s="145" t="s">
        <v>432</v>
      </c>
      <c r="D42" s="145" t="s">
        <v>174</v>
      </c>
      <c r="E42" s="146">
        <v>110937.09</v>
      </c>
      <c r="F42" s="146"/>
      <c r="G42" s="146"/>
      <c r="I42" s="147"/>
      <c r="J42" s="146"/>
      <c r="K42" s="146"/>
      <c r="M42" s="147"/>
    </row>
    <row r="43" spans="2:13" s="131" customFormat="1" ht="15.6" hidden="1" outlineLevel="1" x14ac:dyDescent="0.25">
      <c r="B43" s="145" t="s">
        <v>529</v>
      </c>
      <c r="D43" s="145" t="s">
        <v>520</v>
      </c>
      <c r="E43" s="146">
        <v>315229.73999998719</v>
      </c>
      <c r="F43" s="146"/>
      <c r="G43" s="146">
        <v>134546.00209999995</v>
      </c>
      <c r="I43" s="147"/>
      <c r="J43" s="146">
        <v>175719.14</v>
      </c>
      <c r="K43" s="147"/>
      <c r="M43" s="147"/>
    </row>
    <row r="44" spans="2:13" ht="15.6" collapsed="1" x14ac:dyDescent="0.25">
      <c r="B44" s="403" t="s">
        <v>8</v>
      </c>
      <c r="D44" s="148" t="s">
        <v>520</v>
      </c>
      <c r="E44" s="150"/>
      <c r="F44" s="149">
        <f>SUM(F47:F78)</f>
        <v>18871536.700000003</v>
      </c>
      <c r="G44" s="149"/>
      <c r="I44" s="149"/>
      <c r="J44" s="149"/>
      <c r="K44" s="149"/>
      <c r="M44" s="149"/>
    </row>
    <row r="45" spans="2:13" ht="15.6" x14ac:dyDescent="0.25">
      <c r="B45" s="404"/>
      <c r="D45" s="148" t="s">
        <v>526</v>
      </c>
      <c r="E45" s="150"/>
      <c r="F45" s="149">
        <f>SUM(F79:F86)</f>
        <v>3652295.6</v>
      </c>
      <c r="G45" s="149"/>
      <c r="I45" s="149"/>
      <c r="J45" s="149"/>
      <c r="K45" s="149"/>
      <c r="M45" s="149"/>
    </row>
    <row r="46" spans="2:13" ht="15.6" x14ac:dyDescent="0.25">
      <c r="B46" s="405"/>
      <c r="D46" s="148" t="s">
        <v>174</v>
      </c>
      <c r="E46" s="150"/>
      <c r="F46" s="149">
        <f>SUM(F87:F101)</f>
        <v>13323347.42</v>
      </c>
      <c r="G46" s="149"/>
      <c r="I46" s="151"/>
      <c r="J46" s="151"/>
      <c r="K46" s="151"/>
      <c r="M46" s="149"/>
    </row>
    <row r="47" spans="2:13" s="131" customFormat="1" ht="15.6" hidden="1" outlineLevel="1" x14ac:dyDescent="0.25">
      <c r="B47" s="152" t="s">
        <v>500</v>
      </c>
      <c r="D47" s="152" t="s">
        <v>520</v>
      </c>
      <c r="E47" s="153"/>
      <c r="F47" s="153">
        <v>4854100.5500000007</v>
      </c>
      <c r="G47" s="154"/>
      <c r="I47" s="155"/>
      <c r="J47" s="155"/>
      <c r="K47" s="156"/>
      <c r="M47" s="155"/>
    </row>
    <row r="48" spans="2:13" s="131" customFormat="1" ht="15.6" hidden="1" outlineLevel="1" x14ac:dyDescent="0.25">
      <c r="B48" s="152" t="s">
        <v>416</v>
      </c>
      <c r="D48" s="152" t="s">
        <v>520</v>
      </c>
      <c r="E48" s="153"/>
      <c r="F48" s="153">
        <v>1106366.3999999999</v>
      </c>
      <c r="G48" s="154"/>
      <c r="I48" s="155"/>
      <c r="J48" s="155"/>
      <c r="K48" s="156"/>
      <c r="M48" s="155"/>
    </row>
    <row r="49" spans="2:13" s="131" customFormat="1" ht="15.6" hidden="1" outlineLevel="1" x14ac:dyDescent="0.25">
      <c r="B49" s="152" t="s">
        <v>420</v>
      </c>
      <c r="D49" s="152" t="s">
        <v>520</v>
      </c>
      <c r="E49" s="153"/>
      <c r="F49" s="153">
        <v>1274871.1500000001</v>
      </c>
      <c r="G49" s="154"/>
      <c r="I49" s="155"/>
      <c r="J49" s="155"/>
      <c r="K49" s="156"/>
      <c r="M49" s="155"/>
    </row>
    <row r="50" spans="2:13" s="131" customFormat="1" ht="15.6" hidden="1" outlineLevel="1" x14ac:dyDescent="0.25">
      <c r="B50" s="152" t="s">
        <v>419</v>
      </c>
      <c r="D50" s="152" t="s">
        <v>520</v>
      </c>
      <c r="E50" s="153"/>
      <c r="F50" s="153">
        <v>731100.8</v>
      </c>
      <c r="G50" s="154"/>
      <c r="I50" s="155"/>
      <c r="J50" s="155"/>
      <c r="K50" s="156"/>
      <c r="M50" s="155"/>
    </row>
    <row r="51" spans="2:13" s="131" customFormat="1" ht="15.6" hidden="1" outlineLevel="1" x14ac:dyDescent="0.25">
      <c r="B51" s="152" t="s">
        <v>414</v>
      </c>
      <c r="D51" s="152" t="s">
        <v>520</v>
      </c>
      <c r="E51" s="153"/>
      <c r="F51" s="153">
        <v>262079.7</v>
      </c>
      <c r="G51" s="154"/>
      <c r="I51" s="155"/>
      <c r="J51" s="156"/>
      <c r="K51" s="155"/>
      <c r="M51" s="155"/>
    </row>
    <row r="52" spans="2:13" s="131" customFormat="1" ht="15.6" hidden="1" outlineLevel="1" x14ac:dyDescent="0.25">
      <c r="B52" s="152" t="s">
        <v>417</v>
      </c>
      <c r="D52" s="152" t="s">
        <v>520</v>
      </c>
      <c r="E52" s="153"/>
      <c r="F52" s="153">
        <v>1077992.3</v>
      </c>
      <c r="G52" s="154"/>
      <c r="I52" s="155"/>
      <c r="J52" s="155"/>
      <c r="K52" s="156"/>
      <c r="M52" s="155"/>
    </row>
    <row r="53" spans="2:13" s="131" customFormat="1" ht="15.6" hidden="1" outlineLevel="1" x14ac:dyDescent="0.25">
      <c r="B53" s="152" t="s">
        <v>428</v>
      </c>
      <c r="D53" s="152" t="s">
        <v>520</v>
      </c>
      <c r="E53" s="153"/>
      <c r="F53" s="153">
        <v>449952</v>
      </c>
      <c r="G53" s="154"/>
      <c r="I53" s="155"/>
      <c r="J53" s="155"/>
      <c r="K53" s="156"/>
      <c r="M53" s="155"/>
    </row>
    <row r="54" spans="2:13" s="131" customFormat="1" ht="15.6" hidden="1" outlineLevel="1" x14ac:dyDescent="0.25">
      <c r="B54" s="152" t="s">
        <v>411</v>
      </c>
      <c r="D54" s="152" t="s">
        <v>520</v>
      </c>
      <c r="E54" s="153"/>
      <c r="F54" s="153">
        <v>253506.3</v>
      </c>
      <c r="G54" s="154"/>
      <c r="I54" s="155"/>
      <c r="J54" s="155"/>
      <c r="K54" s="156"/>
      <c r="M54" s="155"/>
    </row>
    <row r="55" spans="2:13" s="131" customFormat="1" ht="15.6" hidden="1" outlineLevel="1" x14ac:dyDescent="0.25">
      <c r="B55" s="152" t="s">
        <v>83</v>
      </c>
      <c r="D55" s="152" t="s">
        <v>520</v>
      </c>
      <c r="E55" s="153"/>
      <c r="F55" s="153">
        <v>31680</v>
      </c>
      <c r="G55" s="154"/>
      <c r="I55" s="155"/>
      <c r="J55" s="155"/>
      <c r="K55" s="156"/>
      <c r="M55" s="155"/>
    </row>
    <row r="56" spans="2:13" s="131" customFormat="1" ht="15.6" hidden="1" outlineLevel="1" x14ac:dyDescent="0.25">
      <c r="B56" s="152" t="s">
        <v>334</v>
      </c>
      <c r="D56" s="152" t="s">
        <v>520</v>
      </c>
      <c r="E56" s="153"/>
      <c r="F56" s="153">
        <v>52255</v>
      </c>
      <c r="G56" s="154"/>
      <c r="I56" s="155"/>
      <c r="J56" s="155"/>
      <c r="K56" s="156"/>
      <c r="M56" s="155"/>
    </row>
    <row r="57" spans="2:13" s="131" customFormat="1" ht="15.6" hidden="1" outlineLevel="1" x14ac:dyDescent="0.25">
      <c r="B57" s="152" t="s">
        <v>65</v>
      </c>
      <c r="D57" s="152" t="s">
        <v>520</v>
      </c>
      <c r="E57" s="153"/>
      <c r="F57" s="153">
        <v>338567.44999999995</v>
      </c>
      <c r="G57" s="154"/>
      <c r="I57" s="155"/>
      <c r="J57" s="155"/>
      <c r="K57" s="156"/>
      <c r="M57" s="155"/>
    </row>
    <row r="58" spans="2:13" s="131" customFormat="1" ht="15.6" hidden="1" outlineLevel="1" x14ac:dyDescent="0.25">
      <c r="B58" s="152" t="s">
        <v>488</v>
      </c>
      <c r="D58" s="152" t="s">
        <v>520</v>
      </c>
      <c r="E58" s="153"/>
      <c r="F58" s="153">
        <v>137577.70000000001</v>
      </c>
      <c r="G58" s="154"/>
      <c r="I58" s="155"/>
      <c r="J58" s="155"/>
      <c r="K58" s="156"/>
      <c r="M58" s="155"/>
    </row>
    <row r="59" spans="2:13" s="131" customFormat="1" ht="15.6" hidden="1" outlineLevel="1" x14ac:dyDescent="0.25">
      <c r="B59" s="152" t="s">
        <v>421</v>
      </c>
      <c r="D59" s="152" t="s">
        <v>520</v>
      </c>
      <c r="E59" s="153"/>
      <c r="F59" s="153">
        <v>103110</v>
      </c>
      <c r="G59" s="154"/>
      <c r="I59" s="155"/>
      <c r="J59" s="156"/>
      <c r="K59" s="155"/>
      <c r="M59" s="155"/>
    </row>
    <row r="60" spans="2:13" s="131" customFormat="1" ht="15.6" hidden="1" outlineLevel="1" x14ac:dyDescent="0.25">
      <c r="B60" s="152" t="s">
        <v>90</v>
      </c>
      <c r="D60" s="152" t="s">
        <v>520</v>
      </c>
      <c r="E60" s="153"/>
      <c r="F60" s="153">
        <v>253912.5</v>
      </c>
      <c r="G60" s="154"/>
      <c r="I60" s="155"/>
      <c r="J60" s="155"/>
      <c r="K60" s="156"/>
      <c r="M60" s="155"/>
    </row>
    <row r="61" spans="2:13" s="131" customFormat="1" ht="15.6" hidden="1" outlineLevel="1" x14ac:dyDescent="0.25">
      <c r="B61" s="152" t="s">
        <v>290</v>
      </c>
      <c r="D61" s="152" t="s">
        <v>520</v>
      </c>
      <c r="E61" s="153"/>
      <c r="F61" s="153">
        <v>60967.199999999997</v>
      </c>
      <c r="G61" s="154"/>
      <c r="I61" s="155"/>
      <c r="J61" s="155"/>
      <c r="K61" s="156"/>
      <c r="M61" s="155"/>
    </row>
    <row r="62" spans="2:13" s="131" customFormat="1" ht="15.6" hidden="1" outlineLevel="1" x14ac:dyDescent="0.25">
      <c r="B62" s="152" t="s">
        <v>418</v>
      </c>
      <c r="D62" s="152" t="s">
        <v>520</v>
      </c>
      <c r="E62" s="153"/>
      <c r="F62" s="153">
        <v>54784</v>
      </c>
      <c r="G62" s="154"/>
      <c r="I62" s="155"/>
      <c r="J62" s="155"/>
      <c r="K62" s="156"/>
      <c r="M62" s="155"/>
    </row>
    <row r="63" spans="2:13" s="131" customFormat="1" ht="15.6" hidden="1" outlineLevel="1" x14ac:dyDescent="0.25">
      <c r="B63" s="152" t="s">
        <v>434</v>
      </c>
      <c r="D63" s="152" t="s">
        <v>520</v>
      </c>
      <c r="E63" s="153"/>
      <c r="F63" s="153">
        <v>200</v>
      </c>
      <c r="G63" s="154"/>
      <c r="I63" s="155"/>
      <c r="J63" s="155"/>
      <c r="K63" s="156"/>
      <c r="M63" s="155"/>
    </row>
    <row r="64" spans="2:13" s="131" customFormat="1" ht="15.6" hidden="1" outlineLevel="1" x14ac:dyDescent="0.25">
      <c r="B64" s="152" t="s">
        <v>50</v>
      </c>
      <c r="D64" s="152" t="s">
        <v>520</v>
      </c>
      <c r="E64" s="153"/>
      <c r="F64" s="153">
        <v>42240</v>
      </c>
      <c r="G64" s="154"/>
      <c r="I64" s="155"/>
      <c r="J64" s="155"/>
      <c r="K64" s="156"/>
      <c r="M64" s="155"/>
    </row>
    <row r="65" spans="2:13" s="131" customFormat="1" ht="15.6" hidden="1" outlineLevel="1" x14ac:dyDescent="0.25">
      <c r="B65" s="152" t="s">
        <v>120</v>
      </c>
      <c r="D65" s="152" t="s">
        <v>520</v>
      </c>
      <c r="E65" s="153"/>
      <c r="F65" s="153">
        <v>153616.20000000001</v>
      </c>
      <c r="G65" s="154"/>
      <c r="I65" s="155"/>
      <c r="J65" s="155"/>
      <c r="K65" s="156"/>
      <c r="M65" s="155"/>
    </row>
    <row r="66" spans="2:13" s="131" customFormat="1" ht="15.6" hidden="1" outlineLevel="1" x14ac:dyDescent="0.25">
      <c r="B66" s="152" t="s">
        <v>490</v>
      </c>
      <c r="D66" s="152" t="s">
        <v>520</v>
      </c>
      <c r="E66" s="153"/>
      <c r="F66" s="153">
        <v>5790</v>
      </c>
      <c r="G66" s="154"/>
      <c r="I66" s="155"/>
      <c r="J66" s="156"/>
      <c r="K66" s="155"/>
      <c r="M66" s="155"/>
    </row>
    <row r="67" spans="2:13" s="131" customFormat="1" ht="15.6" hidden="1" outlineLevel="1" x14ac:dyDescent="0.25">
      <c r="B67" s="152" t="s">
        <v>100</v>
      </c>
      <c r="D67" s="152" t="s">
        <v>520</v>
      </c>
      <c r="E67" s="153"/>
      <c r="F67" s="153">
        <v>648940.69999999995</v>
      </c>
      <c r="G67" s="154"/>
      <c r="I67" s="155"/>
      <c r="J67" s="155"/>
      <c r="K67" s="156"/>
      <c r="M67" s="155"/>
    </row>
    <row r="68" spans="2:13" s="131" customFormat="1" ht="15.6" hidden="1" outlineLevel="1" x14ac:dyDescent="0.25">
      <c r="B68" s="152" t="s">
        <v>532</v>
      </c>
      <c r="D68" s="152" t="s">
        <v>520</v>
      </c>
      <c r="E68" s="153"/>
      <c r="F68" s="153">
        <v>483969.5</v>
      </c>
      <c r="G68" s="154"/>
      <c r="I68" s="155"/>
      <c r="J68" s="155"/>
      <c r="K68" s="156"/>
      <c r="M68" s="155"/>
    </row>
    <row r="69" spans="2:13" s="131" customFormat="1" ht="15.6" hidden="1" outlineLevel="1" x14ac:dyDescent="0.25">
      <c r="B69" s="152" t="s">
        <v>530</v>
      </c>
      <c r="D69" s="152" t="s">
        <v>520</v>
      </c>
      <c r="E69" s="153"/>
      <c r="F69" s="153">
        <v>1102251.6000000001</v>
      </c>
      <c r="G69" s="154"/>
      <c r="I69" s="155"/>
      <c r="J69" s="155"/>
      <c r="K69" s="156"/>
      <c r="M69" s="155"/>
    </row>
    <row r="70" spans="2:13" s="131" customFormat="1" ht="15.6" hidden="1" outlineLevel="1" x14ac:dyDescent="0.25">
      <c r="B70" s="152" t="s">
        <v>531</v>
      </c>
      <c r="D70" s="152" t="s">
        <v>520</v>
      </c>
      <c r="E70" s="153"/>
      <c r="F70" s="153">
        <v>4750434.6999999993</v>
      </c>
      <c r="G70" s="154"/>
      <c r="I70" s="155"/>
      <c r="J70" s="155"/>
      <c r="K70" s="156"/>
      <c r="M70" s="155"/>
    </row>
    <row r="71" spans="2:13" s="131" customFormat="1" ht="15.6" hidden="1" outlineLevel="1" x14ac:dyDescent="0.25">
      <c r="B71" s="152" t="s">
        <v>89</v>
      </c>
      <c r="D71" s="152" t="s">
        <v>520</v>
      </c>
      <c r="E71" s="153"/>
      <c r="F71" s="153">
        <v>42531.6</v>
      </c>
      <c r="G71" s="154"/>
      <c r="I71" s="155"/>
      <c r="J71" s="155"/>
      <c r="K71" s="156"/>
      <c r="M71" s="155"/>
    </row>
    <row r="72" spans="2:13" s="131" customFormat="1" ht="15.6" hidden="1" outlineLevel="1" x14ac:dyDescent="0.25">
      <c r="B72" s="152" t="s">
        <v>78</v>
      </c>
      <c r="D72" s="152" t="s">
        <v>520</v>
      </c>
      <c r="E72" s="153"/>
      <c r="F72" s="153">
        <v>300600</v>
      </c>
      <c r="G72" s="154"/>
      <c r="I72" s="155"/>
      <c r="J72" s="155"/>
      <c r="K72" s="156"/>
      <c r="M72" s="155"/>
    </row>
    <row r="73" spans="2:13" s="131" customFormat="1" ht="15.6" hidden="1" outlineLevel="1" x14ac:dyDescent="0.25">
      <c r="B73" s="152" t="s">
        <v>359</v>
      </c>
      <c r="D73" s="152" t="s">
        <v>520</v>
      </c>
      <c r="E73" s="153"/>
      <c r="F73" s="153">
        <v>14673.75</v>
      </c>
      <c r="G73" s="154"/>
      <c r="I73" s="155"/>
      <c r="J73" s="155"/>
      <c r="K73" s="156"/>
      <c r="M73" s="155"/>
    </row>
    <row r="74" spans="2:13" s="131" customFormat="1" ht="15.6" hidden="1" outlineLevel="1" x14ac:dyDescent="0.25">
      <c r="B74" s="152" t="s">
        <v>241</v>
      </c>
      <c r="D74" s="152" t="s">
        <v>520</v>
      </c>
      <c r="E74" s="153"/>
      <c r="F74" s="153">
        <v>114800</v>
      </c>
      <c r="G74" s="154"/>
      <c r="I74" s="155"/>
      <c r="J74" s="155"/>
      <c r="K74" s="156"/>
      <c r="M74" s="155"/>
    </row>
    <row r="75" spans="2:13" s="131" customFormat="1" ht="15.6" hidden="1" outlineLevel="1" x14ac:dyDescent="0.25">
      <c r="B75" s="152" t="s">
        <v>166</v>
      </c>
      <c r="D75" s="152" t="s">
        <v>520</v>
      </c>
      <c r="E75" s="153"/>
      <c r="F75" s="153">
        <v>8937</v>
      </c>
      <c r="G75" s="154"/>
      <c r="I75" s="155"/>
      <c r="J75" s="155"/>
      <c r="K75" s="156"/>
      <c r="M75" s="155"/>
    </row>
    <row r="76" spans="2:13" s="131" customFormat="1" ht="15.6" hidden="1" outlineLevel="1" x14ac:dyDescent="0.25">
      <c r="B76" s="152" t="s">
        <v>303</v>
      </c>
      <c r="D76" s="152" t="s">
        <v>520</v>
      </c>
      <c r="E76" s="153"/>
      <c r="F76" s="153">
        <v>88160</v>
      </c>
      <c r="G76" s="154"/>
      <c r="I76" s="155"/>
      <c r="J76" s="155"/>
      <c r="K76" s="156"/>
      <c r="M76" s="155"/>
    </row>
    <row r="77" spans="2:13" s="131" customFormat="1" ht="15.6" hidden="1" outlineLevel="1" x14ac:dyDescent="0.25">
      <c r="B77" s="152" t="s">
        <v>252</v>
      </c>
      <c r="D77" s="152" t="s">
        <v>520</v>
      </c>
      <c r="E77" s="153"/>
      <c r="F77" s="153">
        <v>71078.600000000006</v>
      </c>
      <c r="G77" s="154"/>
      <c r="I77" s="155"/>
      <c r="J77" s="155"/>
      <c r="K77" s="156"/>
      <c r="M77" s="155"/>
    </row>
    <row r="78" spans="2:13" s="131" customFormat="1" ht="15.6" hidden="1" outlineLevel="1" x14ac:dyDescent="0.25">
      <c r="B78" s="152" t="s">
        <v>537</v>
      </c>
      <c r="D78" s="152" t="s">
        <v>520</v>
      </c>
      <c r="E78" s="153"/>
      <c r="F78" s="153">
        <v>490</v>
      </c>
      <c r="G78" s="154"/>
      <c r="I78" s="155"/>
      <c r="J78" s="155"/>
      <c r="K78" s="156"/>
      <c r="M78" s="155"/>
    </row>
    <row r="79" spans="2:13" s="131" customFormat="1" ht="15.6" hidden="1" outlineLevel="1" x14ac:dyDescent="0.25">
      <c r="B79" s="152" t="s">
        <v>295</v>
      </c>
      <c r="D79" s="152" t="s">
        <v>526</v>
      </c>
      <c r="E79" s="153"/>
      <c r="F79" s="153">
        <v>205146.77</v>
      </c>
      <c r="G79" s="154"/>
      <c r="I79" s="155"/>
      <c r="J79" s="155"/>
      <c r="K79" s="156"/>
      <c r="M79" s="155"/>
    </row>
    <row r="80" spans="2:13" s="131" customFormat="1" ht="15.6" hidden="1" outlineLevel="1" x14ac:dyDescent="0.25">
      <c r="B80" s="131" t="s">
        <v>337</v>
      </c>
      <c r="D80" s="152" t="s">
        <v>526</v>
      </c>
      <c r="E80" s="153"/>
      <c r="F80" s="153">
        <v>1813339.18</v>
      </c>
      <c r="G80" s="154"/>
      <c r="I80" s="155"/>
      <c r="J80" s="155"/>
      <c r="K80" s="156"/>
      <c r="M80" s="155"/>
    </row>
    <row r="81" spans="2:13" s="131" customFormat="1" ht="15.6" hidden="1" outlineLevel="1" x14ac:dyDescent="0.25">
      <c r="B81" s="152" t="s">
        <v>497</v>
      </c>
      <c r="D81" s="152" t="s">
        <v>526</v>
      </c>
      <c r="E81" s="153"/>
      <c r="F81" s="153">
        <v>84667.959999999992</v>
      </c>
      <c r="G81" s="154"/>
      <c r="I81" s="155"/>
      <c r="J81" s="155"/>
      <c r="K81" s="156"/>
      <c r="M81" s="155"/>
    </row>
    <row r="82" spans="2:13" s="131" customFormat="1" ht="15.6" hidden="1" outlineLevel="1" x14ac:dyDescent="0.25">
      <c r="B82" s="152" t="s">
        <v>355</v>
      </c>
      <c r="D82" s="152" t="s">
        <v>526</v>
      </c>
      <c r="E82" s="153"/>
      <c r="F82" s="153">
        <v>339293.79000000004</v>
      </c>
      <c r="G82" s="154"/>
      <c r="I82" s="155"/>
      <c r="J82" s="156"/>
      <c r="K82" s="155"/>
      <c r="M82" s="155"/>
    </row>
    <row r="83" spans="2:13" s="131" customFormat="1" ht="15.6" hidden="1" outlineLevel="1" x14ac:dyDescent="0.25">
      <c r="B83" s="152" t="s">
        <v>248</v>
      </c>
      <c r="D83" s="152" t="s">
        <v>526</v>
      </c>
      <c r="E83" s="153"/>
      <c r="F83" s="153">
        <v>35211.26</v>
      </c>
      <c r="G83" s="154"/>
      <c r="I83" s="155"/>
      <c r="J83" s="155"/>
      <c r="K83" s="156"/>
      <c r="M83" s="155"/>
    </row>
    <row r="84" spans="2:13" s="131" customFormat="1" ht="15.6" hidden="1" outlineLevel="1" x14ac:dyDescent="0.25">
      <c r="B84" s="152" t="s">
        <v>535</v>
      </c>
      <c r="D84" s="152" t="s">
        <v>526</v>
      </c>
      <c r="E84" s="153"/>
      <c r="F84" s="153">
        <v>616283.28</v>
      </c>
      <c r="G84" s="154"/>
      <c r="I84" s="155"/>
      <c r="J84" s="155"/>
      <c r="K84" s="156"/>
      <c r="M84" s="155"/>
    </row>
    <row r="85" spans="2:13" s="131" customFormat="1" ht="15.6" hidden="1" outlineLevel="1" x14ac:dyDescent="0.25">
      <c r="B85" s="152" t="s">
        <v>423</v>
      </c>
      <c r="D85" s="152" t="s">
        <v>526</v>
      </c>
      <c r="E85" s="153"/>
      <c r="F85" s="153">
        <v>164944.82</v>
      </c>
      <c r="G85" s="154"/>
      <c r="I85" s="155"/>
      <c r="J85" s="155"/>
      <c r="K85" s="156"/>
      <c r="M85" s="155"/>
    </row>
    <row r="86" spans="2:13" s="131" customFormat="1" ht="15.6" hidden="1" outlineLevel="1" x14ac:dyDescent="0.25">
      <c r="B86" s="152" t="s">
        <v>330</v>
      </c>
      <c r="D86" s="152" t="s">
        <v>526</v>
      </c>
      <c r="E86" s="153"/>
      <c r="F86" s="153">
        <v>393408.54</v>
      </c>
      <c r="G86" s="154"/>
      <c r="I86" s="155"/>
      <c r="J86" s="155"/>
      <c r="K86" s="156"/>
      <c r="M86" s="155"/>
    </row>
    <row r="87" spans="2:13" s="131" customFormat="1" ht="15.6" hidden="1" outlineLevel="1" x14ac:dyDescent="0.25">
      <c r="B87" s="152" t="s">
        <v>432</v>
      </c>
      <c r="D87" s="152" t="s">
        <v>174</v>
      </c>
      <c r="E87" s="153"/>
      <c r="F87" s="153">
        <v>4684761.47</v>
      </c>
      <c r="G87" s="154"/>
      <c r="I87" s="155"/>
      <c r="J87" s="156"/>
      <c r="K87" s="155"/>
      <c r="M87" s="155"/>
    </row>
    <row r="88" spans="2:13" s="131" customFormat="1" ht="15.6" hidden="1" outlineLevel="1" x14ac:dyDescent="0.25">
      <c r="B88" s="152" t="s">
        <v>197</v>
      </c>
      <c r="D88" s="152" t="s">
        <v>174</v>
      </c>
      <c r="E88" s="153"/>
      <c r="F88" s="153">
        <v>2252925.09</v>
      </c>
      <c r="G88" s="154"/>
      <c r="I88" s="155"/>
      <c r="J88" s="155"/>
      <c r="K88" s="156"/>
      <c r="M88" s="155"/>
    </row>
    <row r="89" spans="2:13" s="131" customFormat="1" ht="15.6" hidden="1" outlineLevel="1" x14ac:dyDescent="0.25">
      <c r="B89" s="152" t="s">
        <v>335</v>
      </c>
      <c r="D89" s="152" t="s">
        <v>174</v>
      </c>
      <c r="E89" s="153"/>
      <c r="F89" s="153">
        <v>1283605.1099999999</v>
      </c>
      <c r="G89" s="154"/>
      <c r="I89" s="155"/>
      <c r="J89" s="155"/>
      <c r="K89" s="156"/>
      <c r="M89" s="155"/>
    </row>
    <row r="90" spans="2:13" s="131" customFormat="1" ht="15.6" hidden="1" outlineLevel="1" x14ac:dyDescent="0.25">
      <c r="B90" s="152" t="s">
        <v>182</v>
      </c>
      <c r="D90" s="152" t="s">
        <v>174</v>
      </c>
      <c r="E90" s="153"/>
      <c r="F90" s="153">
        <v>838343.24</v>
      </c>
      <c r="G90" s="154"/>
      <c r="I90" s="155"/>
      <c r="J90" s="155"/>
      <c r="K90" s="156"/>
      <c r="M90" s="155"/>
    </row>
    <row r="91" spans="2:13" s="131" customFormat="1" ht="15.6" hidden="1" outlineLevel="1" x14ac:dyDescent="0.25">
      <c r="B91" s="152" t="s">
        <v>435</v>
      </c>
      <c r="D91" s="152" t="s">
        <v>174</v>
      </c>
      <c r="E91" s="153"/>
      <c r="F91" s="153">
        <v>625005.6</v>
      </c>
      <c r="G91" s="154"/>
      <c r="I91" s="155"/>
      <c r="J91" s="155"/>
      <c r="K91" s="156"/>
      <c r="M91" s="155"/>
    </row>
    <row r="92" spans="2:13" s="131" customFormat="1" ht="15.6" hidden="1" outlineLevel="1" x14ac:dyDescent="0.25">
      <c r="B92" s="152" t="s">
        <v>433</v>
      </c>
      <c r="D92" s="152" t="s">
        <v>174</v>
      </c>
      <c r="E92" s="153"/>
      <c r="F92" s="153">
        <v>675501.37</v>
      </c>
      <c r="G92" s="154"/>
      <c r="I92" s="155"/>
      <c r="J92" s="156"/>
      <c r="K92" s="155"/>
      <c r="M92" s="155"/>
    </row>
    <row r="93" spans="2:13" s="131" customFormat="1" ht="15.6" hidden="1" outlineLevel="1" x14ac:dyDescent="0.25">
      <c r="B93" s="152" t="s">
        <v>270</v>
      </c>
      <c r="D93" s="152" t="s">
        <v>174</v>
      </c>
      <c r="E93" s="153"/>
      <c r="F93" s="153">
        <v>988506.24</v>
      </c>
      <c r="G93" s="154"/>
      <c r="I93" s="155"/>
      <c r="J93" s="156"/>
      <c r="K93" s="155"/>
      <c r="M93" s="155"/>
    </row>
    <row r="94" spans="2:13" s="131" customFormat="1" ht="15.6" hidden="1" outlineLevel="1" x14ac:dyDescent="0.25">
      <c r="B94" s="152" t="s">
        <v>212</v>
      </c>
      <c r="D94" s="152" t="s">
        <v>174</v>
      </c>
      <c r="E94" s="153"/>
      <c r="F94" s="153">
        <v>292087.18</v>
      </c>
      <c r="G94" s="154"/>
      <c r="I94" s="155"/>
      <c r="J94" s="156"/>
      <c r="K94" s="155"/>
      <c r="M94" s="155"/>
    </row>
    <row r="95" spans="2:13" s="131" customFormat="1" ht="15.6" hidden="1" outlineLevel="1" x14ac:dyDescent="0.25">
      <c r="B95" s="152" t="s">
        <v>314</v>
      </c>
      <c r="D95" s="152" t="s">
        <v>174</v>
      </c>
      <c r="E95" s="153"/>
      <c r="F95" s="153">
        <v>489036.18</v>
      </c>
      <c r="G95" s="154"/>
      <c r="I95" s="155"/>
      <c r="J95" s="156"/>
      <c r="K95" s="155"/>
      <c r="M95" s="155"/>
    </row>
    <row r="96" spans="2:13" s="131" customFormat="1" ht="15.6" hidden="1" outlineLevel="1" x14ac:dyDescent="0.25">
      <c r="B96" s="152" t="s">
        <v>357</v>
      </c>
      <c r="D96" s="152" t="s">
        <v>174</v>
      </c>
      <c r="E96" s="153"/>
      <c r="F96" s="153">
        <v>332173.24</v>
      </c>
      <c r="G96" s="154"/>
      <c r="I96" s="155"/>
      <c r="J96" s="156"/>
      <c r="K96" s="155"/>
      <c r="M96" s="155"/>
    </row>
    <row r="97" spans="2:13" s="131" customFormat="1" ht="15.6" hidden="1" outlineLevel="1" x14ac:dyDescent="0.25">
      <c r="B97" s="152" t="s">
        <v>376</v>
      </c>
      <c r="D97" s="152" t="s">
        <v>174</v>
      </c>
      <c r="E97" s="153"/>
      <c r="F97" s="153">
        <v>326160</v>
      </c>
      <c r="G97" s="154"/>
      <c r="I97" s="155"/>
      <c r="J97" s="156"/>
      <c r="K97" s="155"/>
      <c r="M97" s="155"/>
    </row>
    <row r="98" spans="2:13" s="131" customFormat="1" ht="15.6" hidden="1" outlineLevel="1" x14ac:dyDescent="0.25">
      <c r="B98" s="152" t="s">
        <v>260</v>
      </c>
      <c r="D98" s="152" t="s">
        <v>174</v>
      </c>
      <c r="E98" s="153"/>
      <c r="F98" s="153">
        <v>339938.22000000003</v>
      </c>
      <c r="G98" s="154"/>
      <c r="I98" s="155"/>
      <c r="J98" s="156"/>
      <c r="K98" s="155"/>
      <c r="M98" s="155"/>
    </row>
    <row r="99" spans="2:13" s="131" customFormat="1" ht="15.6" hidden="1" outlineLevel="1" x14ac:dyDescent="0.25">
      <c r="B99" s="152" t="s">
        <v>426</v>
      </c>
      <c r="D99" s="152" t="s">
        <v>174</v>
      </c>
      <c r="E99" s="153"/>
      <c r="F99" s="153">
        <v>3800</v>
      </c>
      <c r="G99" s="154"/>
      <c r="I99" s="155"/>
      <c r="J99" s="156"/>
      <c r="K99" s="155"/>
      <c r="M99" s="155"/>
    </row>
    <row r="100" spans="2:13" s="131" customFormat="1" ht="15.6" hidden="1" outlineLevel="1" x14ac:dyDescent="0.25">
      <c r="B100" s="152" t="s">
        <v>377</v>
      </c>
      <c r="D100" s="152" t="s">
        <v>174</v>
      </c>
      <c r="E100" s="153"/>
      <c r="F100" s="153">
        <v>47884</v>
      </c>
      <c r="G100" s="154"/>
      <c r="I100" s="155"/>
      <c r="J100" s="156"/>
      <c r="K100" s="155"/>
      <c r="M100" s="155"/>
    </row>
    <row r="101" spans="2:13" s="131" customFormat="1" ht="15.6" hidden="1" outlineLevel="1" x14ac:dyDescent="0.25">
      <c r="B101" s="152" t="s">
        <v>452</v>
      </c>
      <c r="D101" s="152" t="s">
        <v>174</v>
      </c>
      <c r="E101" s="153"/>
      <c r="F101" s="153">
        <v>143620.48000000001</v>
      </c>
      <c r="G101" s="154"/>
      <c r="I101" s="155"/>
      <c r="J101" s="156"/>
      <c r="K101" s="155"/>
      <c r="M101" s="155"/>
    </row>
    <row r="102" spans="2:13" ht="15.6" collapsed="1" x14ac:dyDescent="0.25">
      <c r="B102" s="157" t="s">
        <v>351</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20"/>
      <c r="D3" s="420"/>
      <c r="E3" s="420"/>
      <c r="F3" s="420"/>
      <c r="G3" s="420"/>
      <c r="H3" s="420"/>
      <c r="I3" s="49"/>
      <c r="J3" s="421" t="s">
        <v>159</v>
      </c>
      <c r="K3" s="422"/>
      <c r="L3" s="423"/>
      <c r="M3" s="50"/>
      <c r="N3" s="422" t="s">
        <v>7</v>
      </c>
      <c r="O3" s="422"/>
      <c r="P3" s="422"/>
      <c r="Q3" s="423"/>
      <c r="R3" s="49"/>
      <c r="S3" s="422" t="s">
        <v>338</v>
      </c>
      <c r="T3" s="423"/>
    </row>
    <row r="4" spans="3:20" ht="31.2" x14ac:dyDescent="0.25">
      <c r="C4" s="48" t="s">
        <v>22</v>
      </c>
      <c r="D4" s="51" t="s">
        <v>339</v>
      </c>
      <c r="E4" s="51" t="s">
        <v>17</v>
      </c>
      <c r="F4" s="51" t="s">
        <v>27</v>
      </c>
      <c r="G4" s="51" t="s">
        <v>8</v>
      </c>
      <c r="H4" s="51" t="s">
        <v>340</v>
      </c>
      <c r="I4" s="49"/>
      <c r="J4" s="52" t="s">
        <v>18</v>
      </c>
      <c r="K4" s="51" t="s">
        <v>20</v>
      </c>
      <c r="L4" s="53" t="s">
        <v>21</v>
      </c>
      <c r="M4" s="54"/>
      <c r="N4" s="51" t="s">
        <v>18</v>
      </c>
      <c r="O4" s="51" t="s">
        <v>20</v>
      </c>
      <c r="P4" s="51" t="s">
        <v>19</v>
      </c>
      <c r="Q4" s="53" t="s">
        <v>23</v>
      </c>
      <c r="R4" s="49"/>
      <c r="S4" s="420"/>
      <c r="T4" s="424"/>
    </row>
    <row r="5" spans="3:20" ht="27" customHeight="1" x14ac:dyDescent="0.3">
      <c r="C5" s="55" t="s">
        <v>341</v>
      </c>
      <c r="D5" s="55" t="s">
        <v>342</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12" t="s">
        <v>404</v>
      </c>
      <c r="T5" s="413"/>
    </row>
    <row r="6" spans="3:20" ht="27" customHeight="1" x14ac:dyDescent="0.3">
      <c r="C6" s="55" t="s">
        <v>343</v>
      </c>
      <c r="D6" s="55" t="s">
        <v>342</v>
      </c>
      <c r="E6" s="56" t="e">
        <f t="shared" ref="E6:E9" si="0">F6+G6</f>
        <v>#REF!</v>
      </c>
      <c r="F6" s="56" t="e">
        <f>'Painel Fertilizers'!#REF!</f>
        <v>#REF!</v>
      </c>
      <c r="G6" s="56" t="e">
        <f>'Painel Fertilizers'!#REF!</f>
        <v>#REF!</v>
      </c>
      <c r="H6" s="56" t="e">
        <f>'Painel Fertilizers'!#REF!</f>
        <v>#REF!</v>
      </c>
      <c r="I6" s="49"/>
      <c r="J6" s="63">
        <v>300000</v>
      </c>
      <c r="K6" s="64" t="s">
        <v>227</v>
      </c>
      <c r="L6" s="65">
        <v>0</v>
      </c>
      <c r="M6" s="60"/>
      <c r="N6" s="66">
        <v>740000</v>
      </c>
      <c r="O6" s="67" t="s">
        <v>228</v>
      </c>
      <c r="P6" s="68">
        <v>45566</v>
      </c>
      <c r="Q6" s="69" t="s">
        <v>235</v>
      </c>
      <c r="R6" s="49"/>
      <c r="S6" s="412" t="s">
        <v>405</v>
      </c>
      <c r="T6" s="413"/>
    </row>
    <row r="7" spans="3:20" ht="27" customHeight="1" x14ac:dyDescent="0.3">
      <c r="C7" s="55" t="s">
        <v>207</v>
      </c>
      <c r="D7" s="55" t="s">
        <v>342</v>
      </c>
      <c r="E7" s="56">
        <f t="shared" si="0"/>
        <v>0</v>
      </c>
      <c r="F7" s="56">
        <f>'Painel Fertilizers'!O20</f>
        <v>0</v>
      </c>
      <c r="G7" s="56">
        <v>0</v>
      </c>
      <c r="H7" s="56">
        <v>0</v>
      </c>
      <c r="I7" s="49"/>
      <c r="J7" s="63"/>
      <c r="K7" s="64"/>
      <c r="L7" s="65"/>
      <c r="M7" s="60"/>
      <c r="N7" s="66">
        <v>4000000</v>
      </c>
      <c r="O7" s="67" t="s">
        <v>233</v>
      </c>
      <c r="P7" s="68">
        <v>45505</v>
      </c>
      <c r="Q7" s="69" t="s">
        <v>232</v>
      </c>
      <c r="R7" s="49"/>
      <c r="S7" s="61" t="s">
        <v>406</v>
      </c>
      <c r="T7" s="62"/>
    </row>
    <row r="8" spans="3:20" ht="27" customHeight="1" x14ac:dyDescent="0.3">
      <c r="C8" s="55" t="s">
        <v>195</v>
      </c>
      <c r="D8" s="55" t="s">
        <v>342</v>
      </c>
      <c r="E8" s="56">
        <f t="shared" si="0"/>
        <v>2026077.96</v>
      </c>
      <c r="F8" s="56">
        <v>1892359.96</v>
      </c>
      <c r="G8" s="56">
        <f>'Painel Fertilizers'!P20</f>
        <v>133718</v>
      </c>
      <c r="H8" s="56">
        <f>'Painel Fertilizers'!X5</f>
        <v>3088531.0700000008</v>
      </c>
      <c r="I8" s="49"/>
      <c r="J8" s="70">
        <v>1000000</v>
      </c>
      <c r="K8" s="71" t="s">
        <v>344</v>
      </c>
      <c r="L8" s="72">
        <v>360</v>
      </c>
      <c r="M8" s="60"/>
      <c r="N8" s="63">
        <v>1892360</v>
      </c>
      <c r="O8" s="71" t="s">
        <v>344</v>
      </c>
      <c r="P8" s="68">
        <v>45597</v>
      </c>
      <c r="Q8" s="69" t="s">
        <v>232</v>
      </c>
      <c r="R8" s="49"/>
      <c r="S8" s="412" t="s">
        <v>473</v>
      </c>
      <c r="T8" s="413"/>
    </row>
    <row r="9" spans="3:20" ht="27" customHeight="1" x14ac:dyDescent="0.3">
      <c r="C9" s="55" t="s">
        <v>199</v>
      </c>
      <c r="D9" s="55" t="s">
        <v>342</v>
      </c>
      <c r="E9" s="56">
        <f t="shared" si="0"/>
        <v>3044850.9199999995</v>
      </c>
      <c r="F9" s="56">
        <f>'Painel Fertilizers'!O6</f>
        <v>3044850.9199999995</v>
      </c>
      <c r="G9" s="56">
        <f>'Painel Fertilizers'!P6</f>
        <v>0</v>
      </c>
      <c r="H9" s="56">
        <f>'Painel Fertilizers'!X6</f>
        <v>3044850.9199999995</v>
      </c>
      <c r="I9" s="49"/>
      <c r="J9" s="63">
        <v>2000000</v>
      </c>
      <c r="K9" s="71" t="s">
        <v>344</v>
      </c>
      <c r="L9" s="65">
        <v>120</v>
      </c>
      <c r="M9" s="60"/>
      <c r="N9" s="63"/>
      <c r="O9" s="64"/>
      <c r="P9" s="64"/>
      <c r="Q9" s="65"/>
      <c r="R9" s="49"/>
      <c r="S9" s="412" t="s">
        <v>390</v>
      </c>
      <c r="T9" s="413"/>
    </row>
    <row r="10" spans="3:20" ht="27" customHeight="1" x14ac:dyDescent="0.3">
      <c r="C10" s="55" t="s">
        <v>187</v>
      </c>
      <c r="D10" s="55" t="s">
        <v>342</v>
      </c>
      <c r="E10" s="56">
        <f>F10+G10</f>
        <v>876011.75</v>
      </c>
      <c r="F10" s="56">
        <f>'Painel Fertilizers'!O10</f>
        <v>876011.75</v>
      </c>
      <c r="G10" s="56">
        <f>'Painel Fertilizers'!P10</f>
        <v>0</v>
      </c>
      <c r="H10" s="56">
        <f>'Painel Fertilizers'!X10</f>
        <v>0</v>
      </c>
      <c r="I10" s="49"/>
      <c r="J10" s="63"/>
      <c r="K10" s="71"/>
      <c r="L10" s="65"/>
      <c r="M10" s="60"/>
      <c r="N10" s="63">
        <v>5517407.7000000002</v>
      </c>
      <c r="O10" s="71" t="s">
        <v>344</v>
      </c>
      <c r="P10" s="68">
        <v>45606</v>
      </c>
      <c r="Q10" s="65" t="s">
        <v>232</v>
      </c>
      <c r="R10" s="49"/>
      <c r="S10" s="61" t="s">
        <v>352</v>
      </c>
      <c r="T10" s="62"/>
    </row>
    <row r="11" spans="3:20" ht="27" customHeight="1" x14ac:dyDescent="0.3">
      <c r="C11" s="55" t="s">
        <v>389</v>
      </c>
      <c r="D11" s="55" t="s">
        <v>342</v>
      </c>
      <c r="E11" s="56">
        <f>F11+G11</f>
        <v>0</v>
      </c>
      <c r="F11" s="56">
        <f>'Painel Fertilizers'!O22</f>
        <v>0</v>
      </c>
      <c r="G11" s="56">
        <f>'Painel Fertilizers'!P22</f>
        <v>0</v>
      </c>
      <c r="H11" s="56">
        <f>'Painel Fertilizers'!X22</f>
        <v>0</v>
      </c>
      <c r="I11" s="49"/>
      <c r="J11" s="63"/>
      <c r="K11" s="71"/>
      <c r="L11" s="65"/>
      <c r="M11" s="60"/>
      <c r="N11" s="63">
        <v>3000000</v>
      </c>
      <c r="O11" s="71" t="s">
        <v>344</v>
      </c>
      <c r="P11" s="68">
        <v>45627</v>
      </c>
      <c r="Q11" s="65" t="s">
        <v>232</v>
      </c>
      <c r="R11" s="49"/>
      <c r="S11" s="61" t="s">
        <v>352</v>
      </c>
      <c r="T11" s="62"/>
    </row>
    <row r="12" spans="3:20" ht="27" customHeight="1" x14ac:dyDescent="0.3">
      <c r="C12" s="73" t="s">
        <v>345</v>
      </c>
      <c r="D12" s="73"/>
      <c r="E12" s="74" t="e">
        <f>SUM(E5:E11)</f>
        <v>#REF!</v>
      </c>
      <c r="F12" s="74" t="e">
        <f>SUM(F5:F11)</f>
        <v>#REF!</v>
      </c>
      <c r="G12" s="74" t="e">
        <f>SUM(G5:G11)</f>
        <v>#REF!</v>
      </c>
      <c r="H12" s="74" t="e">
        <f>SUM(H5:H11)</f>
        <v>#REF!</v>
      </c>
      <c r="I12" s="49"/>
      <c r="J12" s="75"/>
      <c r="K12" s="76"/>
      <c r="L12" s="77"/>
      <c r="M12" s="78"/>
      <c r="N12" s="75"/>
      <c r="O12" s="76"/>
      <c r="P12" s="76"/>
      <c r="Q12" s="77"/>
      <c r="R12" s="49"/>
      <c r="S12" s="414"/>
      <c r="T12" s="415"/>
    </row>
    <row r="13" spans="3:20" ht="22.2" customHeight="1" x14ac:dyDescent="0.3">
      <c r="C13" s="55" t="s">
        <v>157</v>
      </c>
      <c r="D13" s="55" t="s">
        <v>174</v>
      </c>
      <c r="E13" s="56">
        <f>F13+G13</f>
        <v>110528</v>
      </c>
      <c r="F13" s="56">
        <v>110528</v>
      </c>
      <c r="G13" s="56">
        <v>0</v>
      </c>
      <c r="H13" s="56">
        <v>110527.99999999999</v>
      </c>
      <c r="I13" s="49"/>
      <c r="J13" s="57"/>
      <c r="K13" s="58"/>
      <c r="L13" s="59"/>
      <c r="M13" s="60"/>
      <c r="N13" s="63"/>
      <c r="O13" s="64"/>
      <c r="P13" s="64"/>
      <c r="Q13" s="65"/>
      <c r="R13" s="49"/>
      <c r="S13" s="416" t="s">
        <v>408</v>
      </c>
      <c r="T13" s="417"/>
    </row>
    <row r="14" spans="3:20" ht="22.2" customHeight="1" x14ac:dyDescent="0.3">
      <c r="C14" s="55" t="s">
        <v>204</v>
      </c>
      <c r="D14" s="55" t="s">
        <v>174</v>
      </c>
      <c r="E14" s="56">
        <f t="shared" ref="E14:E19" si="1">F14+G14</f>
        <v>34132.18</v>
      </c>
      <c r="F14" s="56">
        <v>34132.18</v>
      </c>
      <c r="G14" s="56">
        <v>0</v>
      </c>
      <c r="H14" s="56">
        <v>1023.9653999999999</v>
      </c>
      <c r="I14" s="49"/>
      <c r="J14" s="57"/>
      <c r="K14" s="58"/>
      <c r="L14" s="59"/>
      <c r="M14" s="60"/>
      <c r="N14" s="63"/>
      <c r="O14" s="64"/>
      <c r="P14" s="64"/>
      <c r="Q14" s="65"/>
      <c r="R14" s="49"/>
      <c r="S14" s="412" t="s">
        <v>407</v>
      </c>
      <c r="T14" s="413"/>
    </row>
    <row r="15" spans="3:20" ht="22.2" customHeight="1" x14ac:dyDescent="0.3">
      <c r="C15" s="55" t="s">
        <v>151</v>
      </c>
      <c r="D15" s="55" t="s">
        <v>174</v>
      </c>
      <c r="E15" s="56">
        <f t="shared" si="1"/>
        <v>22222.25</v>
      </c>
      <c r="F15" s="56">
        <v>22222.25</v>
      </c>
      <c r="G15" s="56">
        <v>0</v>
      </c>
      <c r="H15" s="56">
        <v>22222.25</v>
      </c>
      <c r="I15" s="49"/>
      <c r="J15" s="57"/>
      <c r="K15" s="58"/>
      <c r="L15" s="59"/>
      <c r="M15" s="60"/>
      <c r="N15" s="63"/>
      <c r="O15" s="64"/>
      <c r="P15" s="64"/>
      <c r="Q15" s="65"/>
      <c r="R15" s="49"/>
      <c r="S15" s="416" t="s">
        <v>408</v>
      </c>
      <c r="T15" s="417"/>
    </row>
    <row r="16" spans="3:20" ht="22.2" customHeight="1" x14ac:dyDescent="0.3">
      <c r="C16" s="55" t="s">
        <v>346</v>
      </c>
      <c r="D16" s="55" t="s">
        <v>317</v>
      </c>
      <c r="E16" s="56">
        <f t="shared" si="1"/>
        <v>226233.60000000001</v>
      </c>
      <c r="F16" s="56">
        <v>226233.60000000001</v>
      </c>
      <c r="G16" s="56">
        <v>0</v>
      </c>
      <c r="H16" s="56">
        <f>'Painel Additive'!X6</f>
        <v>63226.319999999992</v>
      </c>
      <c r="I16" s="49"/>
      <c r="J16" s="57"/>
      <c r="K16" s="58"/>
      <c r="L16" s="59"/>
      <c r="M16" s="60"/>
      <c r="N16" s="63"/>
      <c r="O16" s="64"/>
      <c r="P16" s="64"/>
      <c r="Q16" s="65"/>
      <c r="R16" s="49"/>
      <c r="S16" s="412" t="s">
        <v>407</v>
      </c>
      <c r="T16" s="413"/>
    </row>
    <row r="17" spans="3:20" ht="22.2" customHeight="1" x14ac:dyDescent="0.3">
      <c r="C17" s="55" t="s">
        <v>156</v>
      </c>
      <c r="D17" s="55" t="s">
        <v>317</v>
      </c>
      <c r="E17" s="56">
        <f t="shared" si="1"/>
        <v>140872.6</v>
      </c>
      <c r="F17" s="56">
        <v>140872.6</v>
      </c>
      <c r="G17" s="56">
        <v>0</v>
      </c>
      <c r="H17" s="56">
        <v>140872.6</v>
      </c>
      <c r="I17" s="49"/>
      <c r="J17" s="57"/>
      <c r="K17" s="58"/>
      <c r="L17" s="59"/>
      <c r="M17" s="60"/>
      <c r="N17" s="63"/>
      <c r="O17" s="64"/>
      <c r="P17" s="64"/>
      <c r="Q17" s="65"/>
      <c r="R17" s="49"/>
      <c r="S17" s="416" t="s">
        <v>408</v>
      </c>
      <c r="T17" s="417"/>
    </row>
    <row r="18" spans="3:20" ht="22.2" customHeight="1" x14ac:dyDescent="0.3">
      <c r="C18" s="55" t="s">
        <v>347</v>
      </c>
      <c r="D18" s="55" t="s">
        <v>317</v>
      </c>
      <c r="E18" s="56">
        <f t="shared" si="1"/>
        <v>41379</v>
      </c>
      <c r="F18" s="56">
        <v>41379</v>
      </c>
      <c r="G18" s="56">
        <v>0</v>
      </c>
      <c r="H18" s="56">
        <v>41379</v>
      </c>
      <c r="I18" s="49"/>
      <c r="J18" s="57"/>
      <c r="K18" s="58"/>
      <c r="L18" s="59"/>
      <c r="M18" s="60"/>
      <c r="N18" s="63"/>
      <c r="O18" s="64"/>
      <c r="P18" s="64"/>
      <c r="Q18" s="65"/>
      <c r="R18" s="49"/>
      <c r="S18" s="416" t="s">
        <v>408</v>
      </c>
      <c r="T18" s="417"/>
    </row>
    <row r="19" spans="3:20" ht="22.2" customHeight="1" x14ac:dyDescent="0.3">
      <c r="C19" s="79" t="s">
        <v>150</v>
      </c>
      <c r="D19" s="55" t="s">
        <v>317</v>
      </c>
      <c r="E19" s="56">
        <f t="shared" si="1"/>
        <v>84291.45</v>
      </c>
      <c r="F19" s="56">
        <v>84291.45</v>
      </c>
      <c r="G19" s="56">
        <v>0</v>
      </c>
      <c r="H19" s="56">
        <v>84291.45</v>
      </c>
      <c r="I19" s="49"/>
      <c r="J19" s="57"/>
      <c r="K19" s="58"/>
      <c r="L19" s="59"/>
      <c r="M19" s="60"/>
      <c r="N19" s="63"/>
      <c r="O19" s="64"/>
      <c r="P19" s="68"/>
      <c r="Q19" s="69"/>
      <c r="R19" s="49"/>
      <c r="S19" s="416" t="s">
        <v>408</v>
      </c>
      <c r="T19" s="417"/>
    </row>
    <row r="20" spans="3:20" ht="27" customHeight="1" x14ac:dyDescent="0.3">
      <c r="C20" s="80" t="s">
        <v>348</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10"/>
      <c r="T20" s="411"/>
    </row>
    <row r="21" spans="3:20" ht="27" customHeight="1" x14ac:dyDescent="0.3">
      <c r="C21" s="80" t="s">
        <v>349</v>
      </c>
      <c r="D21" s="80"/>
      <c r="E21" s="81" t="e">
        <f t="shared" ref="E21:E22" si="2">F21+G21</f>
        <v>#REF!</v>
      </c>
      <c r="F21" s="81" t="e">
        <f>-(F20+F12)+'Painel Additive'!O1+'Painel Fertilizers'!O1+'Painel International'!O1</f>
        <v>#REF!</v>
      </c>
      <c r="G21" s="81">
        <v>0</v>
      </c>
      <c r="H21" s="81" t="e">
        <f>'Bad Debt Provision'!#REF! - (H12+H20)</f>
        <v>#REF!</v>
      </c>
      <c r="I21" s="49"/>
      <c r="J21" s="409"/>
      <c r="K21" s="410"/>
      <c r="L21" s="411"/>
      <c r="M21" s="78"/>
      <c r="N21" s="410"/>
      <c r="O21" s="410"/>
      <c r="P21" s="410"/>
      <c r="Q21" s="411"/>
      <c r="R21" s="49"/>
      <c r="S21" s="418" t="s">
        <v>350</v>
      </c>
      <c r="T21" s="419"/>
    </row>
    <row r="22" spans="3:20" ht="27" customHeight="1" x14ac:dyDescent="0.3">
      <c r="C22" s="80" t="s">
        <v>8</v>
      </c>
      <c r="D22" s="80"/>
      <c r="E22" s="81">
        <f t="shared" si="2"/>
        <v>37052731.829999998</v>
      </c>
      <c r="F22" s="81">
        <v>0</v>
      </c>
      <c r="G22" s="81">
        <f>'Painel Additive'!P1+'Painel Fertilizers'!P1+'Painel International'!P1</f>
        <v>37052731.829999998</v>
      </c>
      <c r="H22" s="81">
        <v>0</v>
      </c>
      <c r="I22" s="49"/>
      <c r="J22" s="409"/>
      <c r="K22" s="410"/>
      <c r="L22" s="411"/>
      <c r="M22" s="60"/>
      <c r="N22" s="410"/>
      <c r="O22" s="410"/>
      <c r="P22" s="410"/>
      <c r="Q22" s="411"/>
      <c r="R22" s="49"/>
      <c r="S22" s="410"/>
      <c r="T22" s="411"/>
    </row>
    <row r="23" spans="3:20" ht="25.2" customHeight="1" thickBot="1" x14ac:dyDescent="0.35">
      <c r="C23" s="85" t="s">
        <v>351</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3"/>
  <sheetViews>
    <sheetView zoomScale="80" zoomScaleNormal="80" workbookViewId="0">
      <selection activeCell="S14" sqref="S14"/>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157383.12</v>
      </c>
      <c r="Q1" s="3">
        <v>46111</v>
      </c>
    </row>
    <row r="2" spans="1:17" x14ac:dyDescent="0.25">
      <c r="A2" s="2" t="s">
        <v>4</v>
      </c>
      <c r="B2" s="2" t="s">
        <v>3</v>
      </c>
      <c r="C2" s="2" t="s">
        <v>0</v>
      </c>
      <c r="D2" s="213" t="s">
        <v>6</v>
      </c>
      <c r="E2" s="2" t="s">
        <v>217</v>
      </c>
      <c r="F2" s="212" t="s">
        <v>2</v>
      </c>
      <c r="G2" s="2" t="s">
        <v>216</v>
      </c>
      <c r="H2" s="2" t="s">
        <v>218</v>
      </c>
      <c r="I2" s="2" t="s">
        <v>219</v>
      </c>
      <c r="J2" s="2" t="s">
        <v>1</v>
      </c>
      <c r="K2" s="212" t="s">
        <v>220</v>
      </c>
      <c r="L2" s="2" t="s">
        <v>221</v>
      </c>
      <c r="M2" s="2" t="s">
        <v>222</v>
      </c>
      <c r="N2" s="2" t="s">
        <v>223</v>
      </c>
      <c r="O2" s="2" t="s">
        <v>224</v>
      </c>
      <c r="P2" s="2" t="s">
        <v>410</v>
      </c>
      <c r="Q2" s="4" t="s">
        <v>5</v>
      </c>
    </row>
    <row r="3" spans="1:17" x14ac:dyDescent="0.25">
      <c r="A3">
        <v>1787</v>
      </c>
      <c r="B3" t="s">
        <v>67</v>
      </c>
      <c r="C3" t="s">
        <v>68</v>
      </c>
      <c r="D3" s="34">
        <v>3600</v>
      </c>
      <c r="E3">
        <v>1246031589</v>
      </c>
      <c r="F3" s="30">
        <v>44784</v>
      </c>
      <c r="H3" t="s">
        <v>28</v>
      </c>
      <c r="I3" t="s">
        <v>29</v>
      </c>
      <c r="J3">
        <v>1246031589</v>
      </c>
      <c r="K3" s="30">
        <v>44769</v>
      </c>
      <c r="L3">
        <v>3041000</v>
      </c>
      <c r="M3" t="s">
        <v>138</v>
      </c>
      <c r="N3">
        <v>46</v>
      </c>
      <c r="O3" t="s">
        <v>163</v>
      </c>
      <c r="P3" t="s">
        <v>531</v>
      </c>
      <c r="Q3">
        <f>$Q$1-F3</f>
        <v>1327</v>
      </c>
    </row>
    <row r="4" spans="1:17" x14ac:dyDescent="0.25">
      <c r="A4">
        <v>1787</v>
      </c>
      <c r="B4" t="s">
        <v>67</v>
      </c>
      <c r="C4" t="s">
        <v>68</v>
      </c>
      <c r="D4" s="34">
        <v>2700</v>
      </c>
      <c r="E4">
        <v>1246055596</v>
      </c>
      <c r="F4" s="30">
        <v>44889</v>
      </c>
      <c r="H4" t="s">
        <v>28</v>
      </c>
      <c r="I4" t="s">
        <v>29</v>
      </c>
      <c r="J4">
        <v>1246055596</v>
      </c>
      <c r="K4" s="30">
        <v>44889</v>
      </c>
      <c r="L4">
        <v>3041000</v>
      </c>
      <c r="M4" t="s">
        <v>138</v>
      </c>
      <c r="N4">
        <v>46</v>
      </c>
      <c r="O4" t="s">
        <v>163</v>
      </c>
      <c r="P4" t="s">
        <v>531</v>
      </c>
      <c r="Q4">
        <f t="shared" ref="Q4:Q49" si="0">$Q$1-F4</f>
        <v>1222</v>
      </c>
    </row>
    <row r="5" spans="1:17" x14ac:dyDescent="0.25">
      <c r="A5">
        <v>1788</v>
      </c>
      <c r="B5" t="s">
        <v>69</v>
      </c>
      <c r="C5" t="s">
        <v>70</v>
      </c>
      <c r="D5" s="34">
        <v>5400</v>
      </c>
      <c r="E5">
        <v>1246055599</v>
      </c>
      <c r="F5" s="30">
        <v>44889</v>
      </c>
      <c r="H5" t="s">
        <v>28</v>
      </c>
      <c r="I5" t="s">
        <v>29</v>
      </c>
      <c r="J5">
        <v>1246055599</v>
      </c>
      <c r="K5" s="30">
        <v>44889</v>
      </c>
      <c r="L5">
        <v>3041000</v>
      </c>
      <c r="M5" t="s">
        <v>138</v>
      </c>
      <c r="N5">
        <v>46</v>
      </c>
      <c r="O5" t="s">
        <v>163</v>
      </c>
      <c r="P5" t="s">
        <v>531</v>
      </c>
      <c r="Q5">
        <f t="shared" si="0"/>
        <v>1222</v>
      </c>
    </row>
    <row r="6" spans="1:17" x14ac:dyDescent="0.25">
      <c r="A6">
        <v>1788</v>
      </c>
      <c r="B6" t="s">
        <v>69</v>
      </c>
      <c r="C6" t="s">
        <v>70</v>
      </c>
      <c r="D6" s="34">
        <v>1200</v>
      </c>
      <c r="E6">
        <v>1246190701</v>
      </c>
      <c r="F6" s="30">
        <v>45674</v>
      </c>
      <c r="H6" t="s">
        <v>28</v>
      </c>
      <c r="I6" t="s">
        <v>29</v>
      </c>
      <c r="J6">
        <v>1246190701</v>
      </c>
      <c r="K6" s="30">
        <v>45659</v>
      </c>
      <c r="L6">
        <v>3041000</v>
      </c>
      <c r="M6" t="s">
        <v>138</v>
      </c>
      <c r="N6">
        <v>46</v>
      </c>
      <c r="O6" t="s">
        <v>163</v>
      </c>
      <c r="P6" t="s">
        <v>531</v>
      </c>
      <c r="Q6">
        <f t="shared" si="0"/>
        <v>437</v>
      </c>
    </row>
    <row r="7" spans="1:17" x14ac:dyDescent="0.25">
      <c r="A7">
        <v>1789</v>
      </c>
      <c r="B7" t="s">
        <v>71</v>
      </c>
      <c r="C7" t="s">
        <v>72</v>
      </c>
      <c r="D7" s="34">
        <v>2700</v>
      </c>
      <c r="E7">
        <v>1246120461</v>
      </c>
      <c r="F7" s="30">
        <v>45294</v>
      </c>
      <c r="H7" t="s">
        <v>28</v>
      </c>
      <c r="I7" t="s">
        <v>29</v>
      </c>
      <c r="J7">
        <v>191223</v>
      </c>
      <c r="K7" s="30">
        <v>45279</v>
      </c>
      <c r="L7">
        <v>3041000</v>
      </c>
      <c r="M7" t="s">
        <v>138</v>
      </c>
      <c r="N7">
        <v>46</v>
      </c>
      <c r="O7" t="s">
        <v>163</v>
      </c>
      <c r="P7" t="s">
        <v>531</v>
      </c>
      <c r="Q7">
        <f t="shared" si="0"/>
        <v>817</v>
      </c>
    </row>
    <row r="8" spans="1:17" x14ac:dyDescent="0.25">
      <c r="A8">
        <v>1789</v>
      </c>
      <c r="B8" t="s">
        <v>71</v>
      </c>
      <c r="C8" t="s">
        <v>72</v>
      </c>
      <c r="D8" s="34">
        <v>900</v>
      </c>
      <c r="E8">
        <v>1246146095</v>
      </c>
      <c r="F8" s="30">
        <v>45428</v>
      </c>
      <c r="H8" t="s">
        <v>28</v>
      </c>
      <c r="I8" t="s">
        <v>29</v>
      </c>
      <c r="J8">
        <v>1246120461</v>
      </c>
      <c r="K8" s="30">
        <v>45428</v>
      </c>
      <c r="L8">
        <v>3041000</v>
      </c>
      <c r="M8" t="s">
        <v>138</v>
      </c>
      <c r="N8">
        <v>46</v>
      </c>
      <c r="O8" t="s">
        <v>163</v>
      </c>
      <c r="P8" t="s">
        <v>531</v>
      </c>
      <c r="Q8">
        <f t="shared" si="0"/>
        <v>683</v>
      </c>
    </row>
    <row r="9" spans="1:17" x14ac:dyDescent="0.25">
      <c r="A9">
        <v>1159</v>
      </c>
      <c r="B9" t="s">
        <v>60</v>
      </c>
      <c r="C9" t="s">
        <v>61</v>
      </c>
      <c r="D9" s="34">
        <v>1800</v>
      </c>
      <c r="E9">
        <v>1246087936</v>
      </c>
      <c r="F9" s="30">
        <v>45112</v>
      </c>
      <c r="H9" t="s">
        <v>28</v>
      </c>
      <c r="I9" t="s">
        <v>29</v>
      </c>
      <c r="J9">
        <v>1246087936</v>
      </c>
      <c r="K9" s="30">
        <v>45097</v>
      </c>
      <c r="L9">
        <v>3041000</v>
      </c>
      <c r="M9" t="s">
        <v>138</v>
      </c>
      <c r="N9">
        <v>46</v>
      </c>
      <c r="O9" t="s">
        <v>163</v>
      </c>
      <c r="P9" t="s">
        <v>420</v>
      </c>
      <c r="Q9">
        <f t="shared" si="0"/>
        <v>999</v>
      </c>
    </row>
    <row r="10" spans="1:17" x14ac:dyDescent="0.25">
      <c r="A10">
        <v>1159</v>
      </c>
      <c r="B10" t="s">
        <v>60</v>
      </c>
      <c r="C10" t="s">
        <v>61</v>
      </c>
      <c r="D10" s="34">
        <v>2700</v>
      </c>
      <c r="E10">
        <v>1246087941</v>
      </c>
      <c r="F10" s="30">
        <v>45112</v>
      </c>
      <c r="H10" t="s">
        <v>28</v>
      </c>
      <c r="I10" t="s">
        <v>29</v>
      </c>
      <c r="J10">
        <v>1246087941</v>
      </c>
      <c r="K10" s="30">
        <v>45097</v>
      </c>
      <c r="L10">
        <v>3041000</v>
      </c>
      <c r="M10" t="s">
        <v>138</v>
      </c>
      <c r="N10">
        <v>46</v>
      </c>
      <c r="O10" t="s">
        <v>163</v>
      </c>
      <c r="P10" t="s">
        <v>420</v>
      </c>
      <c r="Q10">
        <f t="shared" si="0"/>
        <v>999</v>
      </c>
    </row>
    <row r="11" spans="1:17" x14ac:dyDescent="0.25">
      <c r="A11">
        <v>1159</v>
      </c>
      <c r="B11" t="s">
        <v>60</v>
      </c>
      <c r="C11" t="s">
        <v>61</v>
      </c>
      <c r="D11" s="34">
        <v>1800</v>
      </c>
      <c r="E11">
        <v>1246087939</v>
      </c>
      <c r="F11" s="30">
        <v>45112</v>
      </c>
      <c r="H11" t="s">
        <v>28</v>
      </c>
      <c r="I11" t="s">
        <v>29</v>
      </c>
      <c r="J11">
        <v>1246087939</v>
      </c>
      <c r="K11" s="30">
        <v>45097</v>
      </c>
      <c r="L11">
        <v>3041000</v>
      </c>
      <c r="M11" t="s">
        <v>138</v>
      </c>
      <c r="N11">
        <v>46</v>
      </c>
      <c r="O11" t="s">
        <v>163</v>
      </c>
      <c r="P11" t="s">
        <v>420</v>
      </c>
      <c r="Q11">
        <f t="shared" si="0"/>
        <v>999</v>
      </c>
    </row>
    <row r="12" spans="1:17" x14ac:dyDescent="0.25">
      <c r="A12">
        <v>1159</v>
      </c>
      <c r="B12" t="s">
        <v>60</v>
      </c>
      <c r="C12" t="s">
        <v>61</v>
      </c>
      <c r="D12" s="34">
        <v>1800</v>
      </c>
      <c r="E12">
        <v>1246087937</v>
      </c>
      <c r="F12" s="30">
        <v>45112</v>
      </c>
      <c r="H12" t="s">
        <v>28</v>
      </c>
      <c r="I12" t="s">
        <v>29</v>
      </c>
      <c r="J12">
        <v>1246087937</v>
      </c>
      <c r="K12" s="30">
        <v>45097</v>
      </c>
      <c r="L12">
        <v>3041000</v>
      </c>
      <c r="M12" t="s">
        <v>138</v>
      </c>
      <c r="N12">
        <v>46</v>
      </c>
      <c r="O12" t="s">
        <v>163</v>
      </c>
      <c r="P12" t="s">
        <v>420</v>
      </c>
      <c r="Q12">
        <f t="shared" si="0"/>
        <v>999</v>
      </c>
    </row>
    <row r="13" spans="1:17" x14ac:dyDescent="0.25">
      <c r="A13">
        <v>1159</v>
      </c>
      <c r="B13" t="s">
        <v>60</v>
      </c>
      <c r="C13" t="s">
        <v>61</v>
      </c>
      <c r="D13" s="34">
        <v>1800</v>
      </c>
      <c r="E13">
        <v>1246087943</v>
      </c>
      <c r="F13" s="30">
        <v>45112</v>
      </c>
      <c r="H13" t="s">
        <v>28</v>
      </c>
      <c r="I13" t="s">
        <v>29</v>
      </c>
      <c r="J13">
        <v>1246087943</v>
      </c>
      <c r="K13" s="30">
        <v>45097</v>
      </c>
      <c r="L13">
        <v>3041000</v>
      </c>
      <c r="M13" t="s">
        <v>138</v>
      </c>
      <c r="N13">
        <v>46</v>
      </c>
      <c r="O13" t="s">
        <v>163</v>
      </c>
      <c r="P13" t="s">
        <v>420</v>
      </c>
      <c r="Q13">
        <f t="shared" si="0"/>
        <v>999</v>
      </c>
    </row>
    <row r="14" spans="1:17" x14ac:dyDescent="0.25">
      <c r="A14">
        <v>1159</v>
      </c>
      <c r="B14" t="s">
        <v>60</v>
      </c>
      <c r="C14" t="s">
        <v>61</v>
      </c>
      <c r="D14" s="34">
        <v>2700</v>
      </c>
      <c r="E14">
        <v>1246121301</v>
      </c>
      <c r="F14" s="30">
        <v>45297</v>
      </c>
      <c r="H14" t="s">
        <v>28</v>
      </c>
      <c r="I14" t="s">
        <v>29</v>
      </c>
      <c r="J14">
        <v>1246121301</v>
      </c>
      <c r="K14" s="30">
        <v>45282</v>
      </c>
      <c r="L14">
        <v>3041000</v>
      </c>
      <c r="M14" t="s">
        <v>138</v>
      </c>
      <c r="N14">
        <v>46</v>
      </c>
      <c r="O14" t="s">
        <v>163</v>
      </c>
      <c r="P14" t="s">
        <v>420</v>
      </c>
      <c r="Q14">
        <f t="shared" si="0"/>
        <v>814</v>
      </c>
    </row>
    <row r="15" spans="1:17" x14ac:dyDescent="0.25">
      <c r="A15">
        <v>1159</v>
      </c>
      <c r="B15" t="s">
        <v>60</v>
      </c>
      <c r="C15" t="s">
        <v>61</v>
      </c>
      <c r="D15" s="34">
        <v>4800</v>
      </c>
      <c r="E15">
        <v>1246121285</v>
      </c>
      <c r="F15" s="30">
        <v>45297</v>
      </c>
      <c r="H15" t="s">
        <v>28</v>
      </c>
      <c r="I15" t="s">
        <v>29</v>
      </c>
      <c r="J15">
        <v>1246121285</v>
      </c>
      <c r="K15" s="30">
        <v>45282</v>
      </c>
      <c r="L15">
        <v>3041000</v>
      </c>
      <c r="M15" t="s">
        <v>138</v>
      </c>
      <c r="N15">
        <v>46</v>
      </c>
      <c r="O15" t="s">
        <v>163</v>
      </c>
      <c r="P15" t="s">
        <v>420</v>
      </c>
      <c r="Q15">
        <f t="shared" si="0"/>
        <v>814</v>
      </c>
    </row>
    <row r="16" spans="1:17" x14ac:dyDescent="0.25">
      <c r="A16">
        <v>1159</v>
      </c>
      <c r="B16" t="s">
        <v>60</v>
      </c>
      <c r="C16" t="s">
        <v>61</v>
      </c>
      <c r="D16" s="34">
        <v>2700</v>
      </c>
      <c r="E16">
        <v>1246121300</v>
      </c>
      <c r="F16" s="30">
        <v>45297</v>
      </c>
      <c r="H16" t="s">
        <v>28</v>
      </c>
      <c r="I16" t="s">
        <v>29</v>
      </c>
      <c r="J16">
        <v>1246121300</v>
      </c>
      <c r="K16" s="30">
        <v>45282</v>
      </c>
      <c r="L16">
        <v>3041000</v>
      </c>
      <c r="M16" t="s">
        <v>138</v>
      </c>
      <c r="N16">
        <v>46</v>
      </c>
      <c r="O16" t="s">
        <v>163</v>
      </c>
      <c r="P16" t="s">
        <v>420</v>
      </c>
      <c r="Q16">
        <f t="shared" si="0"/>
        <v>814</v>
      </c>
    </row>
    <row r="17" spans="1:17" x14ac:dyDescent="0.25">
      <c r="A17">
        <v>1159</v>
      </c>
      <c r="B17" t="s">
        <v>60</v>
      </c>
      <c r="C17" t="s">
        <v>61</v>
      </c>
      <c r="D17" s="34">
        <v>1800</v>
      </c>
      <c r="E17">
        <v>1246121298</v>
      </c>
      <c r="F17" s="30">
        <v>45297</v>
      </c>
      <c r="H17" t="s">
        <v>28</v>
      </c>
      <c r="I17" t="s">
        <v>29</v>
      </c>
      <c r="J17">
        <v>1246121298</v>
      </c>
      <c r="K17" s="30">
        <v>45282</v>
      </c>
      <c r="L17">
        <v>3041000</v>
      </c>
      <c r="M17" t="s">
        <v>138</v>
      </c>
      <c r="N17">
        <v>46</v>
      </c>
      <c r="O17" t="s">
        <v>163</v>
      </c>
      <c r="P17" t="s">
        <v>420</v>
      </c>
      <c r="Q17">
        <f t="shared" si="0"/>
        <v>814</v>
      </c>
    </row>
    <row r="18" spans="1:17" x14ac:dyDescent="0.25">
      <c r="A18">
        <v>1159</v>
      </c>
      <c r="B18" t="s">
        <v>60</v>
      </c>
      <c r="C18" t="s">
        <v>61</v>
      </c>
      <c r="D18" s="34">
        <v>2700</v>
      </c>
      <c r="E18">
        <v>1246121302</v>
      </c>
      <c r="F18" s="30">
        <v>45297</v>
      </c>
      <c r="H18" t="s">
        <v>28</v>
      </c>
      <c r="I18" t="s">
        <v>29</v>
      </c>
      <c r="J18">
        <v>1246121302</v>
      </c>
      <c r="K18" s="30">
        <v>45282</v>
      </c>
      <c r="L18">
        <v>3041000</v>
      </c>
      <c r="M18" t="s">
        <v>138</v>
      </c>
      <c r="N18">
        <v>46</v>
      </c>
      <c r="O18" t="s">
        <v>163</v>
      </c>
      <c r="P18" t="s">
        <v>420</v>
      </c>
      <c r="Q18">
        <f t="shared" si="0"/>
        <v>814</v>
      </c>
    </row>
    <row r="19" spans="1:17" x14ac:dyDescent="0.25">
      <c r="A19">
        <v>1159</v>
      </c>
      <c r="B19" t="s">
        <v>60</v>
      </c>
      <c r="C19" t="s">
        <v>61</v>
      </c>
      <c r="D19" s="34">
        <v>1200</v>
      </c>
      <c r="E19">
        <v>1246121295</v>
      </c>
      <c r="F19" s="30">
        <v>45297</v>
      </c>
      <c r="H19" t="s">
        <v>28</v>
      </c>
      <c r="I19" t="s">
        <v>29</v>
      </c>
      <c r="J19">
        <v>1246121295</v>
      </c>
      <c r="K19" s="30">
        <v>45282</v>
      </c>
      <c r="L19">
        <v>3041000</v>
      </c>
      <c r="M19" t="s">
        <v>138</v>
      </c>
      <c r="N19">
        <v>46</v>
      </c>
      <c r="O19" t="s">
        <v>163</v>
      </c>
      <c r="P19" t="s">
        <v>420</v>
      </c>
      <c r="Q19">
        <f t="shared" si="0"/>
        <v>814</v>
      </c>
    </row>
    <row r="20" spans="1:17" x14ac:dyDescent="0.25">
      <c r="A20">
        <v>1159</v>
      </c>
      <c r="B20" t="s">
        <v>60</v>
      </c>
      <c r="C20" t="s">
        <v>61</v>
      </c>
      <c r="D20" s="34">
        <v>2700</v>
      </c>
      <c r="E20">
        <v>1246121297</v>
      </c>
      <c r="F20" s="30">
        <v>45297</v>
      </c>
      <c r="H20" t="s">
        <v>28</v>
      </c>
      <c r="I20" t="s">
        <v>29</v>
      </c>
      <c r="J20">
        <v>1246121297</v>
      </c>
      <c r="K20" s="30">
        <v>45282</v>
      </c>
      <c r="L20">
        <v>3041000</v>
      </c>
      <c r="M20" t="s">
        <v>138</v>
      </c>
      <c r="N20">
        <v>46</v>
      </c>
      <c r="O20" t="s">
        <v>163</v>
      </c>
      <c r="P20" t="s">
        <v>420</v>
      </c>
      <c r="Q20">
        <f t="shared" si="0"/>
        <v>814</v>
      </c>
    </row>
    <row r="21" spans="1:17" x14ac:dyDescent="0.25">
      <c r="A21">
        <v>1159</v>
      </c>
      <c r="B21" t="s">
        <v>60</v>
      </c>
      <c r="C21" t="s">
        <v>61</v>
      </c>
      <c r="D21" s="34">
        <v>6300</v>
      </c>
      <c r="E21">
        <v>1246121299</v>
      </c>
      <c r="F21" s="30">
        <v>45297</v>
      </c>
      <c r="H21" t="s">
        <v>28</v>
      </c>
      <c r="I21" t="s">
        <v>29</v>
      </c>
      <c r="J21">
        <v>1246121299</v>
      </c>
      <c r="K21" s="30">
        <v>45282</v>
      </c>
      <c r="L21">
        <v>3041000</v>
      </c>
      <c r="M21" t="s">
        <v>138</v>
      </c>
      <c r="N21">
        <v>46</v>
      </c>
      <c r="O21" t="s">
        <v>163</v>
      </c>
      <c r="P21" t="s">
        <v>420</v>
      </c>
      <c r="Q21">
        <f t="shared" si="0"/>
        <v>814</v>
      </c>
    </row>
    <row r="22" spans="1:17" x14ac:dyDescent="0.25">
      <c r="A22">
        <v>1159</v>
      </c>
      <c r="B22" t="s">
        <v>60</v>
      </c>
      <c r="C22" t="s">
        <v>61</v>
      </c>
      <c r="D22" s="34">
        <v>3600</v>
      </c>
      <c r="E22">
        <v>1246121296</v>
      </c>
      <c r="F22" s="30">
        <v>45297</v>
      </c>
      <c r="H22" t="s">
        <v>28</v>
      </c>
      <c r="I22" t="s">
        <v>29</v>
      </c>
      <c r="J22">
        <v>1246121296</v>
      </c>
      <c r="K22" s="30">
        <v>45282</v>
      </c>
      <c r="L22">
        <v>3041000</v>
      </c>
      <c r="M22" t="s">
        <v>138</v>
      </c>
      <c r="N22">
        <v>46</v>
      </c>
      <c r="O22" t="s">
        <v>163</v>
      </c>
      <c r="P22" t="s">
        <v>420</v>
      </c>
      <c r="Q22">
        <f t="shared" si="0"/>
        <v>814</v>
      </c>
    </row>
    <row r="23" spans="1:17" x14ac:dyDescent="0.25">
      <c r="A23">
        <v>1159</v>
      </c>
      <c r="B23" t="s">
        <v>60</v>
      </c>
      <c r="C23" t="s">
        <v>61</v>
      </c>
      <c r="D23" s="34">
        <v>1200</v>
      </c>
      <c r="E23">
        <v>1246135390</v>
      </c>
      <c r="F23" s="30">
        <v>45388</v>
      </c>
      <c r="H23" t="s">
        <v>28</v>
      </c>
      <c r="I23" t="s">
        <v>29</v>
      </c>
      <c r="J23">
        <v>1246135390</v>
      </c>
      <c r="K23" s="30">
        <v>45373</v>
      </c>
      <c r="L23">
        <v>3041000</v>
      </c>
      <c r="M23" t="s">
        <v>138</v>
      </c>
      <c r="N23">
        <v>46</v>
      </c>
      <c r="O23" t="s">
        <v>163</v>
      </c>
      <c r="P23" t="s">
        <v>420</v>
      </c>
      <c r="Q23">
        <f t="shared" si="0"/>
        <v>723</v>
      </c>
    </row>
    <row r="24" spans="1:17" x14ac:dyDescent="0.25">
      <c r="A24">
        <v>1159</v>
      </c>
      <c r="B24" t="s">
        <v>60</v>
      </c>
      <c r="C24" t="s">
        <v>61</v>
      </c>
      <c r="D24" s="34">
        <v>2400</v>
      </c>
      <c r="E24">
        <v>1246135388</v>
      </c>
      <c r="F24" s="30">
        <v>45388</v>
      </c>
      <c r="H24" t="s">
        <v>28</v>
      </c>
      <c r="I24" t="s">
        <v>29</v>
      </c>
      <c r="J24">
        <v>1246135388</v>
      </c>
      <c r="K24" s="30">
        <v>45373</v>
      </c>
      <c r="L24">
        <v>3041000</v>
      </c>
      <c r="M24" t="s">
        <v>138</v>
      </c>
      <c r="N24">
        <v>46</v>
      </c>
      <c r="O24" t="s">
        <v>163</v>
      </c>
      <c r="P24" t="s">
        <v>420</v>
      </c>
      <c r="Q24">
        <f t="shared" si="0"/>
        <v>723</v>
      </c>
    </row>
    <row r="25" spans="1:17" x14ac:dyDescent="0.25">
      <c r="A25">
        <v>1159</v>
      </c>
      <c r="B25" t="s">
        <v>60</v>
      </c>
      <c r="C25" t="s">
        <v>61</v>
      </c>
      <c r="D25" s="34">
        <v>1200</v>
      </c>
      <c r="E25">
        <v>1246135385</v>
      </c>
      <c r="F25" s="30">
        <v>45388</v>
      </c>
      <c r="H25" t="s">
        <v>28</v>
      </c>
      <c r="I25" t="s">
        <v>29</v>
      </c>
      <c r="J25">
        <v>1246135385</v>
      </c>
      <c r="K25" s="30">
        <v>45373</v>
      </c>
      <c r="L25">
        <v>3041000</v>
      </c>
      <c r="M25" t="s">
        <v>138</v>
      </c>
      <c r="N25">
        <v>46</v>
      </c>
      <c r="O25" t="s">
        <v>163</v>
      </c>
      <c r="P25" t="s">
        <v>420</v>
      </c>
      <c r="Q25">
        <f t="shared" si="0"/>
        <v>723</v>
      </c>
    </row>
    <row r="26" spans="1:17" x14ac:dyDescent="0.25">
      <c r="A26">
        <v>1159</v>
      </c>
      <c r="B26" t="s">
        <v>60</v>
      </c>
      <c r="C26" t="s">
        <v>61</v>
      </c>
      <c r="D26" s="34">
        <v>3600</v>
      </c>
      <c r="E26">
        <v>1246135391</v>
      </c>
      <c r="F26" s="30">
        <v>45388</v>
      </c>
      <c r="H26" t="s">
        <v>28</v>
      </c>
      <c r="I26" t="s">
        <v>29</v>
      </c>
      <c r="J26">
        <v>1246135391</v>
      </c>
      <c r="K26" s="30">
        <v>45373</v>
      </c>
      <c r="L26">
        <v>3041000</v>
      </c>
      <c r="M26" t="s">
        <v>138</v>
      </c>
      <c r="N26">
        <v>46</v>
      </c>
      <c r="O26" t="s">
        <v>163</v>
      </c>
      <c r="P26" t="s">
        <v>420</v>
      </c>
      <c r="Q26">
        <f t="shared" si="0"/>
        <v>723</v>
      </c>
    </row>
    <row r="27" spans="1:17" x14ac:dyDescent="0.25">
      <c r="A27">
        <v>1159</v>
      </c>
      <c r="B27" t="s">
        <v>60</v>
      </c>
      <c r="C27" t="s">
        <v>61</v>
      </c>
      <c r="D27" s="34">
        <v>2400</v>
      </c>
      <c r="E27">
        <v>1246135382</v>
      </c>
      <c r="F27" s="30">
        <v>45388</v>
      </c>
      <c r="H27" t="s">
        <v>28</v>
      </c>
      <c r="I27" t="s">
        <v>29</v>
      </c>
      <c r="J27">
        <v>1246135382</v>
      </c>
      <c r="K27" s="30">
        <v>45373</v>
      </c>
      <c r="L27">
        <v>3041000</v>
      </c>
      <c r="M27" t="s">
        <v>138</v>
      </c>
      <c r="N27">
        <v>46</v>
      </c>
      <c r="O27" t="s">
        <v>163</v>
      </c>
      <c r="P27" t="s">
        <v>420</v>
      </c>
      <c r="Q27">
        <f t="shared" si="0"/>
        <v>723</v>
      </c>
    </row>
    <row r="28" spans="1:17" x14ac:dyDescent="0.25">
      <c r="A28">
        <v>1159</v>
      </c>
      <c r="B28" t="s">
        <v>60</v>
      </c>
      <c r="C28" t="s">
        <v>61</v>
      </c>
      <c r="D28" s="34">
        <v>3600</v>
      </c>
      <c r="E28">
        <v>1246173258</v>
      </c>
      <c r="F28" s="30">
        <v>45575</v>
      </c>
      <c r="H28" t="s">
        <v>28</v>
      </c>
      <c r="I28" t="s">
        <v>29</v>
      </c>
      <c r="J28">
        <v>1246173258</v>
      </c>
      <c r="K28" s="30">
        <v>45560</v>
      </c>
      <c r="L28">
        <v>3041000</v>
      </c>
      <c r="M28" t="s">
        <v>138</v>
      </c>
      <c r="N28">
        <v>46</v>
      </c>
      <c r="O28" t="s">
        <v>163</v>
      </c>
      <c r="P28" t="s">
        <v>420</v>
      </c>
      <c r="Q28">
        <f t="shared" si="0"/>
        <v>536</v>
      </c>
    </row>
    <row r="29" spans="1:17" x14ac:dyDescent="0.25">
      <c r="A29">
        <v>1159</v>
      </c>
      <c r="B29" t="s">
        <v>60</v>
      </c>
      <c r="C29" t="s">
        <v>61</v>
      </c>
      <c r="D29" s="34">
        <v>1200</v>
      </c>
      <c r="E29">
        <v>1246173256</v>
      </c>
      <c r="F29" s="30">
        <v>45575</v>
      </c>
      <c r="H29" t="s">
        <v>28</v>
      </c>
      <c r="I29" t="s">
        <v>29</v>
      </c>
      <c r="J29">
        <v>1246173256</v>
      </c>
      <c r="K29" s="30">
        <v>45560</v>
      </c>
      <c r="L29">
        <v>3041000</v>
      </c>
      <c r="M29" t="s">
        <v>138</v>
      </c>
      <c r="N29">
        <v>46</v>
      </c>
      <c r="O29" t="s">
        <v>163</v>
      </c>
      <c r="P29" t="s">
        <v>420</v>
      </c>
      <c r="Q29">
        <f t="shared" si="0"/>
        <v>536</v>
      </c>
    </row>
    <row r="30" spans="1:17" x14ac:dyDescent="0.25">
      <c r="A30">
        <v>1159</v>
      </c>
      <c r="B30" t="s">
        <v>60</v>
      </c>
      <c r="C30" t="s">
        <v>61</v>
      </c>
      <c r="D30" s="34">
        <v>2400</v>
      </c>
      <c r="E30">
        <v>1246173253</v>
      </c>
      <c r="F30" s="30">
        <v>45575</v>
      </c>
      <c r="H30" t="s">
        <v>28</v>
      </c>
      <c r="I30" t="s">
        <v>29</v>
      </c>
      <c r="J30">
        <v>1246173253</v>
      </c>
      <c r="K30" s="30">
        <v>45560</v>
      </c>
      <c r="L30">
        <v>3041000</v>
      </c>
      <c r="M30" t="s">
        <v>138</v>
      </c>
      <c r="N30">
        <v>46</v>
      </c>
      <c r="O30" t="s">
        <v>163</v>
      </c>
      <c r="P30" t="s">
        <v>420</v>
      </c>
      <c r="Q30">
        <f t="shared" si="0"/>
        <v>536</v>
      </c>
    </row>
    <row r="31" spans="1:17" x14ac:dyDescent="0.25">
      <c r="A31">
        <v>1159</v>
      </c>
      <c r="B31" t="s">
        <v>60</v>
      </c>
      <c r="C31" t="s">
        <v>61</v>
      </c>
      <c r="D31" s="34">
        <v>1200</v>
      </c>
      <c r="E31">
        <v>1246173257</v>
      </c>
      <c r="F31" s="30">
        <v>45575</v>
      </c>
      <c r="H31" t="s">
        <v>28</v>
      </c>
      <c r="I31" t="s">
        <v>29</v>
      </c>
      <c r="J31">
        <v>1246173257</v>
      </c>
      <c r="K31" s="30">
        <v>45560</v>
      </c>
      <c r="L31">
        <v>3041000</v>
      </c>
      <c r="M31" t="s">
        <v>138</v>
      </c>
      <c r="N31">
        <v>46</v>
      </c>
      <c r="O31" t="s">
        <v>163</v>
      </c>
      <c r="P31" t="s">
        <v>420</v>
      </c>
      <c r="Q31">
        <f t="shared" si="0"/>
        <v>536</v>
      </c>
    </row>
    <row r="32" spans="1:17" x14ac:dyDescent="0.25">
      <c r="A32">
        <v>452</v>
      </c>
      <c r="B32" t="s">
        <v>47</v>
      </c>
      <c r="C32" t="s">
        <v>48</v>
      </c>
      <c r="D32" s="34">
        <v>1800</v>
      </c>
      <c r="E32">
        <v>1246055195</v>
      </c>
      <c r="F32" s="30">
        <v>44902</v>
      </c>
      <c r="H32" t="s">
        <v>28</v>
      </c>
      <c r="I32" t="s">
        <v>29</v>
      </c>
      <c r="J32">
        <v>1246055195</v>
      </c>
      <c r="K32" s="30">
        <v>44887</v>
      </c>
      <c r="L32">
        <v>3041000</v>
      </c>
      <c r="M32" t="s">
        <v>138</v>
      </c>
      <c r="N32">
        <v>46</v>
      </c>
      <c r="O32" t="s">
        <v>163</v>
      </c>
      <c r="P32" t="s">
        <v>578</v>
      </c>
      <c r="Q32">
        <f t="shared" si="0"/>
        <v>1209</v>
      </c>
    </row>
    <row r="33" spans="1:17" x14ac:dyDescent="0.25">
      <c r="A33">
        <v>2559</v>
      </c>
      <c r="B33" t="s">
        <v>533</v>
      </c>
      <c r="C33" t="s">
        <v>79</v>
      </c>
      <c r="D33" s="34">
        <v>1200</v>
      </c>
      <c r="E33">
        <v>1246203587</v>
      </c>
      <c r="F33" s="30">
        <v>45750</v>
      </c>
      <c r="H33" t="s">
        <v>28</v>
      </c>
      <c r="I33" t="s">
        <v>29</v>
      </c>
      <c r="J33">
        <v>1246203587</v>
      </c>
      <c r="K33" s="30">
        <v>45735</v>
      </c>
      <c r="L33">
        <v>3041000</v>
      </c>
      <c r="M33" t="s">
        <v>138</v>
      </c>
      <c r="N33">
        <v>46</v>
      </c>
      <c r="O33" t="s">
        <v>163</v>
      </c>
      <c r="P33" t="s">
        <v>500</v>
      </c>
      <c r="Q33">
        <f t="shared" si="0"/>
        <v>361</v>
      </c>
    </row>
    <row r="34" spans="1:17" x14ac:dyDescent="0.25">
      <c r="A34">
        <v>2559</v>
      </c>
      <c r="B34" t="s">
        <v>533</v>
      </c>
      <c r="C34" t="s">
        <v>79</v>
      </c>
      <c r="D34" s="34">
        <v>7200</v>
      </c>
      <c r="E34">
        <v>1246203586</v>
      </c>
      <c r="F34" s="30">
        <v>45750</v>
      </c>
      <c r="H34" t="s">
        <v>28</v>
      </c>
      <c r="I34" t="s">
        <v>29</v>
      </c>
      <c r="J34">
        <v>1246203586</v>
      </c>
      <c r="K34" s="30">
        <v>45735</v>
      </c>
      <c r="L34">
        <v>3041000</v>
      </c>
      <c r="M34" t="s">
        <v>138</v>
      </c>
      <c r="N34">
        <v>46</v>
      </c>
      <c r="O34" t="s">
        <v>163</v>
      </c>
      <c r="P34" t="s">
        <v>500</v>
      </c>
      <c r="Q34">
        <f t="shared" si="0"/>
        <v>361</v>
      </c>
    </row>
    <row r="35" spans="1:17" x14ac:dyDescent="0.25">
      <c r="A35">
        <v>2559</v>
      </c>
      <c r="B35" t="s">
        <v>533</v>
      </c>
      <c r="C35" t="s">
        <v>79</v>
      </c>
      <c r="D35" s="34">
        <v>1200</v>
      </c>
      <c r="E35">
        <v>1246203585</v>
      </c>
      <c r="F35" s="30">
        <v>45750</v>
      </c>
      <c r="H35" t="s">
        <v>28</v>
      </c>
      <c r="I35" t="s">
        <v>29</v>
      </c>
      <c r="J35">
        <v>1246203585</v>
      </c>
      <c r="K35" s="30">
        <v>45735</v>
      </c>
      <c r="L35">
        <v>3041000</v>
      </c>
      <c r="M35" t="s">
        <v>138</v>
      </c>
      <c r="N35">
        <v>46</v>
      </c>
      <c r="O35" t="s">
        <v>163</v>
      </c>
      <c r="P35" t="s">
        <v>500</v>
      </c>
      <c r="Q35">
        <f t="shared" si="0"/>
        <v>361</v>
      </c>
    </row>
    <row r="36" spans="1:17" x14ac:dyDescent="0.25">
      <c r="A36">
        <v>2559</v>
      </c>
      <c r="B36" t="s">
        <v>533</v>
      </c>
      <c r="C36" t="s">
        <v>79</v>
      </c>
      <c r="D36" s="34">
        <v>6000</v>
      </c>
      <c r="E36">
        <v>1246244748</v>
      </c>
      <c r="F36" s="30">
        <v>45968</v>
      </c>
      <c r="H36" t="s">
        <v>28</v>
      </c>
      <c r="I36" t="s">
        <v>29</v>
      </c>
      <c r="J36">
        <v>1246244748</v>
      </c>
      <c r="K36" s="30">
        <v>45953</v>
      </c>
      <c r="L36">
        <v>3041000</v>
      </c>
      <c r="M36" t="s">
        <v>138</v>
      </c>
      <c r="N36">
        <v>46</v>
      </c>
      <c r="O36" t="s">
        <v>163</v>
      </c>
      <c r="P36" t="s">
        <v>500</v>
      </c>
      <c r="Q36">
        <f t="shared" si="0"/>
        <v>143</v>
      </c>
    </row>
    <row r="37" spans="1:17" x14ac:dyDescent="0.25">
      <c r="A37">
        <v>7102</v>
      </c>
      <c r="B37" t="s">
        <v>801</v>
      </c>
      <c r="C37" t="s">
        <v>567</v>
      </c>
      <c r="D37" s="34">
        <v>4800</v>
      </c>
      <c r="E37">
        <v>1246247639</v>
      </c>
      <c r="F37" s="30">
        <v>45982</v>
      </c>
      <c r="H37" t="s">
        <v>28</v>
      </c>
      <c r="I37" t="s">
        <v>29</v>
      </c>
      <c r="J37">
        <v>1246247639</v>
      </c>
      <c r="K37" s="30">
        <v>45967</v>
      </c>
      <c r="L37">
        <v>3041000</v>
      </c>
      <c r="M37" t="s">
        <v>138</v>
      </c>
      <c r="N37">
        <v>46</v>
      </c>
      <c r="O37" t="s">
        <v>163</v>
      </c>
      <c r="P37" t="s">
        <v>500</v>
      </c>
      <c r="Q37">
        <f>$Q$1-F37</f>
        <v>129</v>
      </c>
    </row>
    <row r="38" spans="1:17" x14ac:dyDescent="0.25">
      <c r="A38">
        <v>6477</v>
      </c>
      <c r="B38" t="s">
        <v>98</v>
      </c>
      <c r="C38" t="s">
        <v>99</v>
      </c>
      <c r="D38" s="34">
        <v>5400</v>
      </c>
      <c r="E38">
        <v>1246054441</v>
      </c>
      <c r="F38" s="30">
        <v>44897</v>
      </c>
      <c r="H38" t="s">
        <v>28</v>
      </c>
      <c r="I38" t="s">
        <v>29</v>
      </c>
      <c r="J38">
        <v>1246054441</v>
      </c>
      <c r="K38" s="30">
        <v>44882</v>
      </c>
      <c r="L38">
        <v>3041000</v>
      </c>
      <c r="M38" t="s">
        <v>138</v>
      </c>
      <c r="N38">
        <v>46</v>
      </c>
      <c r="O38" t="s">
        <v>163</v>
      </c>
      <c r="P38" t="s">
        <v>500</v>
      </c>
      <c r="Q38">
        <f t="shared" si="0"/>
        <v>1214</v>
      </c>
    </row>
    <row r="39" spans="1:17" x14ac:dyDescent="0.25">
      <c r="A39">
        <v>7097</v>
      </c>
      <c r="B39" t="s">
        <v>102</v>
      </c>
      <c r="C39" t="s">
        <v>103</v>
      </c>
      <c r="D39" s="34">
        <v>11300</v>
      </c>
      <c r="E39">
        <v>1246058687</v>
      </c>
      <c r="F39" s="30">
        <v>44925</v>
      </c>
      <c r="H39" t="s">
        <v>28</v>
      </c>
      <c r="I39" t="s">
        <v>29</v>
      </c>
      <c r="J39">
        <v>1246058687</v>
      </c>
      <c r="K39" s="30">
        <v>44910</v>
      </c>
      <c r="L39">
        <v>3041000</v>
      </c>
      <c r="M39" t="s">
        <v>138</v>
      </c>
      <c r="N39">
        <v>46</v>
      </c>
      <c r="O39" t="s">
        <v>163</v>
      </c>
      <c r="P39" t="s">
        <v>500</v>
      </c>
      <c r="Q39">
        <f t="shared" si="0"/>
        <v>1186</v>
      </c>
    </row>
    <row r="40" spans="1:17" x14ac:dyDescent="0.25">
      <c r="A40">
        <v>7097</v>
      </c>
      <c r="B40" t="s">
        <v>102</v>
      </c>
      <c r="C40" t="s">
        <v>103</v>
      </c>
      <c r="D40" s="34">
        <v>10183.120000000001</v>
      </c>
      <c r="E40">
        <v>1246057240</v>
      </c>
      <c r="F40" s="30">
        <v>44922</v>
      </c>
      <c r="H40" t="s">
        <v>28</v>
      </c>
      <c r="I40" t="s">
        <v>29</v>
      </c>
      <c r="J40">
        <v>71222</v>
      </c>
      <c r="K40" s="30">
        <v>44902</v>
      </c>
      <c r="L40">
        <v>3041000</v>
      </c>
      <c r="M40" t="s">
        <v>138</v>
      </c>
      <c r="N40">
        <v>46</v>
      </c>
      <c r="O40" t="s">
        <v>163</v>
      </c>
      <c r="P40" t="s">
        <v>500</v>
      </c>
      <c r="Q40">
        <f t="shared" si="0"/>
        <v>1189</v>
      </c>
    </row>
    <row r="41" spans="1:17" x14ac:dyDescent="0.25">
      <c r="A41">
        <v>7443</v>
      </c>
      <c r="B41" t="s">
        <v>828</v>
      </c>
      <c r="C41" t="s">
        <v>253</v>
      </c>
      <c r="D41" s="34">
        <v>1200</v>
      </c>
      <c r="E41">
        <v>1246156403</v>
      </c>
      <c r="F41" s="30">
        <v>45496</v>
      </c>
      <c r="H41" t="s">
        <v>28</v>
      </c>
      <c r="I41" t="s">
        <v>29</v>
      </c>
      <c r="J41">
        <v>1246156403</v>
      </c>
      <c r="K41" s="30">
        <v>45481</v>
      </c>
      <c r="L41">
        <v>3041000</v>
      </c>
      <c r="M41" t="s">
        <v>138</v>
      </c>
      <c r="N41">
        <v>46</v>
      </c>
      <c r="O41" t="s">
        <v>163</v>
      </c>
      <c r="P41" t="s">
        <v>500</v>
      </c>
      <c r="Q41">
        <f t="shared" si="0"/>
        <v>615</v>
      </c>
    </row>
    <row r="42" spans="1:17" x14ac:dyDescent="0.25">
      <c r="A42">
        <v>7443</v>
      </c>
      <c r="B42" t="s">
        <v>828</v>
      </c>
      <c r="C42" t="s">
        <v>253</v>
      </c>
      <c r="D42" s="34">
        <v>1200</v>
      </c>
      <c r="E42">
        <v>1246156396</v>
      </c>
      <c r="F42" s="30">
        <v>45496</v>
      </c>
      <c r="H42" t="s">
        <v>28</v>
      </c>
      <c r="I42" t="s">
        <v>29</v>
      </c>
      <c r="J42">
        <v>1246156396</v>
      </c>
      <c r="K42" s="30">
        <v>45481</v>
      </c>
      <c r="L42">
        <v>3041000</v>
      </c>
      <c r="M42" t="s">
        <v>138</v>
      </c>
      <c r="N42">
        <v>46</v>
      </c>
      <c r="O42" t="s">
        <v>163</v>
      </c>
      <c r="P42" t="s">
        <v>500</v>
      </c>
      <c r="Q42">
        <f t="shared" si="0"/>
        <v>615</v>
      </c>
    </row>
    <row r="43" spans="1:17" x14ac:dyDescent="0.25">
      <c r="A43">
        <v>7302</v>
      </c>
      <c r="B43" t="s">
        <v>104</v>
      </c>
      <c r="C43" t="s">
        <v>105</v>
      </c>
      <c r="D43" s="34">
        <v>1800</v>
      </c>
      <c r="E43">
        <v>1246045752</v>
      </c>
      <c r="F43" s="30">
        <v>44848</v>
      </c>
      <c r="H43" t="s">
        <v>28</v>
      </c>
      <c r="I43" t="s">
        <v>29</v>
      </c>
      <c r="J43">
        <v>290922</v>
      </c>
      <c r="K43" s="30">
        <v>44833</v>
      </c>
      <c r="L43">
        <v>3041000</v>
      </c>
      <c r="M43" t="s">
        <v>138</v>
      </c>
      <c r="N43">
        <v>46</v>
      </c>
      <c r="O43" t="s">
        <v>163</v>
      </c>
      <c r="P43" t="s">
        <v>500</v>
      </c>
      <c r="Q43">
        <f t="shared" si="0"/>
        <v>1263</v>
      </c>
    </row>
    <row r="44" spans="1:17" x14ac:dyDescent="0.25">
      <c r="A44">
        <v>7302</v>
      </c>
      <c r="B44" t="s">
        <v>104</v>
      </c>
      <c r="C44" t="s">
        <v>105</v>
      </c>
      <c r="D44" s="34">
        <v>7200</v>
      </c>
      <c r="E44">
        <v>1246033417</v>
      </c>
      <c r="F44" s="30">
        <v>44792</v>
      </c>
      <c r="H44" t="s">
        <v>28</v>
      </c>
      <c r="I44" t="s">
        <v>29</v>
      </c>
      <c r="J44">
        <v>1246033417</v>
      </c>
      <c r="K44" s="30">
        <v>44777</v>
      </c>
      <c r="L44">
        <v>3041000</v>
      </c>
      <c r="M44" t="s">
        <v>138</v>
      </c>
      <c r="N44">
        <v>46</v>
      </c>
      <c r="O44" t="s">
        <v>163</v>
      </c>
      <c r="P44" t="s">
        <v>500</v>
      </c>
      <c r="Q44">
        <f t="shared" si="0"/>
        <v>1319</v>
      </c>
    </row>
    <row r="45" spans="1:17" x14ac:dyDescent="0.25">
      <c r="A45">
        <v>7302</v>
      </c>
      <c r="B45" t="s">
        <v>104</v>
      </c>
      <c r="C45" t="s">
        <v>105</v>
      </c>
      <c r="D45" s="34">
        <v>9000</v>
      </c>
      <c r="E45">
        <v>1246054438</v>
      </c>
      <c r="F45" s="30">
        <v>44897</v>
      </c>
      <c r="H45" t="s">
        <v>28</v>
      </c>
      <c r="I45" t="s">
        <v>29</v>
      </c>
      <c r="J45">
        <v>1246054438</v>
      </c>
      <c r="K45" s="30">
        <v>44882</v>
      </c>
      <c r="L45">
        <v>3041000</v>
      </c>
      <c r="M45" t="s">
        <v>138</v>
      </c>
      <c r="N45">
        <v>46</v>
      </c>
      <c r="O45" t="s">
        <v>163</v>
      </c>
      <c r="P45" t="s">
        <v>500</v>
      </c>
      <c r="Q45">
        <f t="shared" si="0"/>
        <v>1214</v>
      </c>
    </row>
    <row r="46" spans="1:17" x14ac:dyDescent="0.25">
      <c r="A46">
        <v>7302</v>
      </c>
      <c r="B46" t="s">
        <v>104</v>
      </c>
      <c r="C46" t="s">
        <v>105</v>
      </c>
      <c r="D46" s="34">
        <v>7200</v>
      </c>
      <c r="E46">
        <v>1246057914</v>
      </c>
      <c r="F46" s="30">
        <v>44922</v>
      </c>
      <c r="H46" t="s">
        <v>28</v>
      </c>
      <c r="I46" t="s">
        <v>29</v>
      </c>
      <c r="J46">
        <v>1246057914</v>
      </c>
      <c r="K46" s="30">
        <v>44907</v>
      </c>
      <c r="L46">
        <v>3041000</v>
      </c>
      <c r="M46" t="s">
        <v>138</v>
      </c>
      <c r="N46">
        <v>46</v>
      </c>
      <c r="O46" t="s">
        <v>163</v>
      </c>
      <c r="P46" t="s">
        <v>500</v>
      </c>
      <c r="Q46">
        <f t="shared" si="0"/>
        <v>1189</v>
      </c>
    </row>
    <row r="47" spans="1:17" x14ac:dyDescent="0.25">
      <c r="A47">
        <v>6415</v>
      </c>
      <c r="B47" t="s">
        <v>139</v>
      </c>
      <c r="C47" t="s">
        <v>140</v>
      </c>
      <c r="D47" s="34">
        <v>3600</v>
      </c>
      <c r="E47">
        <v>1245985693</v>
      </c>
      <c r="F47" s="30">
        <v>44692</v>
      </c>
      <c r="H47" t="s">
        <v>28</v>
      </c>
      <c r="I47" t="s">
        <v>29</v>
      </c>
      <c r="J47">
        <v>1245985693</v>
      </c>
      <c r="K47" s="30">
        <v>44531</v>
      </c>
      <c r="L47">
        <v>3041000</v>
      </c>
      <c r="M47" t="s">
        <v>138</v>
      </c>
      <c r="N47">
        <v>46</v>
      </c>
      <c r="O47" t="s">
        <v>163</v>
      </c>
      <c r="P47" t="s">
        <v>500</v>
      </c>
      <c r="Q47">
        <f t="shared" si="0"/>
        <v>1419</v>
      </c>
    </row>
    <row r="48" spans="1:17" x14ac:dyDescent="0.25">
      <c r="A48">
        <v>10434</v>
      </c>
      <c r="B48" t="s">
        <v>110</v>
      </c>
      <c r="C48" t="s">
        <v>111</v>
      </c>
      <c r="D48" s="34">
        <v>1200</v>
      </c>
      <c r="E48">
        <v>1246180341</v>
      </c>
      <c r="F48" s="30">
        <v>45615</v>
      </c>
      <c r="H48" t="s">
        <v>28</v>
      </c>
      <c r="I48" t="s">
        <v>29</v>
      </c>
      <c r="J48">
        <v>1246180341</v>
      </c>
      <c r="K48" s="30">
        <v>45600</v>
      </c>
      <c r="L48">
        <v>3041000</v>
      </c>
      <c r="M48" t="s">
        <v>138</v>
      </c>
      <c r="N48">
        <v>46</v>
      </c>
      <c r="O48" t="s">
        <v>163</v>
      </c>
      <c r="P48" t="s">
        <v>416</v>
      </c>
      <c r="Q48">
        <f t="shared" si="0"/>
        <v>496</v>
      </c>
    </row>
    <row r="49" spans="1:17" x14ac:dyDescent="0.25">
      <c r="A49">
        <v>7022</v>
      </c>
      <c r="B49" t="s">
        <v>793</v>
      </c>
      <c r="C49" t="s">
        <v>101</v>
      </c>
      <c r="D49" s="34">
        <v>1800</v>
      </c>
      <c r="E49">
        <v>1246054442</v>
      </c>
      <c r="F49" s="30">
        <v>44897</v>
      </c>
      <c r="H49" t="s">
        <v>28</v>
      </c>
      <c r="I49" t="s">
        <v>29</v>
      </c>
      <c r="J49">
        <v>1246054442</v>
      </c>
      <c r="K49" s="30">
        <v>44882</v>
      </c>
      <c r="L49">
        <v>3041000</v>
      </c>
      <c r="M49" t="s">
        <v>138</v>
      </c>
      <c r="N49">
        <v>46</v>
      </c>
      <c r="O49" t="s">
        <v>163</v>
      </c>
      <c r="P49" t="s">
        <v>793</v>
      </c>
      <c r="Q49">
        <f t="shared" si="0"/>
        <v>1214</v>
      </c>
    </row>
    <row r="50" spans="1:17" x14ac:dyDescent="0.25">
      <c r="D50" s="34"/>
      <c r="F50" s="30"/>
      <c r="K50" s="30"/>
    </row>
    <row r="51" spans="1:17" x14ac:dyDescent="0.25">
      <c r="A51" s="227"/>
      <c r="B51" s="227"/>
      <c r="C51" s="227"/>
      <c r="D51" s="395"/>
      <c r="E51" s="227"/>
      <c r="F51" s="396"/>
      <c r="G51" s="227"/>
      <c r="H51" s="227"/>
      <c r="I51" s="227"/>
      <c r="J51" s="227"/>
      <c r="K51" s="396"/>
      <c r="L51" s="227"/>
      <c r="M51" s="227"/>
      <c r="N51" s="227"/>
      <c r="O51" s="227"/>
      <c r="P51" s="227"/>
    </row>
    <row r="52" spans="1:17" x14ac:dyDescent="0.25">
      <c r="D52" s="34"/>
      <c r="F52" s="30"/>
      <c r="K52" s="30"/>
    </row>
    <row r="53" spans="1:17" x14ac:dyDescent="0.25">
      <c r="D53" s="34"/>
      <c r="F53" s="30"/>
      <c r="K53" s="30"/>
    </row>
  </sheetData>
  <autoFilter ref="A2:Q2" xr:uid="{94AC235F-CE9F-483F-87A4-731E61A01D1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41"/>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C17" sqref="C17"/>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6640625" bestFit="1" customWidth="1"/>
    <col min="18" max="18" width="11.6640625" bestFit="1" customWidth="1"/>
  </cols>
  <sheetData>
    <row r="1" spans="1:18" x14ac:dyDescent="0.25">
      <c r="D1" s="1">
        <f>SUBTOTAL(9,D3:D1097)</f>
        <v>61380633.060000025</v>
      </c>
      <c r="E1" s="1">
        <f>'Data Additive'!D1+'Data Fertilizers'!D1+'Data International'!D1</f>
        <v>61223249.939999983</v>
      </c>
      <c r="F1" s="35">
        <f>'Data Additive'!D1+'Data Fertilizers'!D1+'Data International'!D1+'freight debit notes'!D1</f>
        <v>61380633.05999998</v>
      </c>
      <c r="G1" s="25">
        <f>D1-F1</f>
        <v>0</v>
      </c>
      <c r="H1" s="25"/>
      <c r="R1" s="3">
        <v>46111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ht="12.6" customHeight="1" x14ac:dyDescent="0.25">
      <c r="A3">
        <v>205</v>
      </c>
      <c r="B3" t="s">
        <v>43</v>
      </c>
      <c r="C3" t="s">
        <v>548</v>
      </c>
      <c r="D3" s="34">
        <v>37800</v>
      </c>
      <c r="E3">
        <v>1246267728</v>
      </c>
      <c r="F3" s="30">
        <v>46122</v>
      </c>
      <c r="G3" s="30"/>
      <c r="H3" t="s">
        <v>28</v>
      </c>
      <c r="I3" t="s">
        <v>29</v>
      </c>
      <c r="J3">
        <v>10881</v>
      </c>
      <c r="K3" s="30">
        <v>46094</v>
      </c>
      <c r="L3">
        <v>1010100</v>
      </c>
      <c r="M3" t="s">
        <v>35</v>
      </c>
      <c r="N3">
        <v>161</v>
      </c>
      <c r="O3" t="s">
        <v>161</v>
      </c>
      <c r="P3" t="s">
        <v>576</v>
      </c>
      <c r="Q3">
        <f>$R$1-F3</f>
        <v>-11</v>
      </c>
      <c r="R3">
        <f>_xlfn.XLOOKUP(E3,'Data Additive'!E:E,'Data Additive'!E:E,0)</f>
        <v>1246267728</v>
      </c>
    </row>
    <row r="4" spans="1:18" x14ac:dyDescent="0.25">
      <c r="A4">
        <v>205</v>
      </c>
      <c r="B4" t="s">
        <v>43</v>
      </c>
      <c r="C4" t="s">
        <v>548</v>
      </c>
      <c r="D4" s="34">
        <v>37638</v>
      </c>
      <c r="E4">
        <v>1246267750</v>
      </c>
      <c r="F4" s="30">
        <v>46122</v>
      </c>
      <c r="G4" s="30"/>
      <c r="H4" t="s">
        <v>28</v>
      </c>
      <c r="I4" t="s">
        <v>29</v>
      </c>
      <c r="J4">
        <v>10883</v>
      </c>
      <c r="K4" s="30">
        <v>46094</v>
      </c>
      <c r="L4">
        <v>1010100</v>
      </c>
      <c r="M4" t="s">
        <v>35</v>
      </c>
      <c r="N4">
        <v>161</v>
      </c>
      <c r="O4" t="s">
        <v>161</v>
      </c>
      <c r="P4" t="s">
        <v>576</v>
      </c>
      <c r="Q4">
        <f t="shared" ref="Q4:Q59" si="0">$R$1-F4</f>
        <v>-11</v>
      </c>
      <c r="R4">
        <f>_xlfn.XLOOKUP(E4,'Data Additive'!E:E,'Data Additive'!E:E,0)</f>
        <v>1246267750</v>
      </c>
    </row>
    <row r="5" spans="1:18" x14ac:dyDescent="0.25">
      <c r="A5">
        <v>205</v>
      </c>
      <c r="B5" t="s">
        <v>43</v>
      </c>
      <c r="C5" t="s">
        <v>548</v>
      </c>
      <c r="D5" s="34">
        <v>76330.8</v>
      </c>
      <c r="E5">
        <v>1246267832</v>
      </c>
      <c r="F5" s="30">
        <v>46125</v>
      </c>
      <c r="G5" s="30"/>
      <c r="H5" t="s">
        <v>28</v>
      </c>
      <c r="I5" t="s">
        <v>29</v>
      </c>
      <c r="J5">
        <v>10892</v>
      </c>
      <c r="K5" s="30">
        <v>46097</v>
      </c>
      <c r="L5">
        <v>1010100</v>
      </c>
      <c r="M5" t="s">
        <v>35</v>
      </c>
      <c r="N5">
        <v>161</v>
      </c>
      <c r="O5" t="s">
        <v>161</v>
      </c>
      <c r="P5" t="s">
        <v>576</v>
      </c>
      <c r="Q5">
        <f t="shared" si="0"/>
        <v>-14</v>
      </c>
      <c r="R5">
        <f>_xlfn.XLOOKUP(E5,'Data Additive'!E:E,'Data Additive'!E:E,0)</f>
        <v>1246267832</v>
      </c>
    </row>
    <row r="6" spans="1:18" x14ac:dyDescent="0.25">
      <c r="A6">
        <v>205</v>
      </c>
      <c r="B6" t="s">
        <v>43</v>
      </c>
      <c r="C6" t="s">
        <v>548</v>
      </c>
      <c r="D6" s="34">
        <v>75196.800000000003</v>
      </c>
      <c r="E6">
        <v>1246268731</v>
      </c>
      <c r="F6" s="30">
        <v>46133</v>
      </c>
      <c r="G6" s="30"/>
      <c r="H6" t="s">
        <v>28</v>
      </c>
      <c r="I6" t="s">
        <v>29</v>
      </c>
      <c r="J6">
        <v>10962</v>
      </c>
      <c r="K6" s="30">
        <v>46105</v>
      </c>
      <c r="L6">
        <v>1010100</v>
      </c>
      <c r="M6" t="s">
        <v>35</v>
      </c>
      <c r="N6">
        <v>161</v>
      </c>
      <c r="O6" t="s">
        <v>161</v>
      </c>
      <c r="P6" t="s">
        <v>576</v>
      </c>
      <c r="Q6">
        <f t="shared" si="0"/>
        <v>-22</v>
      </c>
      <c r="R6">
        <f>_xlfn.XLOOKUP(E6,'Data Additive'!E:E,'Data Additive'!E:E,0)</f>
        <v>1246268731</v>
      </c>
    </row>
    <row r="7" spans="1:18" x14ac:dyDescent="0.25">
      <c r="A7">
        <v>205</v>
      </c>
      <c r="B7" t="s">
        <v>43</v>
      </c>
      <c r="C7" t="s">
        <v>548</v>
      </c>
      <c r="D7" s="34">
        <v>75952.800000000003</v>
      </c>
      <c r="E7">
        <v>1246269330</v>
      </c>
      <c r="F7" s="30">
        <v>46135</v>
      </c>
      <c r="G7" s="30"/>
      <c r="H7" t="s">
        <v>28</v>
      </c>
      <c r="I7" t="s">
        <v>29</v>
      </c>
      <c r="J7">
        <v>10983</v>
      </c>
      <c r="K7" s="30">
        <v>46107</v>
      </c>
      <c r="L7">
        <v>1010100</v>
      </c>
      <c r="M7" t="s">
        <v>35</v>
      </c>
      <c r="N7">
        <v>161</v>
      </c>
      <c r="O7" t="s">
        <v>161</v>
      </c>
      <c r="P7" t="s">
        <v>576</v>
      </c>
      <c r="Q7">
        <f t="shared" si="0"/>
        <v>-24</v>
      </c>
      <c r="R7">
        <f>_xlfn.XLOOKUP(E7,'Data Additive'!E:E,'Data Additive'!E:E,0)</f>
        <v>1246269330</v>
      </c>
    </row>
    <row r="8" spans="1:18" x14ac:dyDescent="0.25">
      <c r="A8">
        <v>205</v>
      </c>
      <c r="B8" t="s">
        <v>43</v>
      </c>
      <c r="C8" t="s">
        <v>548</v>
      </c>
      <c r="D8" s="34">
        <v>80816.399999999994</v>
      </c>
      <c r="E8">
        <v>1246267018</v>
      </c>
      <c r="F8" s="30">
        <v>46118</v>
      </c>
      <c r="G8" s="30"/>
      <c r="H8" t="s">
        <v>28</v>
      </c>
      <c r="I8" t="s">
        <v>29</v>
      </c>
      <c r="J8">
        <v>10845</v>
      </c>
      <c r="K8" s="30">
        <v>46090</v>
      </c>
      <c r="L8">
        <v>1010100</v>
      </c>
      <c r="M8" t="s">
        <v>35</v>
      </c>
      <c r="N8">
        <v>161</v>
      </c>
      <c r="O8" t="s">
        <v>161</v>
      </c>
      <c r="P8" t="s">
        <v>576</v>
      </c>
      <c r="Q8">
        <f t="shared" si="0"/>
        <v>-7</v>
      </c>
      <c r="R8">
        <f>_xlfn.XLOOKUP(E8,'Data Additive'!E:E,'Data Additive'!E:E,0)</f>
        <v>1246267018</v>
      </c>
    </row>
    <row r="9" spans="1:18" x14ac:dyDescent="0.25">
      <c r="A9">
        <v>205</v>
      </c>
      <c r="B9" t="s">
        <v>43</v>
      </c>
      <c r="C9" t="s">
        <v>548</v>
      </c>
      <c r="D9" s="34">
        <v>75474</v>
      </c>
      <c r="E9">
        <v>1246269597</v>
      </c>
      <c r="F9" s="30">
        <v>46139</v>
      </c>
      <c r="G9" s="30"/>
      <c r="H9" t="s">
        <v>28</v>
      </c>
      <c r="I9" t="s">
        <v>29</v>
      </c>
      <c r="J9">
        <v>11003</v>
      </c>
      <c r="K9" s="30">
        <v>46111</v>
      </c>
      <c r="L9">
        <v>1010100</v>
      </c>
      <c r="M9" t="s">
        <v>35</v>
      </c>
      <c r="N9">
        <v>161</v>
      </c>
      <c r="O9" t="s">
        <v>161</v>
      </c>
      <c r="P9" t="s">
        <v>576</v>
      </c>
      <c r="Q9">
        <f t="shared" si="0"/>
        <v>-28</v>
      </c>
      <c r="R9">
        <f>_xlfn.XLOOKUP(E9,'Data Additive'!E:E,'Data Additive'!E:E,0)</f>
        <v>1246269597</v>
      </c>
    </row>
    <row r="10" spans="1:18" x14ac:dyDescent="0.25">
      <c r="A10">
        <v>205</v>
      </c>
      <c r="B10" t="s">
        <v>43</v>
      </c>
      <c r="C10" t="s">
        <v>548</v>
      </c>
      <c r="D10" s="34">
        <v>76255.199999999997</v>
      </c>
      <c r="E10">
        <v>1246267196</v>
      </c>
      <c r="F10" s="30">
        <v>46119</v>
      </c>
      <c r="G10" s="30"/>
      <c r="H10" t="s">
        <v>28</v>
      </c>
      <c r="I10" t="s">
        <v>29</v>
      </c>
      <c r="J10">
        <v>10854</v>
      </c>
      <c r="K10" s="30">
        <v>46091</v>
      </c>
      <c r="L10">
        <v>1010100</v>
      </c>
      <c r="M10" t="s">
        <v>35</v>
      </c>
      <c r="N10">
        <v>161</v>
      </c>
      <c r="O10" t="s">
        <v>161</v>
      </c>
      <c r="P10" t="s">
        <v>576</v>
      </c>
      <c r="Q10">
        <f t="shared" si="0"/>
        <v>-8</v>
      </c>
      <c r="R10">
        <f>_xlfn.XLOOKUP(E10,'Data Additive'!E:E,'Data Additive'!E:E,0)</f>
        <v>1246267196</v>
      </c>
    </row>
    <row r="11" spans="1:18" x14ac:dyDescent="0.25">
      <c r="A11">
        <v>205</v>
      </c>
      <c r="B11" t="s">
        <v>43</v>
      </c>
      <c r="C11" t="s">
        <v>548</v>
      </c>
      <c r="D11" s="34">
        <v>76179.600000000006</v>
      </c>
      <c r="E11">
        <v>1246268622</v>
      </c>
      <c r="F11" s="30">
        <v>46132</v>
      </c>
      <c r="G11" s="30"/>
      <c r="H11" t="s">
        <v>28</v>
      </c>
      <c r="I11" t="s">
        <v>29</v>
      </c>
      <c r="J11">
        <v>10956</v>
      </c>
      <c r="K11" s="30">
        <v>46104</v>
      </c>
      <c r="L11">
        <v>1010100</v>
      </c>
      <c r="M11" t="s">
        <v>35</v>
      </c>
      <c r="N11">
        <v>161</v>
      </c>
      <c r="O11" t="s">
        <v>161</v>
      </c>
      <c r="P11" t="s">
        <v>576</v>
      </c>
      <c r="Q11">
        <f t="shared" si="0"/>
        <v>-21</v>
      </c>
      <c r="R11">
        <f>_xlfn.XLOOKUP(E11,'Data Additive'!E:E,'Data Additive'!E:E,0)</f>
        <v>1246268622</v>
      </c>
    </row>
    <row r="12" spans="1:18" x14ac:dyDescent="0.25">
      <c r="A12">
        <v>1257</v>
      </c>
      <c r="B12" t="s">
        <v>62</v>
      </c>
      <c r="C12" t="s">
        <v>63</v>
      </c>
      <c r="D12" s="34">
        <v>1980.8</v>
      </c>
      <c r="E12">
        <v>1246032946</v>
      </c>
      <c r="F12" s="30">
        <v>44774</v>
      </c>
      <c r="G12" s="30"/>
      <c r="H12" t="s">
        <v>28</v>
      </c>
      <c r="I12" t="s">
        <v>29</v>
      </c>
      <c r="J12">
        <v>17935</v>
      </c>
      <c r="K12" s="30">
        <v>44714</v>
      </c>
      <c r="L12">
        <v>1010100</v>
      </c>
      <c r="M12" t="s">
        <v>35</v>
      </c>
      <c r="N12">
        <v>56</v>
      </c>
      <c r="O12" t="s">
        <v>162</v>
      </c>
      <c r="P12" t="s">
        <v>500</v>
      </c>
      <c r="Q12">
        <f t="shared" si="0"/>
        <v>1337</v>
      </c>
      <c r="R12">
        <f>_xlfn.XLOOKUP(E12,'Data Additive'!E:E,'Data Additive'!E:E,0)</f>
        <v>1246032946</v>
      </c>
    </row>
    <row r="13" spans="1:18" x14ac:dyDescent="0.25">
      <c r="A13">
        <v>1953</v>
      </c>
      <c r="B13" t="s">
        <v>76</v>
      </c>
      <c r="C13" t="s">
        <v>884</v>
      </c>
      <c r="D13" s="34">
        <v>1200</v>
      </c>
      <c r="E13">
        <v>1246268567</v>
      </c>
      <c r="F13" s="30">
        <v>46116</v>
      </c>
      <c r="G13" s="30">
        <v>46113</v>
      </c>
      <c r="H13" t="s">
        <v>28</v>
      </c>
      <c r="I13" t="s">
        <v>29</v>
      </c>
      <c r="J13">
        <v>1246268567</v>
      </c>
      <c r="K13" s="30">
        <v>46101</v>
      </c>
      <c r="L13">
        <v>3042200</v>
      </c>
      <c r="M13" t="s">
        <v>859</v>
      </c>
      <c r="N13">
        <v>46</v>
      </c>
      <c r="O13" t="s">
        <v>163</v>
      </c>
      <c r="P13" t="s">
        <v>414</v>
      </c>
      <c r="Q13">
        <f t="shared" si="0"/>
        <v>-5</v>
      </c>
      <c r="R13">
        <f>_xlfn.XLOOKUP(E13,'Data Additive'!E:E,'Data Additive'!E:E,0)</f>
        <v>1246268567</v>
      </c>
    </row>
    <row r="14" spans="1:18" x14ac:dyDescent="0.25">
      <c r="A14">
        <v>1953</v>
      </c>
      <c r="B14" t="s">
        <v>76</v>
      </c>
      <c r="C14" t="s">
        <v>884</v>
      </c>
      <c r="D14" s="34">
        <v>58917.8</v>
      </c>
      <c r="E14">
        <v>1246267986</v>
      </c>
      <c r="F14" s="30">
        <v>46158</v>
      </c>
      <c r="G14" s="30"/>
      <c r="H14" t="s">
        <v>28</v>
      </c>
      <c r="I14" t="s">
        <v>29</v>
      </c>
      <c r="J14">
        <v>10907</v>
      </c>
      <c r="K14" s="30">
        <v>46098</v>
      </c>
      <c r="L14">
        <v>1010100</v>
      </c>
      <c r="M14" t="s">
        <v>35</v>
      </c>
      <c r="N14">
        <v>161</v>
      </c>
      <c r="O14" t="s">
        <v>161</v>
      </c>
      <c r="P14" t="s">
        <v>414</v>
      </c>
      <c r="Q14">
        <f t="shared" si="0"/>
        <v>-47</v>
      </c>
      <c r="R14">
        <f>_xlfn.XLOOKUP(E14,'Data Additive'!E:E,'Data Additive'!E:E,0)</f>
        <v>1246267986</v>
      </c>
    </row>
    <row r="15" spans="1:18" x14ac:dyDescent="0.25">
      <c r="A15">
        <v>1787</v>
      </c>
      <c r="B15" t="s">
        <v>67</v>
      </c>
      <c r="C15" t="s">
        <v>68</v>
      </c>
      <c r="D15" s="34">
        <v>3600</v>
      </c>
      <c r="E15">
        <v>1246031589</v>
      </c>
      <c r="F15" s="30">
        <v>44784</v>
      </c>
      <c r="G15" s="30"/>
      <c r="H15" t="s">
        <v>28</v>
      </c>
      <c r="I15" t="s">
        <v>29</v>
      </c>
      <c r="J15">
        <v>1246031589</v>
      </c>
      <c r="K15" s="30">
        <v>44769</v>
      </c>
      <c r="L15">
        <v>3041000</v>
      </c>
      <c r="M15" t="s">
        <v>138</v>
      </c>
      <c r="N15">
        <v>46</v>
      </c>
      <c r="O15" t="s">
        <v>163</v>
      </c>
      <c r="P15" t="s">
        <v>531</v>
      </c>
      <c r="Q15">
        <f t="shared" si="0"/>
        <v>1327</v>
      </c>
      <c r="R15">
        <f>_xlfn.XLOOKUP(E15,'Data Additive'!E:E,'Data Additive'!E:E,0)</f>
        <v>0</v>
      </c>
    </row>
    <row r="16" spans="1:18" x14ac:dyDescent="0.25">
      <c r="A16">
        <v>1787</v>
      </c>
      <c r="B16" t="s">
        <v>67</v>
      </c>
      <c r="C16" t="s">
        <v>68</v>
      </c>
      <c r="D16" s="34">
        <v>2700</v>
      </c>
      <c r="E16">
        <v>1246055596</v>
      </c>
      <c r="F16" s="30">
        <v>44889</v>
      </c>
      <c r="G16" s="30"/>
      <c r="H16" t="s">
        <v>28</v>
      </c>
      <c r="I16" t="s">
        <v>29</v>
      </c>
      <c r="J16">
        <v>1246055596</v>
      </c>
      <c r="K16" s="30">
        <v>44889</v>
      </c>
      <c r="L16">
        <v>3041000</v>
      </c>
      <c r="M16" t="s">
        <v>138</v>
      </c>
      <c r="N16">
        <v>46</v>
      </c>
      <c r="O16" t="s">
        <v>163</v>
      </c>
      <c r="P16" t="s">
        <v>531</v>
      </c>
      <c r="Q16">
        <f t="shared" si="0"/>
        <v>1222</v>
      </c>
      <c r="R16">
        <f>_xlfn.XLOOKUP(E16,'Data Additive'!E:E,'Data Additive'!E:E,0)</f>
        <v>0</v>
      </c>
    </row>
    <row r="17" spans="1:18" x14ac:dyDescent="0.25">
      <c r="A17">
        <v>1787</v>
      </c>
      <c r="B17" t="s">
        <v>67</v>
      </c>
      <c r="C17" t="s">
        <v>68</v>
      </c>
      <c r="D17" s="34">
        <v>116928</v>
      </c>
      <c r="E17">
        <v>1246267948</v>
      </c>
      <c r="F17" s="30">
        <v>46187</v>
      </c>
      <c r="G17" s="30"/>
      <c r="H17" t="s">
        <v>28</v>
      </c>
      <c r="I17" t="s">
        <v>29</v>
      </c>
      <c r="J17">
        <v>10899</v>
      </c>
      <c r="K17" s="30">
        <v>46097</v>
      </c>
      <c r="L17">
        <v>1010100</v>
      </c>
      <c r="M17" t="s">
        <v>35</v>
      </c>
      <c r="N17">
        <v>161</v>
      </c>
      <c r="O17" t="s">
        <v>161</v>
      </c>
      <c r="P17" t="s">
        <v>531</v>
      </c>
      <c r="Q17">
        <f t="shared" si="0"/>
        <v>-76</v>
      </c>
      <c r="R17">
        <f>_xlfn.XLOOKUP(E17,'Data Additive'!E:E,'Data Additive'!E:E,0)</f>
        <v>1246267948</v>
      </c>
    </row>
    <row r="18" spans="1:18" x14ac:dyDescent="0.25">
      <c r="A18">
        <v>1787</v>
      </c>
      <c r="B18" t="s">
        <v>67</v>
      </c>
      <c r="C18" t="s">
        <v>68</v>
      </c>
      <c r="D18" s="34">
        <v>115891.2</v>
      </c>
      <c r="E18">
        <v>1246262540</v>
      </c>
      <c r="F18" s="30">
        <v>46149</v>
      </c>
      <c r="G18" s="30"/>
      <c r="H18" t="s">
        <v>28</v>
      </c>
      <c r="I18" t="s">
        <v>29</v>
      </c>
      <c r="J18">
        <v>10652</v>
      </c>
      <c r="K18" s="30">
        <v>46059</v>
      </c>
      <c r="L18">
        <v>1010100</v>
      </c>
      <c r="M18" t="s">
        <v>35</v>
      </c>
      <c r="N18">
        <v>161</v>
      </c>
      <c r="O18" t="s">
        <v>161</v>
      </c>
      <c r="P18" t="s">
        <v>531</v>
      </c>
      <c r="Q18">
        <f t="shared" si="0"/>
        <v>-38</v>
      </c>
      <c r="R18">
        <f>_xlfn.XLOOKUP(E18,'Data Additive'!E:E,'Data Additive'!E:E,0)</f>
        <v>1246262540</v>
      </c>
    </row>
    <row r="19" spans="1:18" x14ac:dyDescent="0.25">
      <c r="A19">
        <v>1787</v>
      </c>
      <c r="B19" t="s">
        <v>67</v>
      </c>
      <c r="C19" t="s">
        <v>68</v>
      </c>
      <c r="D19" s="34">
        <v>103795.2</v>
      </c>
      <c r="E19">
        <v>1246268633</v>
      </c>
      <c r="F19" s="30">
        <v>46194</v>
      </c>
      <c r="G19" s="30"/>
      <c r="H19" t="s">
        <v>28</v>
      </c>
      <c r="I19" t="s">
        <v>29</v>
      </c>
      <c r="J19">
        <v>10957</v>
      </c>
      <c r="K19" s="30">
        <v>46104</v>
      </c>
      <c r="L19">
        <v>1010100</v>
      </c>
      <c r="M19" t="s">
        <v>35</v>
      </c>
      <c r="N19">
        <v>161</v>
      </c>
      <c r="O19" t="s">
        <v>161</v>
      </c>
      <c r="P19" t="s">
        <v>531</v>
      </c>
      <c r="Q19">
        <f t="shared" si="0"/>
        <v>-83</v>
      </c>
      <c r="R19">
        <f>_xlfn.XLOOKUP(E19,'Data Additive'!E:E,'Data Additive'!E:E,0)</f>
        <v>1246268633</v>
      </c>
    </row>
    <row r="20" spans="1:18" x14ac:dyDescent="0.25">
      <c r="A20">
        <v>1787</v>
      </c>
      <c r="B20" t="s">
        <v>67</v>
      </c>
      <c r="C20" t="s">
        <v>68</v>
      </c>
      <c r="D20" s="34">
        <v>111360</v>
      </c>
      <c r="E20">
        <v>1246268748</v>
      </c>
      <c r="F20" s="30">
        <v>46195</v>
      </c>
      <c r="G20" s="30"/>
      <c r="H20" t="s">
        <v>28</v>
      </c>
      <c r="I20" t="s">
        <v>29</v>
      </c>
      <c r="J20">
        <v>10965</v>
      </c>
      <c r="K20" s="30">
        <v>46105</v>
      </c>
      <c r="L20">
        <v>1010100</v>
      </c>
      <c r="M20" t="s">
        <v>35</v>
      </c>
      <c r="N20">
        <v>161</v>
      </c>
      <c r="O20" t="s">
        <v>161</v>
      </c>
      <c r="P20" t="s">
        <v>531</v>
      </c>
      <c r="Q20">
        <f t="shared" si="0"/>
        <v>-84</v>
      </c>
      <c r="R20">
        <f>_xlfn.XLOOKUP(E20,'Data Additive'!E:E,'Data Additive'!E:E,0)</f>
        <v>1246268748</v>
      </c>
    </row>
    <row r="21" spans="1:18" x14ac:dyDescent="0.25">
      <c r="A21">
        <v>1787</v>
      </c>
      <c r="B21" t="s">
        <v>67</v>
      </c>
      <c r="C21" t="s">
        <v>68</v>
      </c>
      <c r="D21" s="34">
        <v>114700.8</v>
      </c>
      <c r="E21">
        <v>1246259163</v>
      </c>
      <c r="F21" s="30">
        <v>46124</v>
      </c>
      <c r="G21" s="30"/>
      <c r="H21" t="s">
        <v>28</v>
      </c>
      <c r="I21" t="s">
        <v>29</v>
      </c>
      <c r="J21">
        <v>10462</v>
      </c>
      <c r="K21" s="30">
        <v>46034</v>
      </c>
      <c r="L21">
        <v>1010100</v>
      </c>
      <c r="M21" t="s">
        <v>35</v>
      </c>
      <c r="N21">
        <v>161</v>
      </c>
      <c r="O21" t="s">
        <v>161</v>
      </c>
      <c r="P21" t="s">
        <v>531</v>
      </c>
      <c r="Q21">
        <f t="shared" si="0"/>
        <v>-13</v>
      </c>
      <c r="R21">
        <f>_xlfn.XLOOKUP(E21,'Data Additive'!E:E,'Data Additive'!E:E,0)</f>
        <v>1246259163</v>
      </c>
    </row>
    <row r="22" spans="1:18" x14ac:dyDescent="0.25">
      <c r="A22">
        <v>1787</v>
      </c>
      <c r="B22" t="s">
        <v>67</v>
      </c>
      <c r="C22" t="s">
        <v>68</v>
      </c>
      <c r="D22" s="34">
        <v>107212.8</v>
      </c>
      <c r="E22">
        <v>1246259993</v>
      </c>
      <c r="F22" s="30">
        <v>46131</v>
      </c>
      <c r="G22" s="30"/>
      <c r="H22" t="s">
        <v>28</v>
      </c>
      <c r="I22" t="s">
        <v>29</v>
      </c>
      <c r="J22">
        <v>10516</v>
      </c>
      <c r="K22" s="30">
        <v>46041</v>
      </c>
      <c r="L22">
        <v>1010100</v>
      </c>
      <c r="M22" t="s">
        <v>35</v>
      </c>
      <c r="N22">
        <v>161</v>
      </c>
      <c r="O22" t="s">
        <v>161</v>
      </c>
      <c r="P22" t="s">
        <v>531</v>
      </c>
      <c r="Q22">
        <f t="shared" si="0"/>
        <v>-20</v>
      </c>
      <c r="R22">
        <f>_xlfn.XLOOKUP(E22,'Data Additive'!E:E,'Data Additive'!E:E,0)</f>
        <v>1246259993</v>
      </c>
    </row>
    <row r="23" spans="1:18" x14ac:dyDescent="0.25">
      <c r="A23">
        <v>1787</v>
      </c>
      <c r="B23" t="s">
        <v>67</v>
      </c>
      <c r="C23" t="s">
        <v>68</v>
      </c>
      <c r="D23" s="34">
        <v>114662.39999999999</v>
      </c>
      <c r="E23">
        <v>1246268585</v>
      </c>
      <c r="F23" s="30">
        <v>46161</v>
      </c>
      <c r="G23" s="30"/>
      <c r="H23" t="s">
        <v>28</v>
      </c>
      <c r="I23" t="s">
        <v>29</v>
      </c>
      <c r="J23">
        <v>10953</v>
      </c>
      <c r="K23" s="30">
        <v>46101</v>
      </c>
      <c r="L23">
        <v>1010100</v>
      </c>
      <c r="M23" t="s">
        <v>35</v>
      </c>
      <c r="N23">
        <v>161</v>
      </c>
      <c r="O23" t="s">
        <v>161</v>
      </c>
      <c r="P23" t="s">
        <v>531</v>
      </c>
      <c r="Q23">
        <f t="shared" si="0"/>
        <v>-50</v>
      </c>
      <c r="R23">
        <f>_xlfn.XLOOKUP(E23,'Data Additive'!E:E,'Data Additive'!E:E,0)</f>
        <v>1246268585</v>
      </c>
    </row>
    <row r="24" spans="1:18" x14ac:dyDescent="0.25">
      <c r="A24">
        <v>1787</v>
      </c>
      <c r="B24" t="s">
        <v>67</v>
      </c>
      <c r="C24" t="s">
        <v>68</v>
      </c>
      <c r="D24" s="34">
        <v>114969.60000000001</v>
      </c>
      <c r="E24">
        <v>1246264543</v>
      </c>
      <c r="F24" s="30">
        <v>46166</v>
      </c>
      <c r="G24" s="30"/>
      <c r="H24" t="s">
        <v>28</v>
      </c>
      <c r="I24" t="s">
        <v>29</v>
      </c>
      <c r="J24">
        <v>10746</v>
      </c>
      <c r="K24" s="30">
        <v>46076</v>
      </c>
      <c r="L24">
        <v>1010100</v>
      </c>
      <c r="M24" t="s">
        <v>35</v>
      </c>
      <c r="N24">
        <v>161</v>
      </c>
      <c r="O24" t="s">
        <v>161</v>
      </c>
      <c r="P24" t="s">
        <v>531</v>
      </c>
      <c r="Q24">
        <f t="shared" si="0"/>
        <v>-55</v>
      </c>
      <c r="R24">
        <f>_xlfn.XLOOKUP(E24,'Data Additive'!E:E,'Data Additive'!E:E,0)</f>
        <v>1246264543</v>
      </c>
    </row>
    <row r="25" spans="1:18" x14ac:dyDescent="0.25">
      <c r="A25">
        <v>1787</v>
      </c>
      <c r="B25" t="s">
        <v>67</v>
      </c>
      <c r="C25" t="s">
        <v>68</v>
      </c>
      <c r="D25" s="34">
        <v>114470.39999999999</v>
      </c>
      <c r="E25">
        <v>1246261586</v>
      </c>
      <c r="F25" s="30">
        <v>46141</v>
      </c>
      <c r="G25" s="30"/>
      <c r="H25" t="s">
        <v>28</v>
      </c>
      <c r="I25" t="s">
        <v>29</v>
      </c>
      <c r="J25">
        <v>10604</v>
      </c>
      <c r="K25" s="30">
        <v>46051</v>
      </c>
      <c r="L25">
        <v>1010100</v>
      </c>
      <c r="M25" t="s">
        <v>35</v>
      </c>
      <c r="N25">
        <v>161</v>
      </c>
      <c r="O25" t="s">
        <v>161</v>
      </c>
      <c r="P25" t="s">
        <v>531</v>
      </c>
      <c r="Q25">
        <f t="shared" si="0"/>
        <v>-30</v>
      </c>
      <c r="R25">
        <f>_xlfn.XLOOKUP(E25,'Data Additive'!E:E,'Data Additive'!E:E,0)</f>
        <v>1246261586</v>
      </c>
    </row>
    <row r="26" spans="1:18" x14ac:dyDescent="0.25">
      <c r="A26">
        <v>1787</v>
      </c>
      <c r="B26" t="s">
        <v>67</v>
      </c>
      <c r="C26" t="s">
        <v>68</v>
      </c>
      <c r="D26" s="34">
        <v>110476.8</v>
      </c>
      <c r="E26">
        <v>1246261043</v>
      </c>
      <c r="F26" s="30">
        <v>46138</v>
      </c>
      <c r="G26" s="30"/>
      <c r="H26" t="s">
        <v>28</v>
      </c>
      <c r="I26" t="s">
        <v>29</v>
      </c>
      <c r="J26">
        <v>10573</v>
      </c>
      <c r="K26" s="30">
        <v>46048</v>
      </c>
      <c r="L26">
        <v>1010100</v>
      </c>
      <c r="M26" t="s">
        <v>35</v>
      </c>
      <c r="N26">
        <v>161</v>
      </c>
      <c r="O26" t="s">
        <v>161</v>
      </c>
      <c r="P26" t="s">
        <v>531</v>
      </c>
      <c r="Q26">
        <f t="shared" si="0"/>
        <v>-27</v>
      </c>
      <c r="R26">
        <f>_xlfn.XLOOKUP(E26,'Data Additive'!E:E,'Data Additive'!E:E,0)</f>
        <v>1246261043</v>
      </c>
    </row>
    <row r="27" spans="1:18" x14ac:dyDescent="0.25">
      <c r="A27">
        <v>1787</v>
      </c>
      <c r="B27" t="s">
        <v>67</v>
      </c>
      <c r="C27" t="s">
        <v>68</v>
      </c>
      <c r="D27" s="34">
        <v>113356.8</v>
      </c>
      <c r="E27">
        <v>1246269731</v>
      </c>
      <c r="F27" s="30">
        <v>46202</v>
      </c>
      <c r="G27" s="30"/>
      <c r="H27" t="s">
        <v>28</v>
      </c>
      <c r="I27" t="s">
        <v>29</v>
      </c>
      <c r="J27">
        <v>11014</v>
      </c>
      <c r="K27" s="30">
        <v>46112</v>
      </c>
      <c r="L27">
        <v>1010100</v>
      </c>
      <c r="M27" t="s">
        <v>35</v>
      </c>
      <c r="N27">
        <v>161</v>
      </c>
      <c r="O27" t="s">
        <v>161</v>
      </c>
      <c r="P27" t="s">
        <v>531</v>
      </c>
      <c r="Q27">
        <f t="shared" si="0"/>
        <v>-91</v>
      </c>
      <c r="R27">
        <f>_xlfn.XLOOKUP(E27,'Data Additive'!E:E,'Data Additive'!E:E,0)</f>
        <v>1246269731</v>
      </c>
    </row>
    <row r="28" spans="1:18" x14ac:dyDescent="0.25">
      <c r="A28">
        <v>1787</v>
      </c>
      <c r="B28" t="s">
        <v>67</v>
      </c>
      <c r="C28" t="s">
        <v>68</v>
      </c>
      <c r="D28" s="34">
        <v>116313.60000000001</v>
      </c>
      <c r="E28">
        <v>1246258384</v>
      </c>
      <c r="F28" s="30">
        <v>46118</v>
      </c>
      <c r="G28" s="30"/>
      <c r="H28" t="s">
        <v>28</v>
      </c>
      <c r="I28" t="s">
        <v>29</v>
      </c>
      <c r="J28">
        <v>10427</v>
      </c>
      <c r="K28" s="30">
        <v>46028</v>
      </c>
      <c r="L28">
        <v>1010100</v>
      </c>
      <c r="M28" t="s">
        <v>35</v>
      </c>
      <c r="N28">
        <v>161</v>
      </c>
      <c r="O28" t="s">
        <v>161</v>
      </c>
      <c r="P28" t="s">
        <v>531</v>
      </c>
      <c r="Q28">
        <f t="shared" si="0"/>
        <v>-7</v>
      </c>
      <c r="R28">
        <f>_xlfn.XLOOKUP(E28,'Data Additive'!E:E,'Data Additive'!E:E,0)</f>
        <v>1246258384</v>
      </c>
    </row>
    <row r="29" spans="1:18" x14ac:dyDescent="0.25">
      <c r="A29">
        <v>1787</v>
      </c>
      <c r="B29" t="s">
        <v>67</v>
      </c>
      <c r="C29" t="s">
        <v>68</v>
      </c>
      <c r="D29" s="34">
        <v>114240</v>
      </c>
      <c r="E29">
        <v>1246259553</v>
      </c>
      <c r="F29" s="30">
        <v>46127</v>
      </c>
      <c r="G29" s="30"/>
      <c r="H29" t="s">
        <v>28</v>
      </c>
      <c r="I29" t="s">
        <v>29</v>
      </c>
      <c r="J29">
        <v>10493</v>
      </c>
      <c r="K29" s="30">
        <v>46037</v>
      </c>
      <c r="L29">
        <v>1010100</v>
      </c>
      <c r="M29" t="s">
        <v>35</v>
      </c>
      <c r="N29">
        <v>161</v>
      </c>
      <c r="O29" t="s">
        <v>161</v>
      </c>
      <c r="P29" t="s">
        <v>531</v>
      </c>
      <c r="Q29">
        <f t="shared" si="0"/>
        <v>-16</v>
      </c>
      <c r="R29">
        <f>_xlfn.XLOOKUP(E29,'Data Additive'!E:E,'Data Additive'!E:E,0)</f>
        <v>1246259553</v>
      </c>
    </row>
    <row r="30" spans="1:18" x14ac:dyDescent="0.25">
      <c r="A30">
        <v>1787</v>
      </c>
      <c r="B30" t="s">
        <v>67</v>
      </c>
      <c r="C30" t="s">
        <v>68</v>
      </c>
      <c r="D30" s="34">
        <v>115392</v>
      </c>
      <c r="E30">
        <v>1246265885</v>
      </c>
      <c r="F30" s="30">
        <v>46173</v>
      </c>
      <c r="G30" s="30"/>
      <c r="H30" t="s">
        <v>28</v>
      </c>
      <c r="I30" t="s">
        <v>29</v>
      </c>
      <c r="J30">
        <v>10791</v>
      </c>
      <c r="K30" s="30">
        <v>46083</v>
      </c>
      <c r="L30">
        <v>1010100</v>
      </c>
      <c r="M30" t="s">
        <v>35</v>
      </c>
      <c r="N30">
        <v>161</v>
      </c>
      <c r="O30" t="s">
        <v>161</v>
      </c>
      <c r="P30" t="s">
        <v>531</v>
      </c>
      <c r="Q30">
        <f t="shared" si="0"/>
        <v>-62</v>
      </c>
      <c r="R30">
        <f>_xlfn.XLOOKUP(E30,'Data Additive'!E:E,'Data Additive'!E:E,0)</f>
        <v>1246265885</v>
      </c>
    </row>
    <row r="31" spans="1:18" x14ac:dyDescent="0.25">
      <c r="A31">
        <v>1787</v>
      </c>
      <c r="B31" t="s">
        <v>67</v>
      </c>
      <c r="C31" t="s">
        <v>68</v>
      </c>
      <c r="D31" s="34">
        <v>115046.39999999999</v>
      </c>
      <c r="E31">
        <v>1246267207</v>
      </c>
      <c r="F31" s="30">
        <v>46181</v>
      </c>
      <c r="G31" s="30"/>
      <c r="H31" t="s">
        <v>28</v>
      </c>
      <c r="I31" t="s">
        <v>29</v>
      </c>
      <c r="J31">
        <v>10856</v>
      </c>
      <c r="K31" s="30">
        <v>46091</v>
      </c>
      <c r="L31">
        <v>1010100</v>
      </c>
      <c r="M31" t="s">
        <v>35</v>
      </c>
      <c r="N31">
        <v>161</v>
      </c>
      <c r="O31" t="s">
        <v>161</v>
      </c>
      <c r="P31" t="s">
        <v>531</v>
      </c>
      <c r="Q31">
        <f t="shared" si="0"/>
        <v>-70</v>
      </c>
      <c r="R31">
        <f>_xlfn.XLOOKUP(E31,'Data Additive'!E:E,'Data Additive'!E:E,0)</f>
        <v>1246267207</v>
      </c>
    </row>
    <row r="32" spans="1:18" x14ac:dyDescent="0.25">
      <c r="A32">
        <v>1787</v>
      </c>
      <c r="B32" t="s">
        <v>67</v>
      </c>
      <c r="C32" t="s">
        <v>68</v>
      </c>
      <c r="D32" s="34">
        <v>114201.60000000001</v>
      </c>
      <c r="E32">
        <v>1246262790</v>
      </c>
      <c r="F32" s="30">
        <v>46152</v>
      </c>
      <c r="G32" s="30"/>
      <c r="H32" t="s">
        <v>28</v>
      </c>
      <c r="I32" t="s">
        <v>29</v>
      </c>
      <c r="J32">
        <v>10666</v>
      </c>
      <c r="K32" s="30">
        <v>46062</v>
      </c>
      <c r="L32">
        <v>1010100</v>
      </c>
      <c r="M32" t="s">
        <v>35</v>
      </c>
      <c r="N32">
        <v>161</v>
      </c>
      <c r="O32" t="s">
        <v>161</v>
      </c>
      <c r="P32" t="s">
        <v>531</v>
      </c>
      <c r="Q32">
        <f t="shared" si="0"/>
        <v>-41</v>
      </c>
      <c r="R32">
        <f>_xlfn.XLOOKUP(E32,'Data Additive'!E:E,'Data Additive'!E:E,0)</f>
        <v>1246262790</v>
      </c>
    </row>
    <row r="33" spans="1:18" x14ac:dyDescent="0.25">
      <c r="A33">
        <v>1787</v>
      </c>
      <c r="B33" t="s">
        <v>67</v>
      </c>
      <c r="C33" t="s">
        <v>68</v>
      </c>
      <c r="D33" s="34">
        <v>108864</v>
      </c>
      <c r="E33">
        <v>1246263600</v>
      </c>
      <c r="F33" s="30">
        <v>46156</v>
      </c>
      <c r="G33" s="30"/>
      <c r="H33" t="s">
        <v>28</v>
      </c>
      <c r="I33" t="s">
        <v>29</v>
      </c>
      <c r="J33">
        <v>10688</v>
      </c>
      <c r="K33" s="30">
        <v>46066</v>
      </c>
      <c r="L33">
        <v>1010100</v>
      </c>
      <c r="M33" t="s">
        <v>35</v>
      </c>
      <c r="N33">
        <v>161</v>
      </c>
      <c r="O33" t="s">
        <v>161</v>
      </c>
      <c r="P33" t="s">
        <v>531</v>
      </c>
      <c r="Q33">
        <f t="shared" si="0"/>
        <v>-45</v>
      </c>
      <c r="R33">
        <f>_xlfn.XLOOKUP(E33,'Data Additive'!E:E,'Data Additive'!E:E,0)</f>
        <v>1246263600</v>
      </c>
    </row>
    <row r="34" spans="1:18" x14ac:dyDescent="0.25">
      <c r="A34">
        <v>1787</v>
      </c>
      <c r="B34" t="s">
        <v>67</v>
      </c>
      <c r="C34" t="s">
        <v>68</v>
      </c>
      <c r="D34" s="34">
        <v>110937.60000000001</v>
      </c>
      <c r="E34">
        <v>1246268467</v>
      </c>
      <c r="F34" s="30">
        <v>46190</v>
      </c>
      <c r="G34" s="30"/>
      <c r="H34" t="s">
        <v>28</v>
      </c>
      <c r="I34" t="s">
        <v>29</v>
      </c>
      <c r="J34">
        <v>10936</v>
      </c>
      <c r="K34" s="30">
        <v>46100</v>
      </c>
      <c r="L34">
        <v>1010100</v>
      </c>
      <c r="M34" t="s">
        <v>35</v>
      </c>
      <c r="N34">
        <v>161</v>
      </c>
      <c r="O34" t="s">
        <v>161</v>
      </c>
      <c r="P34" t="s">
        <v>531</v>
      </c>
      <c r="Q34">
        <f t="shared" si="0"/>
        <v>-79</v>
      </c>
      <c r="R34">
        <f>_xlfn.XLOOKUP(E34,'Data Additive'!E:E,'Data Additive'!E:E,0)</f>
        <v>1246268467</v>
      </c>
    </row>
    <row r="35" spans="1:18" x14ac:dyDescent="0.25">
      <c r="A35">
        <v>1787</v>
      </c>
      <c r="B35" t="s">
        <v>67</v>
      </c>
      <c r="C35" t="s">
        <v>68</v>
      </c>
      <c r="D35" s="34">
        <v>110592</v>
      </c>
      <c r="E35">
        <v>1246269420</v>
      </c>
      <c r="F35" s="30">
        <v>46198</v>
      </c>
      <c r="G35" s="30"/>
      <c r="H35" t="s">
        <v>28</v>
      </c>
      <c r="I35" t="s">
        <v>29</v>
      </c>
      <c r="J35">
        <v>10989</v>
      </c>
      <c r="K35" s="30">
        <v>46108</v>
      </c>
      <c r="L35">
        <v>1010100</v>
      </c>
      <c r="M35" t="s">
        <v>35</v>
      </c>
      <c r="N35">
        <v>161</v>
      </c>
      <c r="O35" t="s">
        <v>161</v>
      </c>
      <c r="P35" t="s">
        <v>531</v>
      </c>
      <c r="Q35">
        <f t="shared" si="0"/>
        <v>-87</v>
      </c>
      <c r="R35">
        <f>_xlfn.XLOOKUP(E35,'Data Additive'!E:E,'Data Additive'!E:E,0)</f>
        <v>1246269420</v>
      </c>
    </row>
    <row r="36" spans="1:18" x14ac:dyDescent="0.25">
      <c r="A36">
        <v>1787</v>
      </c>
      <c r="B36" t="s">
        <v>67</v>
      </c>
      <c r="C36" t="s">
        <v>68</v>
      </c>
      <c r="D36" s="34">
        <v>114393.60000000001</v>
      </c>
      <c r="E36">
        <v>1246263371</v>
      </c>
      <c r="F36" s="30">
        <v>46154</v>
      </c>
      <c r="G36" s="30"/>
      <c r="H36" t="s">
        <v>28</v>
      </c>
      <c r="I36" t="s">
        <v>29</v>
      </c>
      <c r="J36">
        <v>10678</v>
      </c>
      <c r="K36" s="30">
        <v>46064</v>
      </c>
      <c r="L36">
        <v>1010100</v>
      </c>
      <c r="M36" t="s">
        <v>35</v>
      </c>
      <c r="N36">
        <v>161</v>
      </c>
      <c r="O36" t="s">
        <v>161</v>
      </c>
      <c r="P36" t="s">
        <v>531</v>
      </c>
      <c r="Q36">
        <f t="shared" si="0"/>
        <v>-43</v>
      </c>
      <c r="R36">
        <f>_xlfn.XLOOKUP(E36,'Data Additive'!E:E,'Data Additive'!E:E,0)</f>
        <v>1246263371</v>
      </c>
    </row>
    <row r="37" spans="1:18" x14ac:dyDescent="0.25">
      <c r="A37">
        <v>1787</v>
      </c>
      <c r="B37" t="s">
        <v>67</v>
      </c>
      <c r="C37" t="s">
        <v>68</v>
      </c>
      <c r="D37" s="34">
        <v>115737.60000000001</v>
      </c>
      <c r="E37">
        <v>1246260793</v>
      </c>
      <c r="F37" s="30">
        <v>46136</v>
      </c>
      <c r="G37" s="30"/>
      <c r="H37" t="s">
        <v>28</v>
      </c>
      <c r="I37" t="s">
        <v>29</v>
      </c>
      <c r="J37">
        <v>10567</v>
      </c>
      <c r="K37" s="30">
        <v>46045</v>
      </c>
      <c r="L37">
        <v>1010100</v>
      </c>
      <c r="M37" t="s">
        <v>35</v>
      </c>
      <c r="N37">
        <v>161</v>
      </c>
      <c r="O37" t="s">
        <v>161</v>
      </c>
      <c r="P37" t="s">
        <v>531</v>
      </c>
      <c r="Q37">
        <f t="shared" si="0"/>
        <v>-25</v>
      </c>
      <c r="R37">
        <f>_xlfn.XLOOKUP(E37,'Data Additive'!E:E,'Data Additive'!E:E,0)</f>
        <v>1246260793</v>
      </c>
    </row>
    <row r="38" spans="1:18" x14ac:dyDescent="0.25">
      <c r="A38">
        <v>1787</v>
      </c>
      <c r="B38" t="s">
        <v>67</v>
      </c>
      <c r="C38" t="s">
        <v>68</v>
      </c>
      <c r="D38" s="34">
        <v>116006.39999999999</v>
      </c>
      <c r="E38">
        <v>1246267015</v>
      </c>
      <c r="F38" s="30">
        <v>46180</v>
      </c>
      <c r="G38" s="30"/>
      <c r="H38" t="s">
        <v>28</v>
      </c>
      <c r="I38" t="s">
        <v>29</v>
      </c>
      <c r="J38">
        <v>10844</v>
      </c>
      <c r="K38" s="30">
        <v>46090</v>
      </c>
      <c r="L38">
        <v>1010100</v>
      </c>
      <c r="M38" t="s">
        <v>35</v>
      </c>
      <c r="N38">
        <v>161</v>
      </c>
      <c r="O38" t="s">
        <v>161</v>
      </c>
      <c r="P38" t="s">
        <v>531</v>
      </c>
      <c r="Q38">
        <f t="shared" si="0"/>
        <v>-69</v>
      </c>
      <c r="R38">
        <f>_xlfn.XLOOKUP(E38,'Data Additive'!E:E,'Data Additive'!E:E,0)</f>
        <v>1246267015</v>
      </c>
    </row>
    <row r="39" spans="1:18" x14ac:dyDescent="0.25">
      <c r="A39">
        <v>1787</v>
      </c>
      <c r="B39" t="s">
        <v>67</v>
      </c>
      <c r="C39" t="s">
        <v>68</v>
      </c>
      <c r="D39" s="34">
        <v>107059.2</v>
      </c>
      <c r="E39">
        <v>1246262114</v>
      </c>
      <c r="F39" s="30">
        <v>46146</v>
      </c>
      <c r="G39" s="30"/>
      <c r="H39" t="s">
        <v>28</v>
      </c>
      <c r="I39" t="s">
        <v>29</v>
      </c>
      <c r="J39">
        <v>10629</v>
      </c>
      <c r="K39" s="30">
        <v>46056</v>
      </c>
      <c r="L39">
        <v>1010100</v>
      </c>
      <c r="M39" t="s">
        <v>35</v>
      </c>
      <c r="N39">
        <v>161</v>
      </c>
      <c r="O39" t="s">
        <v>161</v>
      </c>
      <c r="P39" t="s">
        <v>531</v>
      </c>
      <c r="Q39">
        <f t="shared" si="0"/>
        <v>-35</v>
      </c>
      <c r="R39">
        <f>_xlfn.XLOOKUP(E39,'Data Additive'!E:E,'Data Additive'!E:E,0)</f>
        <v>1246262114</v>
      </c>
    </row>
    <row r="40" spans="1:18" x14ac:dyDescent="0.25">
      <c r="A40">
        <v>1787</v>
      </c>
      <c r="B40" t="s">
        <v>67</v>
      </c>
      <c r="C40" t="s">
        <v>68</v>
      </c>
      <c r="D40" s="34">
        <v>112204.8</v>
      </c>
      <c r="E40">
        <v>1246269591</v>
      </c>
      <c r="F40" s="30">
        <v>46201</v>
      </c>
      <c r="G40" s="30"/>
      <c r="H40" t="s">
        <v>28</v>
      </c>
      <c r="I40" t="s">
        <v>29</v>
      </c>
      <c r="J40">
        <v>11002</v>
      </c>
      <c r="K40" s="30">
        <v>46111</v>
      </c>
      <c r="L40">
        <v>1010100</v>
      </c>
      <c r="M40" t="s">
        <v>35</v>
      </c>
      <c r="N40">
        <v>161</v>
      </c>
      <c r="O40" t="s">
        <v>161</v>
      </c>
      <c r="P40" t="s">
        <v>531</v>
      </c>
      <c r="Q40">
        <f t="shared" si="0"/>
        <v>-90</v>
      </c>
      <c r="R40">
        <f>_xlfn.XLOOKUP(E40,'Data Additive'!E:E,'Data Additive'!E:E,0)</f>
        <v>1246269591</v>
      </c>
    </row>
    <row r="41" spans="1:18" x14ac:dyDescent="0.25">
      <c r="A41">
        <v>1787</v>
      </c>
      <c r="B41" t="s">
        <v>67</v>
      </c>
      <c r="C41" t="s">
        <v>68</v>
      </c>
      <c r="D41" s="34">
        <v>112588.8</v>
      </c>
      <c r="E41">
        <v>1246263994</v>
      </c>
      <c r="F41" s="30">
        <v>46161</v>
      </c>
      <c r="G41" s="30"/>
      <c r="H41" t="s">
        <v>28</v>
      </c>
      <c r="I41" t="s">
        <v>29</v>
      </c>
      <c r="J41">
        <v>10714</v>
      </c>
      <c r="K41" s="30">
        <v>46071</v>
      </c>
      <c r="L41">
        <v>1010100</v>
      </c>
      <c r="M41" t="s">
        <v>35</v>
      </c>
      <c r="N41">
        <v>161</v>
      </c>
      <c r="O41" t="s">
        <v>161</v>
      </c>
      <c r="P41" t="s">
        <v>531</v>
      </c>
      <c r="Q41">
        <f t="shared" si="0"/>
        <v>-50</v>
      </c>
      <c r="R41">
        <f>_xlfn.XLOOKUP(E41,'Data Additive'!E:E,'Data Additive'!E:E,0)</f>
        <v>1246263994</v>
      </c>
    </row>
    <row r="42" spans="1:18" x14ac:dyDescent="0.25">
      <c r="A42">
        <v>1787</v>
      </c>
      <c r="B42" t="s">
        <v>67</v>
      </c>
      <c r="C42" t="s">
        <v>68</v>
      </c>
      <c r="D42" s="34">
        <v>115315.2</v>
      </c>
      <c r="E42">
        <v>1246265189</v>
      </c>
      <c r="F42" s="30">
        <v>46168</v>
      </c>
      <c r="G42" s="30"/>
      <c r="H42" t="s">
        <v>28</v>
      </c>
      <c r="I42" t="s">
        <v>29</v>
      </c>
      <c r="J42">
        <v>10768</v>
      </c>
      <c r="K42" s="30">
        <v>46078</v>
      </c>
      <c r="L42">
        <v>1010100</v>
      </c>
      <c r="M42" t="s">
        <v>35</v>
      </c>
      <c r="N42">
        <v>161</v>
      </c>
      <c r="O42" t="s">
        <v>161</v>
      </c>
      <c r="P42" t="s">
        <v>531</v>
      </c>
      <c r="Q42">
        <f t="shared" si="0"/>
        <v>-57</v>
      </c>
      <c r="R42">
        <f>_xlfn.XLOOKUP(E42,'Data Additive'!E:E,'Data Additive'!E:E,0)</f>
        <v>1246265189</v>
      </c>
    </row>
    <row r="43" spans="1:18" x14ac:dyDescent="0.25">
      <c r="A43">
        <v>1787</v>
      </c>
      <c r="B43" t="s">
        <v>67</v>
      </c>
      <c r="C43" t="s">
        <v>68</v>
      </c>
      <c r="D43" s="34">
        <v>115468.8</v>
      </c>
      <c r="E43">
        <v>1246266348</v>
      </c>
      <c r="F43" s="30">
        <v>46175</v>
      </c>
      <c r="G43" s="30"/>
      <c r="H43" t="s">
        <v>28</v>
      </c>
      <c r="I43" t="s">
        <v>29</v>
      </c>
      <c r="J43">
        <v>10811</v>
      </c>
      <c r="K43" s="30">
        <v>46085</v>
      </c>
      <c r="L43">
        <v>1010100</v>
      </c>
      <c r="M43" t="s">
        <v>35</v>
      </c>
      <c r="N43">
        <v>161</v>
      </c>
      <c r="O43" t="s">
        <v>161</v>
      </c>
      <c r="P43" t="s">
        <v>531</v>
      </c>
      <c r="Q43">
        <f t="shared" si="0"/>
        <v>-64</v>
      </c>
      <c r="R43">
        <f>_xlfn.XLOOKUP(E43,'Data Additive'!E:E,'Data Additive'!E:E,0)</f>
        <v>1246266348</v>
      </c>
    </row>
    <row r="44" spans="1:18" x14ac:dyDescent="0.25">
      <c r="A44">
        <v>1787</v>
      </c>
      <c r="B44" t="s">
        <v>67</v>
      </c>
      <c r="C44" t="s">
        <v>68</v>
      </c>
      <c r="D44" s="34">
        <v>114086.39999999999</v>
      </c>
      <c r="E44">
        <v>1246267743</v>
      </c>
      <c r="F44" s="30">
        <v>46184</v>
      </c>
      <c r="G44" s="30"/>
      <c r="H44" t="s">
        <v>28</v>
      </c>
      <c r="I44" t="s">
        <v>29</v>
      </c>
      <c r="J44">
        <v>10882</v>
      </c>
      <c r="K44" s="30">
        <v>46094</v>
      </c>
      <c r="L44">
        <v>1010100</v>
      </c>
      <c r="M44" t="s">
        <v>35</v>
      </c>
      <c r="N44">
        <v>161</v>
      </c>
      <c r="O44" t="s">
        <v>161</v>
      </c>
      <c r="P44" t="s">
        <v>531</v>
      </c>
      <c r="Q44">
        <f t="shared" si="0"/>
        <v>-73</v>
      </c>
      <c r="R44">
        <f>_xlfn.XLOOKUP(E44,'Data Additive'!E:E,'Data Additive'!E:E,0)</f>
        <v>1246267743</v>
      </c>
    </row>
    <row r="45" spans="1:18" x14ac:dyDescent="0.25">
      <c r="A45">
        <v>1788</v>
      </c>
      <c r="B45" t="s">
        <v>69</v>
      </c>
      <c r="C45" t="s">
        <v>70</v>
      </c>
      <c r="D45" s="34">
        <v>5400</v>
      </c>
      <c r="E45">
        <v>1246055599</v>
      </c>
      <c r="F45" s="30">
        <v>44889</v>
      </c>
      <c r="G45" s="30"/>
      <c r="H45" t="s">
        <v>28</v>
      </c>
      <c r="I45" t="s">
        <v>29</v>
      </c>
      <c r="J45">
        <v>1246055599</v>
      </c>
      <c r="K45" s="30">
        <v>44889</v>
      </c>
      <c r="L45">
        <v>3041000</v>
      </c>
      <c r="M45" t="s">
        <v>138</v>
      </c>
      <c r="N45">
        <v>46</v>
      </c>
      <c r="O45" t="s">
        <v>163</v>
      </c>
      <c r="P45" t="s">
        <v>531</v>
      </c>
      <c r="Q45">
        <f t="shared" si="0"/>
        <v>1222</v>
      </c>
      <c r="R45">
        <f>_xlfn.XLOOKUP(E45,'Data Additive'!E:E,'Data Additive'!E:E,0)</f>
        <v>0</v>
      </c>
    </row>
    <row r="46" spans="1:18" x14ac:dyDescent="0.25">
      <c r="A46">
        <v>1788</v>
      </c>
      <c r="B46" t="s">
        <v>69</v>
      </c>
      <c r="C46" t="s">
        <v>70</v>
      </c>
      <c r="D46" s="34">
        <v>1200</v>
      </c>
      <c r="E46">
        <v>1246190701</v>
      </c>
      <c r="F46" s="30">
        <v>45674</v>
      </c>
      <c r="G46" s="30"/>
      <c r="H46" t="s">
        <v>28</v>
      </c>
      <c r="I46" t="s">
        <v>29</v>
      </c>
      <c r="J46">
        <v>1246190701</v>
      </c>
      <c r="K46" s="30">
        <v>45659</v>
      </c>
      <c r="L46">
        <v>3041000</v>
      </c>
      <c r="M46" t="s">
        <v>138</v>
      </c>
      <c r="N46">
        <v>46</v>
      </c>
      <c r="O46" t="s">
        <v>163</v>
      </c>
      <c r="P46" t="s">
        <v>531</v>
      </c>
      <c r="Q46">
        <f t="shared" si="0"/>
        <v>437</v>
      </c>
      <c r="R46">
        <f>_xlfn.XLOOKUP(E46,'Data Additive'!E:E,'Data Additive'!E:E,0)</f>
        <v>0</v>
      </c>
    </row>
    <row r="47" spans="1:18" x14ac:dyDescent="0.25">
      <c r="A47">
        <v>1788</v>
      </c>
      <c r="B47" t="s">
        <v>69</v>
      </c>
      <c r="C47" t="s">
        <v>70</v>
      </c>
      <c r="D47" s="34">
        <v>116928</v>
      </c>
      <c r="E47">
        <v>1246267567</v>
      </c>
      <c r="F47" s="30">
        <v>46183</v>
      </c>
      <c r="G47" s="30"/>
      <c r="H47" t="s">
        <v>28</v>
      </c>
      <c r="I47" t="s">
        <v>29</v>
      </c>
      <c r="J47">
        <v>10870</v>
      </c>
      <c r="K47" s="30">
        <v>46093</v>
      </c>
      <c r="L47">
        <v>1010100</v>
      </c>
      <c r="M47" t="s">
        <v>35</v>
      </c>
      <c r="N47">
        <v>161</v>
      </c>
      <c r="O47" t="s">
        <v>161</v>
      </c>
      <c r="P47" t="s">
        <v>531</v>
      </c>
      <c r="Q47">
        <f t="shared" si="0"/>
        <v>-72</v>
      </c>
      <c r="R47">
        <f>_xlfn.XLOOKUP(E47,'Data Additive'!E:E,'Data Additive'!E:E,0)</f>
        <v>1246267567</v>
      </c>
    </row>
    <row r="48" spans="1:18" x14ac:dyDescent="0.25">
      <c r="A48">
        <v>1788</v>
      </c>
      <c r="B48" t="s">
        <v>69</v>
      </c>
      <c r="C48" t="s">
        <v>70</v>
      </c>
      <c r="D48" s="34">
        <v>116851.2</v>
      </c>
      <c r="E48">
        <v>1246262366</v>
      </c>
      <c r="F48" s="30">
        <v>46148</v>
      </c>
      <c r="G48" s="30"/>
      <c r="H48" t="s">
        <v>28</v>
      </c>
      <c r="I48" t="s">
        <v>29</v>
      </c>
      <c r="J48">
        <v>10645</v>
      </c>
      <c r="K48" s="30">
        <v>46058</v>
      </c>
      <c r="L48">
        <v>1010100</v>
      </c>
      <c r="M48" t="s">
        <v>35</v>
      </c>
      <c r="N48">
        <v>161</v>
      </c>
      <c r="O48" t="s">
        <v>161</v>
      </c>
      <c r="P48" t="s">
        <v>531</v>
      </c>
      <c r="Q48">
        <f t="shared" si="0"/>
        <v>-37</v>
      </c>
      <c r="R48">
        <f>_xlfn.XLOOKUP(E48,'Data Additive'!E:E,'Data Additive'!E:E,0)</f>
        <v>1246262366</v>
      </c>
    </row>
    <row r="49" spans="1:18" x14ac:dyDescent="0.25">
      <c r="A49">
        <v>1788</v>
      </c>
      <c r="B49" t="s">
        <v>69</v>
      </c>
      <c r="C49" t="s">
        <v>70</v>
      </c>
      <c r="D49" s="34">
        <v>116275.2</v>
      </c>
      <c r="E49">
        <v>1246260461</v>
      </c>
      <c r="F49" s="30">
        <v>46134</v>
      </c>
      <c r="G49" s="30"/>
      <c r="H49" t="s">
        <v>28</v>
      </c>
      <c r="I49" t="s">
        <v>29</v>
      </c>
      <c r="J49">
        <v>10550</v>
      </c>
      <c r="K49" s="30">
        <v>46044</v>
      </c>
      <c r="L49">
        <v>1010100</v>
      </c>
      <c r="M49" t="s">
        <v>35</v>
      </c>
      <c r="N49">
        <v>161</v>
      </c>
      <c r="O49" t="s">
        <v>161</v>
      </c>
      <c r="P49" t="s">
        <v>531</v>
      </c>
      <c r="Q49">
        <f t="shared" si="0"/>
        <v>-23</v>
      </c>
      <c r="R49">
        <f>_xlfn.XLOOKUP(E49,'Data Additive'!E:E,'Data Additive'!E:E,0)</f>
        <v>1246260461</v>
      </c>
    </row>
    <row r="50" spans="1:18" x14ac:dyDescent="0.25">
      <c r="A50">
        <v>1789</v>
      </c>
      <c r="B50" t="s">
        <v>71</v>
      </c>
      <c r="C50" t="s">
        <v>72</v>
      </c>
      <c r="D50" s="34">
        <v>2700</v>
      </c>
      <c r="E50">
        <v>1246120461</v>
      </c>
      <c r="F50" s="30">
        <v>45294</v>
      </c>
      <c r="G50" s="30"/>
      <c r="H50" t="s">
        <v>28</v>
      </c>
      <c r="I50" t="s">
        <v>29</v>
      </c>
      <c r="J50">
        <v>191223</v>
      </c>
      <c r="K50" s="30">
        <v>45279</v>
      </c>
      <c r="L50">
        <v>3041000</v>
      </c>
      <c r="M50" t="s">
        <v>138</v>
      </c>
      <c r="N50">
        <v>46</v>
      </c>
      <c r="O50" t="s">
        <v>163</v>
      </c>
      <c r="P50" t="s">
        <v>531</v>
      </c>
      <c r="Q50">
        <f t="shared" si="0"/>
        <v>817</v>
      </c>
      <c r="R50">
        <f>_xlfn.XLOOKUP(E50,'Data Additive'!E:E,'Data Additive'!E:E,0)</f>
        <v>0</v>
      </c>
    </row>
    <row r="51" spans="1:18" x14ac:dyDescent="0.25">
      <c r="A51">
        <v>1789</v>
      </c>
      <c r="B51" t="s">
        <v>71</v>
      </c>
      <c r="C51" t="s">
        <v>72</v>
      </c>
      <c r="D51" s="34">
        <v>900</v>
      </c>
      <c r="E51">
        <v>1246146095</v>
      </c>
      <c r="F51" s="30">
        <v>45428</v>
      </c>
      <c r="G51" s="30"/>
      <c r="H51" t="s">
        <v>28</v>
      </c>
      <c r="I51" t="s">
        <v>29</v>
      </c>
      <c r="J51">
        <v>1246120461</v>
      </c>
      <c r="K51" s="30">
        <v>45428</v>
      </c>
      <c r="L51">
        <v>3041000</v>
      </c>
      <c r="M51" t="s">
        <v>138</v>
      </c>
      <c r="N51">
        <v>46</v>
      </c>
      <c r="O51" t="s">
        <v>163</v>
      </c>
      <c r="P51" t="s">
        <v>531</v>
      </c>
      <c r="Q51">
        <f t="shared" si="0"/>
        <v>683</v>
      </c>
      <c r="R51">
        <f>_xlfn.XLOOKUP(E51,'Data Additive'!E:E,'Data Additive'!E:E,0)</f>
        <v>0</v>
      </c>
    </row>
    <row r="52" spans="1:18" x14ac:dyDescent="0.25">
      <c r="A52">
        <v>1789</v>
      </c>
      <c r="B52" t="s">
        <v>71</v>
      </c>
      <c r="C52" t="s">
        <v>72</v>
      </c>
      <c r="D52" s="34">
        <v>116044.8</v>
      </c>
      <c r="E52">
        <v>1246267816</v>
      </c>
      <c r="F52" s="30">
        <v>46187</v>
      </c>
      <c r="G52" s="30"/>
      <c r="H52" t="s">
        <v>28</v>
      </c>
      <c r="I52" t="s">
        <v>29</v>
      </c>
      <c r="J52">
        <v>10889</v>
      </c>
      <c r="K52" s="30">
        <v>46097</v>
      </c>
      <c r="L52">
        <v>1010100</v>
      </c>
      <c r="M52" t="s">
        <v>35</v>
      </c>
      <c r="N52">
        <v>161</v>
      </c>
      <c r="O52" t="s">
        <v>161</v>
      </c>
      <c r="P52" t="s">
        <v>531</v>
      </c>
      <c r="Q52">
        <f t="shared" si="0"/>
        <v>-76</v>
      </c>
      <c r="R52">
        <f>_xlfn.XLOOKUP(E52,'Data Additive'!E:E,'Data Additive'!E:E,0)</f>
        <v>1246267816</v>
      </c>
    </row>
    <row r="53" spans="1:18" x14ac:dyDescent="0.25">
      <c r="A53">
        <v>1789</v>
      </c>
      <c r="B53" t="s">
        <v>71</v>
      </c>
      <c r="C53" t="s">
        <v>72</v>
      </c>
      <c r="D53" s="34">
        <v>115507.2</v>
      </c>
      <c r="E53">
        <v>1246269759</v>
      </c>
      <c r="F53" s="30">
        <v>46202</v>
      </c>
      <c r="G53" s="30"/>
      <c r="H53" t="s">
        <v>28</v>
      </c>
      <c r="I53" t="s">
        <v>29</v>
      </c>
      <c r="J53">
        <v>11017</v>
      </c>
      <c r="K53" s="30">
        <v>46112</v>
      </c>
      <c r="L53">
        <v>1010100</v>
      </c>
      <c r="M53" t="s">
        <v>35</v>
      </c>
      <c r="N53">
        <v>161</v>
      </c>
      <c r="O53" t="s">
        <v>161</v>
      </c>
      <c r="P53" t="s">
        <v>531</v>
      </c>
      <c r="Q53">
        <f t="shared" si="0"/>
        <v>-91</v>
      </c>
      <c r="R53">
        <f>_xlfn.XLOOKUP(E53,'Data Additive'!E:E,'Data Additive'!E:E,0)</f>
        <v>1246269759</v>
      </c>
    </row>
    <row r="54" spans="1:18" x14ac:dyDescent="0.25">
      <c r="A54">
        <v>1789</v>
      </c>
      <c r="B54" t="s">
        <v>71</v>
      </c>
      <c r="C54" t="s">
        <v>72</v>
      </c>
      <c r="D54" s="34">
        <v>114470.39999999999</v>
      </c>
      <c r="E54">
        <v>1246268819</v>
      </c>
      <c r="F54" s="30">
        <v>46195</v>
      </c>
      <c r="G54" s="30"/>
      <c r="H54" t="s">
        <v>28</v>
      </c>
      <c r="I54" t="s">
        <v>29</v>
      </c>
      <c r="J54">
        <v>10967</v>
      </c>
      <c r="K54" s="30">
        <v>46105</v>
      </c>
      <c r="L54">
        <v>1010100</v>
      </c>
      <c r="M54" t="s">
        <v>35</v>
      </c>
      <c r="N54">
        <v>161</v>
      </c>
      <c r="O54" t="s">
        <v>161</v>
      </c>
      <c r="P54" t="s">
        <v>531</v>
      </c>
      <c r="Q54">
        <f t="shared" si="0"/>
        <v>-84</v>
      </c>
      <c r="R54">
        <f>_xlfn.XLOOKUP(E54,'Data Additive'!E:E,'Data Additive'!E:E,0)</f>
        <v>1246268819</v>
      </c>
    </row>
    <row r="55" spans="1:18" x14ac:dyDescent="0.25">
      <c r="A55">
        <v>1789</v>
      </c>
      <c r="B55" t="s">
        <v>71</v>
      </c>
      <c r="C55" t="s">
        <v>72</v>
      </c>
      <c r="D55" s="34">
        <v>115123.2</v>
      </c>
      <c r="E55">
        <v>1246269430</v>
      </c>
      <c r="F55" s="30">
        <v>46198</v>
      </c>
      <c r="G55" s="30"/>
      <c r="H55" t="s">
        <v>28</v>
      </c>
      <c r="I55" t="s">
        <v>29</v>
      </c>
      <c r="J55">
        <v>10992</v>
      </c>
      <c r="K55" s="30">
        <v>46108</v>
      </c>
      <c r="L55">
        <v>1010100</v>
      </c>
      <c r="M55" t="s">
        <v>35</v>
      </c>
      <c r="N55">
        <v>161</v>
      </c>
      <c r="O55" t="s">
        <v>161</v>
      </c>
      <c r="P55" t="s">
        <v>531</v>
      </c>
      <c r="Q55">
        <f t="shared" si="0"/>
        <v>-87</v>
      </c>
      <c r="R55">
        <f>_xlfn.XLOOKUP(E55,'Data Additive'!E:E,'Data Additive'!E:E,0)</f>
        <v>1246269430</v>
      </c>
    </row>
    <row r="56" spans="1:18" x14ac:dyDescent="0.25">
      <c r="A56">
        <v>1789</v>
      </c>
      <c r="B56" t="s">
        <v>71</v>
      </c>
      <c r="C56" t="s">
        <v>72</v>
      </c>
      <c r="D56" s="34">
        <v>116044.8</v>
      </c>
      <c r="E56">
        <v>1246268551</v>
      </c>
      <c r="F56" s="30">
        <v>46191</v>
      </c>
      <c r="G56" s="30"/>
      <c r="H56" t="s">
        <v>28</v>
      </c>
      <c r="I56" t="s">
        <v>29</v>
      </c>
      <c r="J56">
        <v>10945</v>
      </c>
      <c r="K56" s="30">
        <v>46101</v>
      </c>
      <c r="L56">
        <v>1010100</v>
      </c>
      <c r="M56" t="s">
        <v>35</v>
      </c>
      <c r="N56">
        <v>161</v>
      </c>
      <c r="O56" t="s">
        <v>161</v>
      </c>
      <c r="P56" t="s">
        <v>531</v>
      </c>
      <c r="Q56">
        <f t="shared" si="0"/>
        <v>-80</v>
      </c>
      <c r="R56">
        <f>_xlfn.XLOOKUP(E56,'Data Additive'!E:E,'Data Additive'!E:E,0)</f>
        <v>1246268551</v>
      </c>
    </row>
    <row r="57" spans="1:18" x14ac:dyDescent="0.25">
      <c r="A57">
        <v>1789</v>
      </c>
      <c r="B57" t="s">
        <v>71</v>
      </c>
      <c r="C57" t="s">
        <v>72</v>
      </c>
      <c r="D57" s="34">
        <v>115353.60000000001</v>
      </c>
      <c r="E57">
        <v>1246266246</v>
      </c>
      <c r="F57" s="30">
        <v>46174</v>
      </c>
      <c r="G57" s="30"/>
      <c r="H57" t="s">
        <v>28</v>
      </c>
      <c r="I57" t="s">
        <v>29</v>
      </c>
      <c r="J57">
        <v>10804</v>
      </c>
      <c r="K57" s="30">
        <v>46084</v>
      </c>
      <c r="L57">
        <v>1010100</v>
      </c>
      <c r="M57" t="s">
        <v>35</v>
      </c>
      <c r="N57">
        <v>161</v>
      </c>
      <c r="O57" t="s">
        <v>161</v>
      </c>
      <c r="P57" t="s">
        <v>531</v>
      </c>
      <c r="Q57">
        <f t="shared" si="0"/>
        <v>-63</v>
      </c>
      <c r="R57">
        <f>_xlfn.XLOOKUP(E57,'Data Additive'!E:E,'Data Additive'!E:E,0)</f>
        <v>1246266246</v>
      </c>
    </row>
    <row r="58" spans="1:18" x14ac:dyDescent="0.25">
      <c r="A58">
        <v>1789</v>
      </c>
      <c r="B58" t="s">
        <v>71</v>
      </c>
      <c r="C58" t="s">
        <v>72</v>
      </c>
      <c r="D58" s="34">
        <v>114048</v>
      </c>
      <c r="E58">
        <v>1246268138</v>
      </c>
      <c r="F58" s="30">
        <v>46188</v>
      </c>
      <c r="G58" s="30"/>
      <c r="H58" t="s">
        <v>28</v>
      </c>
      <c r="I58" t="s">
        <v>29</v>
      </c>
      <c r="J58">
        <v>10914</v>
      </c>
      <c r="K58" s="30">
        <v>46098</v>
      </c>
      <c r="L58">
        <v>1010100</v>
      </c>
      <c r="M58" t="s">
        <v>35</v>
      </c>
      <c r="N58">
        <v>161</v>
      </c>
      <c r="O58" t="s">
        <v>161</v>
      </c>
      <c r="P58" t="s">
        <v>531</v>
      </c>
      <c r="Q58">
        <f t="shared" si="0"/>
        <v>-77</v>
      </c>
      <c r="R58">
        <f>_xlfn.XLOOKUP(E58,'Data Additive'!E:E,'Data Additive'!E:E,0)</f>
        <v>1246268138</v>
      </c>
    </row>
    <row r="59" spans="1:18" x14ac:dyDescent="0.25">
      <c r="A59">
        <v>1789</v>
      </c>
      <c r="B59" t="s">
        <v>71</v>
      </c>
      <c r="C59" t="s">
        <v>72</v>
      </c>
      <c r="D59" s="34">
        <v>115468.8</v>
      </c>
      <c r="E59">
        <v>1246267594</v>
      </c>
      <c r="F59" s="30">
        <v>46183</v>
      </c>
      <c r="G59" s="30"/>
      <c r="H59" t="s">
        <v>28</v>
      </c>
      <c r="I59" t="s">
        <v>29</v>
      </c>
      <c r="J59">
        <v>10873</v>
      </c>
      <c r="K59" s="30">
        <v>46093</v>
      </c>
      <c r="L59">
        <v>1010100</v>
      </c>
      <c r="M59" t="s">
        <v>35</v>
      </c>
      <c r="N59">
        <v>161</v>
      </c>
      <c r="O59" t="s">
        <v>161</v>
      </c>
      <c r="P59" t="s">
        <v>531</v>
      </c>
      <c r="Q59">
        <f t="shared" si="0"/>
        <v>-72</v>
      </c>
      <c r="R59">
        <f>_xlfn.XLOOKUP(E59,'Data Additive'!E:E,'Data Additive'!E:E,0)</f>
        <v>1246267594</v>
      </c>
    </row>
    <row r="60" spans="1:18" x14ac:dyDescent="0.25">
      <c r="A60">
        <v>97</v>
      </c>
      <c r="B60" t="s">
        <v>334</v>
      </c>
      <c r="C60" t="s">
        <v>873</v>
      </c>
      <c r="D60" s="34">
        <v>429240</v>
      </c>
      <c r="E60">
        <v>1246266666</v>
      </c>
      <c r="F60" s="30">
        <v>46114</v>
      </c>
      <c r="G60" s="30">
        <v>46114</v>
      </c>
      <c r="H60" t="s">
        <v>28</v>
      </c>
      <c r="I60" t="s">
        <v>29</v>
      </c>
      <c r="J60">
        <v>2794</v>
      </c>
      <c r="K60" s="30">
        <v>46086</v>
      </c>
      <c r="L60">
        <v>1010100</v>
      </c>
      <c r="M60" t="s">
        <v>35</v>
      </c>
      <c r="N60">
        <v>161</v>
      </c>
      <c r="O60" t="s">
        <v>161</v>
      </c>
      <c r="P60" t="s">
        <v>577</v>
      </c>
      <c r="Q60">
        <f t="shared" ref="Q60:Q116" si="1">$R$1-F60</f>
        <v>-3</v>
      </c>
      <c r="R60">
        <f>_xlfn.XLOOKUP(E60,'Data Additive'!E:E,'Data Additive'!E:E,0)</f>
        <v>1246266666</v>
      </c>
    </row>
    <row r="61" spans="1:18" x14ac:dyDescent="0.25">
      <c r="A61">
        <v>97</v>
      </c>
      <c r="B61" t="s">
        <v>334</v>
      </c>
      <c r="C61" t="s">
        <v>873</v>
      </c>
      <c r="D61" s="34">
        <v>432176.83</v>
      </c>
      <c r="E61">
        <v>1246269781</v>
      </c>
      <c r="F61" s="30">
        <v>46140</v>
      </c>
      <c r="G61" s="30"/>
      <c r="H61" t="s">
        <v>28</v>
      </c>
      <c r="I61" t="s">
        <v>29</v>
      </c>
      <c r="J61">
        <v>2859</v>
      </c>
      <c r="K61" s="30">
        <v>46112</v>
      </c>
      <c r="L61">
        <v>1010100</v>
      </c>
      <c r="M61" t="s">
        <v>35</v>
      </c>
      <c r="N61">
        <v>161</v>
      </c>
      <c r="O61" t="s">
        <v>161</v>
      </c>
      <c r="P61" t="s">
        <v>577</v>
      </c>
      <c r="Q61">
        <f t="shared" si="1"/>
        <v>-29</v>
      </c>
      <c r="R61">
        <f>_xlfn.XLOOKUP(E61,'Data Additive'!E:E,'Data Additive'!E:E,0)</f>
        <v>1246269781</v>
      </c>
    </row>
    <row r="62" spans="1:18" x14ac:dyDescent="0.25">
      <c r="A62">
        <v>97</v>
      </c>
      <c r="B62" t="s">
        <v>334</v>
      </c>
      <c r="C62" t="s">
        <v>873</v>
      </c>
      <c r="D62" s="34">
        <v>111790</v>
      </c>
      <c r="E62">
        <v>1246269794</v>
      </c>
      <c r="F62" s="30">
        <v>46140</v>
      </c>
      <c r="G62" s="30"/>
      <c r="H62" t="s">
        <v>28</v>
      </c>
      <c r="I62" t="s">
        <v>29</v>
      </c>
      <c r="J62">
        <v>11018</v>
      </c>
      <c r="K62" s="30">
        <v>46112</v>
      </c>
      <c r="L62">
        <v>1010100</v>
      </c>
      <c r="M62" t="s">
        <v>35</v>
      </c>
      <c r="N62">
        <v>161</v>
      </c>
      <c r="O62" t="s">
        <v>161</v>
      </c>
      <c r="P62" t="s">
        <v>577</v>
      </c>
      <c r="Q62">
        <f t="shared" si="1"/>
        <v>-29</v>
      </c>
      <c r="R62">
        <f>_xlfn.XLOOKUP(E62,'Data Additive'!E:E,'Data Additive'!E:E,0)</f>
        <v>1246269794</v>
      </c>
    </row>
    <row r="63" spans="1:18" x14ac:dyDescent="0.25">
      <c r="A63">
        <v>43</v>
      </c>
      <c r="B63" t="s">
        <v>794</v>
      </c>
      <c r="C63" t="s">
        <v>37</v>
      </c>
      <c r="D63" s="34">
        <v>71384.399999999994</v>
      </c>
      <c r="E63">
        <v>1246268568</v>
      </c>
      <c r="F63" s="30">
        <v>46129</v>
      </c>
      <c r="G63" s="30"/>
      <c r="H63" t="s">
        <v>28</v>
      </c>
      <c r="I63" t="s">
        <v>29</v>
      </c>
      <c r="J63">
        <v>10949</v>
      </c>
      <c r="K63" s="30">
        <v>46101</v>
      </c>
      <c r="L63">
        <v>1010100</v>
      </c>
      <c r="M63" t="s">
        <v>35</v>
      </c>
      <c r="N63">
        <v>161</v>
      </c>
      <c r="O63" t="s">
        <v>161</v>
      </c>
      <c r="P63" t="s">
        <v>416</v>
      </c>
      <c r="Q63">
        <f t="shared" si="1"/>
        <v>-18</v>
      </c>
      <c r="R63">
        <f>_xlfn.XLOOKUP(E63,'Data Additive'!E:E,'Data Additive'!E:E,0)</f>
        <v>1246268568</v>
      </c>
    </row>
    <row r="64" spans="1:18" x14ac:dyDescent="0.25">
      <c r="A64">
        <v>43</v>
      </c>
      <c r="B64" t="s">
        <v>794</v>
      </c>
      <c r="C64" t="s">
        <v>37</v>
      </c>
      <c r="D64" s="34">
        <v>71123.7</v>
      </c>
      <c r="E64">
        <v>1246268230</v>
      </c>
      <c r="F64" s="30">
        <v>46127</v>
      </c>
      <c r="G64" s="30"/>
      <c r="H64" t="s">
        <v>28</v>
      </c>
      <c r="I64" t="s">
        <v>29</v>
      </c>
      <c r="J64">
        <v>10916</v>
      </c>
      <c r="K64" s="30">
        <v>46099</v>
      </c>
      <c r="L64">
        <v>1010100</v>
      </c>
      <c r="M64" t="s">
        <v>35</v>
      </c>
      <c r="N64">
        <v>161</v>
      </c>
      <c r="O64" t="s">
        <v>161</v>
      </c>
      <c r="P64" t="s">
        <v>416</v>
      </c>
      <c r="Q64">
        <f t="shared" si="1"/>
        <v>-16</v>
      </c>
      <c r="R64">
        <f>_xlfn.XLOOKUP(E64,'Data Additive'!E:E,'Data Additive'!E:E,0)</f>
        <v>1246268230</v>
      </c>
    </row>
    <row r="65" spans="1:18" x14ac:dyDescent="0.25">
      <c r="A65">
        <v>1936</v>
      </c>
      <c r="B65" t="s">
        <v>74</v>
      </c>
      <c r="C65" t="s">
        <v>75</v>
      </c>
      <c r="D65" s="34">
        <v>39900</v>
      </c>
      <c r="E65">
        <v>1246267723</v>
      </c>
      <c r="F65" s="30">
        <v>46122</v>
      </c>
      <c r="G65" s="30"/>
      <c r="H65" t="s">
        <v>28</v>
      </c>
      <c r="I65" t="s">
        <v>29</v>
      </c>
      <c r="J65">
        <v>10879</v>
      </c>
      <c r="K65" s="30">
        <v>46094</v>
      </c>
      <c r="L65">
        <v>1010100</v>
      </c>
      <c r="M65" t="s">
        <v>35</v>
      </c>
      <c r="N65">
        <v>56</v>
      </c>
      <c r="O65" t="s">
        <v>162</v>
      </c>
      <c r="P65" t="s">
        <v>416</v>
      </c>
      <c r="Q65">
        <f t="shared" si="1"/>
        <v>-11</v>
      </c>
      <c r="R65">
        <f>_xlfn.XLOOKUP(E65,'Data Additive'!E:E,'Data Additive'!E:E,0)</f>
        <v>1246267723</v>
      </c>
    </row>
    <row r="66" spans="1:18" x14ac:dyDescent="0.25">
      <c r="A66">
        <v>1936</v>
      </c>
      <c r="B66" t="s">
        <v>74</v>
      </c>
      <c r="C66" t="s">
        <v>75</v>
      </c>
      <c r="D66" s="34">
        <v>299800</v>
      </c>
      <c r="E66">
        <v>1246269445</v>
      </c>
      <c r="F66" s="30">
        <v>46136</v>
      </c>
      <c r="G66" s="30"/>
      <c r="H66" t="s">
        <v>28</v>
      </c>
      <c r="I66" t="s">
        <v>29</v>
      </c>
      <c r="J66">
        <v>2849</v>
      </c>
      <c r="K66" s="30">
        <v>46108</v>
      </c>
      <c r="L66">
        <v>1010100</v>
      </c>
      <c r="M66" t="s">
        <v>35</v>
      </c>
      <c r="N66">
        <v>56</v>
      </c>
      <c r="O66" t="s">
        <v>162</v>
      </c>
      <c r="P66" t="s">
        <v>416</v>
      </c>
      <c r="Q66">
        <f t="shared" si="1"/>
        <v>-25</v>
      </c>
      <c r="R66">
        <f>_xlfn.XLOOKUP(E66,'Data Additive'!E:E,'Data Additive'!E:E,0)</f>
        <v>1246269445</v>
      </c>
    </row>
    <row r="67" spans="1:18" x14ac:dyDescent="0.25">
      <c r="A67">
        <v>33</v>
      </c>
      <c r="B67" t="s">
        <v>909</v>
      </c>
      <c r="C67" t="s">
        <v>675</v>
      </c>
      <c r="D67" s="34">
        <v>98301.6</v>
      </c>
      <c r="E67">
        <v>1246268989</v>
      </c>
      <c r="F67" s="30">
        <v>46136</v>
      </c>
      <c r="G67" s="30"/>
      <c r="H67" t="s">
        <v>28</v>
      </c>
      <c r="I67" t="s">
        <v>29</v>
      </c>
      <c r="J67">
        <v>10974</v>
      </c>
      <c r="K67" s="30">
        <v>46106</v>
      </c>
      <c r="L67">
        <v>1010100</v>
      </c>
      <c r="M67" t="s">
        <v>35</v>
      </c>
      <c r="N67">
        <v>161</v>
      </c>
      <c r="O67" t="s">
        <v>161</v>
      </c>
      <c r="P67" t="s">
        <v>530</v>
      </c>
      <c r="Q67">
        <f t="shared" si="1"/>
        <v>-25</v>
      </c>
      <c r="R67">
        <f>_xlfn.XLOOKUP(E67,'Data Additive'!E:E,'Data Additive'!E:E,0)</f>
        <v>1246268989</v>
      </c>
    </row>
    <row r="68" spans="1:18" x14ac:dyDescent="0.25">
      <c r="A68">
        <v>214</v>
      </c>
      <c r="B68" t="s">
        <v>165</v>
      </c>
      <c r="C68" t="s">
        <v>841</v>
      </c>
      <c r="D68" s="34">
        <v>92978.1</v>
      </c>
      <c r="E68">
        <v>1246267981</v>
      </c>
      <c r="F68" s="30">
        <v>46126</v>
      </c>
      <c r="G68" s="30"/>
      <c r="H68" t="s">
        <v>28</v>
      </c>
      <c r="I68" t="s">
        <v>29</v>
      </c>
      <c r="J68">
        <v>10906</v>
      </c>
      <c r="K68" s="30">
        <v>46098</v>
      </c>
      <c r="L68">
        <v>1010100</v>
      </c>
      <c r="M68" t="s">
        <v>35</v>
      </c>
      <c r="N68">
        <v>161</v>
      </c>
      <c r="O68" t="s">
        <v>161</v>
      </c>
      <c r="P68" t="s">
        <v>417</v>
      </c>
      <c r="Q68">
        <f t="shared" si="1"/>
        <v>-15</v>
      </c>
      <c r="R68">
        <f>_xlfn.XLOOKUP(E68,'Data Additive'!E:E,'Data Additive'!E:E,0)</f>
        <v>1246267981</v>
      </c>
    </row>
    <row r="69" spans="1:18" x14ac:dyDescent="0.25">
      <c r="A69">
        <v>2</v>
      </c>
      <c r="B69" t="s">
        <v>34</v>
      </c>
      <c r="C69" t="s">
        <v>838</v>
      </c>
      <c r="D69" s="34">
        <v>2340</v>
      </c>
      <c r="E69">
        <v>1246268280</v>
      </c>
      <c r="F69" s="30">
        <v>46127</v>
      </c>
      <c r="G69" s="30">
        <v>46113</v>
      </c>
      <c r="H69" t="s">
        <v>839</v>
      </c>
      <c r="I69" t="s">
        <v>840</v>
      </c>
      <c r="J69">
        <v>2825</v>
      </c>
      <c r="K69" s="30">
        <v>46099</v>
      </c>
      <c r="L69">
        <v>1010100</v>
      </c>
      <c r="M69" t="s">
        <v>35</v>
      </c>
      <c r="N69">
        <v>199</v>
      </c>
      <c r="O69" t="s">
        <v>887</v>
      </c>
      <c r="P69" t="s">
        <v>418</v>
      </c>
      <c r="Q69">
        <f t="shared" si="1"/>
        <v>-16</v>
      </c>
      <c r="R69">
        <f>_xlfn.XLOOKUP(E69,'Data Additive'!E:E,'Data Additive'!E:E,0)</f>
        <v>1246268280</v>
      </c>
    </row>
    <row r="70" spans="1:18" x14ac:dyDescent="0.25">
      <c r="A70">
        <v>183</v>
      </c>
      <c r="B70" t="s">
        <v>41</v>
      </c>
      <c r="C70" t="s">
        <v>42</v>
      </c>
      <c r="D70" s="34">
        <v>4231.96</v>
      </c>
      <c r="E70">
        <v>1246014155</v>
      </c>
      <c r="F70" s="30">
        <v>47847</v>
      </c>
      <c r="G70" s="30"/>
      <c r="H70" t="s">
        <v>28</v>
      </c>
      <c r="I70" t="s">
        <v>29</v>
      </c>
      <c r="J70">
        <v>8361</v>
      </c>
      <c r="K70" s="30">
        <v>43384</v>
      </c>
      <c r="L70">
        <v>1010100</v>
      </c>
      <c r="M70" t="s">
        <v>35</v>
      </c>
      <c r="N70">
        <v>161</v>
      </c>
      <c r="O70" t="s">
        <v>161</v>
      </c>
      <c r="P70" t="s">
        <v>530</v>
      </c>
      <c r="Q70">
        <f t="shared" si="1"/>
        <v>-1736</v>
      </c>
      <c r="R70">
        <f>_xlfn.XLOOKUP(E70,'Data Additive'!E:E,'Data Additive'!E:E,0)</f>
        <v>1246014155</v>
      </c>
    </row>
    <row r="71" spans="1:18" x14ac:dyDescent="0.25">
      <c r="A71">
        <v>183</v>
      </c>
      <c r="B71" t="s">
        <v>41</v>
      </c>
      <c r="C71" t="s">
        <v>42</v>
      </c>
      <c r="D71" s="34">
        <v>4045.01</v>
      </c>
      <c r="E71">
        <v>1246014156</v>
      </c>
      <c r="F71" s="30">
        <v>48212</v>
      </c>
      <c r="G71" s="30"/>
      <c r="H71" t="s">
        <v>28</v>
      </c>
      <c r="I71" t="s">
        <v>29</v>
      </c>
      <c r="J71">
        <v>8361</v>
      </c>
      <c r="K71" s="30">
        <v>43384</v>
      </c>
      <c r="L71">
        <v>1010100</v>
      </c>
      <c r="M71" t="s">
        <v>35</v>
      </c>
      <c r="N71">
        <v>161</v>
      </c>
      <c r="O71" t="s">
        <v>161</v>
      </c>
      <c r="P71" t="s">
        <v>530</v>
      </c>
      <c r="Q71">
        <f t="shared" si="1"/>
        <v>-2101</v>
      </c>
      <c r="R71">
        <f>_xlfn.XLOOKUP(E71,'Data Additive'!E:E,'Data Additive'!E:E,0)</f>
        <v>1246014156</v>
      </c>
    </row>
    <row r="72" spans="1:18" x14ac:dyDescent="0.25">
      <c r="A72">
        <v>183</v>
      </c>
      <c r="B72" t="s">
        <v>41</v>
      </c>
      <c r="C72" t="s">
        <v>42</v>
      </c>
      <c r="D72" s="34">
        <v>4339.6000000000004</v>
      </c>
      <c r="E72">
        <v>1246014157</v>
      </c>
      <c r="F72" s="30">
        <v>48578</v>
      </c>
      <c r="G72" s="30"/>
      <c r="H72" t="s">
        <v>28</v>
      </c>
      <c r="I72" t="s">
        <v>29</v>
      </c>
      <c r="J72">
        <v>8361</v>
      </c>
      <c r="K72" s="30">
        <v>43384</v>
      </c>
      <c r="L72">
        <v>1010100</v>
      </c>
      <c r="M72" t="s">
        <v>35</v>
      </c>
      <c r="N72">
        <v>161</v>
      </c>
      <c r="O72" t="s">
        <v>161</v>
      </c>
      <c r="P72" t="s">
        <v>530</v>
      </c>
      <c r="Q72">
        <f t="shared" si="1"/>
        <v>-2467</v>
      </c>
      <c r="R72">
        <f>_xlfn.XLOOKUP(E72,'Data Additive'!E:E,'Data Additive'!E:E,0)</f>
        <v>1246014157</v>
      </c>
    </row>
    <row r="73" spans="1:18" x14ac:dyDescent="0.25">
      <c r="A73">
        <v>183</v>
      </c>
      <c r="B73" t="s">
        <v>41</v>
      </c>
      <c r="C73" t="s">
        <v>42</v>
      </c>
      <c r="D73" s="34">
        <v>7512.16</v>
      </c>
      <c r="E73">
        <v>1246014158</v>
      </c>
      <c r="F73" s="30">
        <v>48943</v>
      </c>
      <c r="G73" s="30"/>
      <c r="H73" t="s">
        <v>28</v>
      </c>
      <c r="I73" t="s">
        <v>29</v>
      </c>
      <c r="J73">
        <v>8361</v>
      </c>
      <c r="K73" s="30">
        <v>43384</v>
      </c>
      <c r="L73">
        <v>1010100</v>
      </c>
      <c r="M73" t="s">
        <v>35</v>
      </c>
      <c r="N73">
        <v>161</v>
      </c>
      <c r="O73" t="s">
        <v>161</v>
      </c>
      <c r="P73" t="s">
        <v>530</v>
      </c>
      <c r="Q73">
        <f t="shared" si="1"/>
        <v>-2832</v>
      </c>
      <c r="R73">
        <f>_xlfn.XLOOKUP(E73,'Data Additive'!E:E,'Data Additive'!E:E,0)</f>
        <v>1246014158</v>
      </c>
    </row>
    <row r="74" spans="1:18" x14ac:dyDescent="0.25">
      <c r="A74">
        <v>183</v>
      </c>
      <c r="B74" t="s">
        <v>41</v>
      </c>
      <c r="C74" t="s">
        <v>42</v>
      </c>
      <c r="D74" s="34">
        <v>30552.86</v>
      </c>
      <c r="E74">
        <v>1246014159</v>
      </c>
      <c r="F74" s="30">
        <v>49308</v>
      </c>
      <c r="G74" s="30"/>
      <c r="H74" t="s">
        <v>28</v>
      </c>
      <c r="I74" t="s">
        <v>29</v>
      </c>
      <c r="J74">
        <v>8361</v>
      </c>
      <c r="K74" s="30">
        <v>43384</v>
      </c>
      <c r="L74">
        <v>1010100</v>
      </c>
      <c r="M74" t="s">
        <v>35</v>
      </c>
      <c r="N74">
        <v>161</v>
      </c>
      <c r="O74" t="s">
        <v>161</v>
      </c>
      <c r="P74" t="s">
        <v>530</v>
      </c>
      <c r="Q74">
        <f t="shared" si="1"/>
        <v>-3197</v>
      </c>
      <c r="R74">
        <f>_xlfn.XLOOKUP(E74,'Data Additive'!E:E,'Data Additive'!E:E,0)</f>
        <v>1246014159</v>
      </c>
    </row>
    <row r="75" spans="1:18" x14ac:dyDescent="0.25">
      <c r="A75">
        <v>183</v>
      </c>
      <c r="B75" t="s">
        <v>41</v>
      </c>
      <c r="C75" t="s">
        <v>42</v>
      </c>
      <c r="D75" s="34">
        <v>1512.63</v>
      </c>
      <c r="E75">
        <v>1246014161</v>
      </c>
      <c r="F75" s="30">
        <v>50039</v>
      </c>
      <c r="G75" s="30"/>
      <c r="H75" t="s">
        <v>28</v>
      </c>
      <c r="I75" t="s">
        <v>29</v>
      </c>
      <c r="J75">
        <v>8361</v>
      </c>
      <c r="K75" s="30">
        <v>43384</v>
      </c>
      <c r="L75">
        <v>1010100</v>
      </c>
      <c r="M75" t="s">
        <v>35</v>
      </c>
      <c r="N75">
        <v>161</v>
      </c>
      <c r="O75" t="s">
        <v>161</v>
      </c>
      <c r="P75" t="s">
        <v>530</v>
      </c>
      <c r="Q75">
        <f t="shared" si="1"/>
        <v>-3928</v>
      </c>
      <c r="R75">
        <f>_xlfn.XLOOKUP(E75,'Data Additive'!E:E,'Data Additive'!E:E,0)</f>
        <v>1246014161</v>
      </c>
    </row>
    <row r="76" spans="1:18" x14ac:dyDescent="0.25">
      <c r="A76">
        <v>183</v>
      </c>
      <c r="B76" t="s">
        <v>41</v>
      </c>
      <c r="C76" t="s">
        <v>42</v>
      </c>
      <c r="D76" s="34">
        <v>1982.85</v>
      </c>
      <c r="E76">
        <v>1246014162</v>
      </c>
      <c r="F76" s="30">
        <v>50404</v>
      </c>
      <c r="G76" s="30"/>
      <c r="H76" t="s">
        <v>28</v>
      </c>
      <c r="I76" t="s">
        <v>29</v>
      </c>
      <c r="J76">
        <v>8361</v>
      </c>
      <c r="K76" s="30">
        <v>43384</v>
      </c>
      <c r="L76">
        <v>1010100</v>
      </c>
      <c r="M76" t="s">
        <v>35</v>
      </c>
      <c r="N76">
        <v>161</v>
      </c>
      <c r="O76" t="s">
        <v>161</v>
      </c>
      <c r="P76" t="s">
        <v>530</v>
      </c>
      <c r="Q76">
        <f t="shared" si="1"/>
        <v>-4293</v>
      </c>
      <c r="R76">
        <f>_xlfn.XLOOKUP(E76,'Data Additive'!E:E,'Data Additive'!E:E,0)</f>
        <v>1246014162</v>
      </c>
    </row>
    <row r="77" spans="1:18" x14ac:dyDescent="0.25">
      <c r="A77">
        <v>183</v>
      </c>
      <c r="B77" t="s">
        <v>41</v>
      </c>
      <c r="C77" t="s">
        <v>42</v>
      </c>
      <c r="D77" s="34">
        <v>2549.38</v>
      </c>
      <c r="E77">
        <v>1246014163</v>
      </c>
      <c r="F77" s="30">
        <v>50769</v>
      </c>
      <c r="G77" s="30"/>
      <c r="H77" t="s">
        <v>28</v>
      </c>
      <c r="I77" t="s">
        <v>29</v>
      </c>
      <c r="J77">
        <v>8361</v>
      </c>
      <c r="K77" s="30">
        <v>43384</v>
      </c>
      <c r="L77">
        <v>1010100</v>
      </c>
      <c r="M77" t="s">
        <v>35</v>
      </c>
      <c r="N77">
        <v>161</v>
      </c>
      <c r="O77" t="s">
        <v>161</v>
      </c>
      <c r="P77" t="s">
        <v>530</v>
      </c>
      <c r="Q77">
        <f t="shared" si="1"/>
        <v>-4658</v>
      </c>
      <c r="R77">
        <f>_xlfn.XLOOKUP(E77,'Data Additive'!E:E,'Data Additive'!E:E,0)</f>
        <v>1246014163</v>
      </c>
    </row>
    <row r="78" spans="1:18" x14ac:dyDescent="0.25">
      <c r="A78">
        <v>183</v>
      </c>
      <c r="B78" t="s">
        <v>41</v>
      </c>
      <c r="C78" t="s">
        <v>42</v>
      </c>
      <c r="D78" s="34">
        <v>5546.31</v>
      </c>
      <c r="E78">
        <v>1246014165</v>
      </c>
      <c r="F78" s="30">
        <v>51500</v>
      </c>
      <c r="G78" s="30"/>
      <c r="H78" t="s">
        <v>28</v>
      </c>
      <c r="I78" t="s">
        <v>29</v>
      </c>
      <c r="J78">
        <v>8361</v>
      </c>
      <c r="K78" s="30">
        <v>43384</v>
      </c>
      <c r="L78">
        <v>1010100</v>
      </c>
      <c r="M78" t="s">
        <v>35</v>
      </c>
      <c r="N78">
        <v>161</v>
      </c>
      <c r="O78" t="s">
        <v>161</v>
      </c>
      <c r="P78" t="s">
        <v>530</v>
      </c>
      <c r="Q78">
        <f t="shared" si="1"/>
        <v>-5389</v>
      </c>
      <c r="R78">
        <f>_xlfn.XLOOKUP(E78,'Data Additive'!E:E,'Data Additive'!E:E,0)</f>
        <v>1246014165</v>
      </c>
    </row>
    <row r="79" spans="1:18" x14ac:dyDescent="0.25">
      <c r="A79">
        <v>183</v>
      </c>
      <c r="B79" t="s">
        <v>41</v>
      </c>
      <c r="C79" t="s">
        <v>42</v>
      </c>
      <c r="D79" s="34">
        <v>5546.31</v>
      </c>
      <c r="E79">
        <v>1246014166</v>
      </c>
      <c r="F79" s="30">
        <v>51865</v>
      </c>
      <c r="G79" s="30"/>
      <c r="H79" t="s">
        <v>28</v>
      </c>
      <c r="I79" t="s">
        <v>29</v>
      </c>
      <c r="J79">
        <v>8361</v>
      </c>
      <c r="K79" s="30">
        <v>43384</v>
      </c>
      <c r="L79">
        <v>1010100</v>
      </c>
      <c r="M79" t="s">
        <v>35</v>
      </c>
      <c r="N79">
        <v>161</v>
      </c>
      <c r="O79" t="s">
        <v>161</v>
      </c>
      <c r="P79" t="s">
        <v>530</v>
      </c>
      <c r="Q79">
        <f t="shared" si="1"/>
        <v>-5754</v>
      </c>
      <c r="R79">
        <f>_xlfn.XLOOKUP(E79,'Data Additive'!E:E,'Data Additive'!E:E,0)</f>
        <v>1246014166</v>
      </c>
    </row>
    <row r="80" spans="1:18" x14ac:dyDescent="0.25">
      <c r="A80">
        <v>183</v>
      </c>
      <c r="B80" t="s">
        <v>41</v>
      </c>
      <c r="C80" t="s">
        <v>42</v>
      </c>
      <c r="D80" s="34">
        <v>5546.31</v>
      </c>
      <c r="E80">
        <v>1246014167</v>
      </c>
      <c r="F80" s="30">
        <v>52230</v>
      </c>
      <c r="G80" s="30"/>
      <c r="H80" t="s">
        <v>28</v>
      </c>
      <c r="I80" t="s">
        <v>29</v>
      </c>
      <c r="J80">
        <v>8361</v>
      </c>
      <c r="K80" s="30">
        <v>43384</v>
      </c>
      <c r="L80">
        <v>1010100</v>
      </c>
      <c r="M80" t="s">
        <v>35</v>
      </c>
      <c r="N80">
        <v>161</v>
      </c>
      <c r="O80" t="s">
        <v>161</v>
      </c>
      <c r="P80" t="s">
        <v>530</v>
      </c>
      <c r="Q80">
        <f t="shared" si="1"/>
        <v>-6119</v>
      </c>
      <c r="R80">
        <f>_xlfn.XLOOKUP(E80,'Data Additive'!E:E,'Data Additive'!E:E,0)</f>
        <v>1246014167</v>
      </c>
    </row>
    <row r="81" spans="1:18" x14ac:dyDescent="0.25">
      <c r="A81">
        <v>183</v>
      </c>
      <c r="B81" t="s">
        <v>41</v>
      </c>
      <c r="C81" t="s">
        <v>42</v>
      </c>
      <c r="D81" s="34">
        <v>5546.31</v>
      </c>
      <c r="E81">
        <v>1246014168</v>
      </c>
      <c r="F81" s="30">
        <v>52595</v>
      </c>
      <c r="G81" s="30"/>
      <c r="H81" t="s">
        <v>28</v>
      </c>
      <c r="I81" t="s">
        <v>29</v>
      </c>
      <c r="J81">
        <v>8361</v>
      </c>
      <c r="K81" s="30">
        <v>43384</v>
      </c>
      <c r="L81">
        <v>1010100</v>
      </c>
      <c r="M81" t="s">
        <v>35</v>
      </c>
      <c r="N81">
        <v>161</v>
      </c>
      <c r="O81" t="s">
        <v>161</v>
      </c>
      <c r="P81" t="s">
        <v>530</v>
      </c>
      <c r="Q81">
        <f t="shared" si="1"/>
        <v>-6484</v>
      </c>
      <c r="R81">
        <f>_xlfn.XLOOKUP(E81,'Data Additive'!E:E,'Data Additive'!E:E,0)</f>
        <v>1246014168</v>
      </c>
    </row>
    <row r="82" spans="1:18" x14ac:dyDescent="0.25">
      <c r="A82">
        <v>183</v>
      </c>
      <c r="B82" t="s">
        <v>41</v>
      </c>
      <c r="C82" t="s">
        <v>42</v>
      </c>
      <c r="D82" s="34">
        <v>5546.31</v>
      </c>
      <c r="E82">
        <v>1246014169</v>
      </c>
      <c r="F82" s="30">
        <v>52961</v>
      </c>
      <c r="G82" s="30"/>
      <c r="H82" t="s">
        <v>28</v>
      </c>
      <c r="I82" t="s">
        <v>29</v>
      </c>
      <c r="J82">
        <v>8361</v>
      </c>
      <c r="K82" s="30">
        <v>43384</v>
      </c>
      <c r="L82">
        <v>1010100</v>
      </c>
      <c r="M82" t="s">
        <v>35</v>
      </c>
      <c r="N82">
        <v>161</v>
      </c>
      <c r="O82" t="s">
        <v>161</v>
      </c>
      <c r="P82" t="s">
        <v>530</v>
      </c>
      <c r="Q82">
        <f t="shared" si="1"/>
        <v>-6850</v>
      </c>
      <c r="R82">
        <f>_xlfn.XLOOKUP(E82,'Data Additive'!E:E,'Data Additive'!E:E,0)</f>
        <v>1246014169</v>
      </c>
    </row>
    <row r="83" spans="1:18" x14ac:dyDescent="0.25">
      <c r="A83">
        <v>183</v>
      </c>
      <c r="B83" t="s">
        <v>41</v>
      </c>
      <c r="C83" t="s">
        <v>42</v>
      </c>
      <c r="D83" s="34">
        <v>5568.96</v>
      </c>
      <c r="E83">
        <v>1246014170</v>
      </c>
      <c r="F83" s="30">
        <v>53326</v>
      </c>
      <c r="G83" s="30"/>
      <c r="H83" t="s">
        <v>28</v>
      </c>
      <c r="I83" t="s">
        <v>29</v>
      </c>
      <c r="J83">
        <v>8361</v>
      </c>
      <c r="K83" s="30">
        <v>43384</v>
      </c>
      <c r="L83">
        <v>1010100</v>
      </c>
      <c r="M83" t="s">
        <v>35</v>
      </c>
      <c r="N83">
        <v>161</v>
      </c>
      <c r="O83" t="s">
        <v>161</v>
      </c>
      <c r="P83" t="s">
        <v>530</v>
      </c>
      <c r="Q83">
        <f t="shared" si="1"/>
        <v>-7215</v>
      </c>
      <c r="R83">
        <f>_xlfn.XLOOKUP(E83,'Data Additive'!E:E,'Data Additive'!E:E,0)</f>
        <v>1246014170</v>
      </c>
    </row>
    <row r="84" spans="1:18" x14ac:dyDescent="0.25">
      <c r="A84">
        <v>183</v>
      </c>
      <c r="B84" t="s">
        <v>41</v>
      </c>
      <c r="C84" t="s">
        <v>42</v>
      </c>
      <c r="D84" s="34">
        <v>2487.06</v>
      </c>
      <c r="E84">
        <v>1246137877</v>
      </c>
      <c r="F84" s="30">
        <v>49673</v>
      </c>
      <c r="G84" s="30"/>
      <c r="H84" t="s">
        <v>28</v>
      </c>
      <c r="I84" t="s">
        <v>29</v>
      </c>
      <c r="J84">
        <v>8361</v>
      </c>
      <c r="K84" s="30">
        <v>43384</v>
      </c>
      <c r="L84">
        <v>1010100</v>
      </c>
      <c r="M84" t="s">
        <v>35</v>
      </c>
      <c r="N84">
        <v>161</v>
      </c>
      <c r="O84" t="s">
        <v>161</v>
      </c>
      <c r="P84" t="s">
        <v>530</v>
      </c>
      <c r="Q84">
        <f t="shared" si="1"/>
        <v>-3562</v>
      </c>
      <c r="R84">
        <f>_xlfn.XLOOKUP(E84,'Data Additive'!E:E,'Data Additive'!E:E,0)</f>
        <v>1246137877</v>
      </c>
    </row>
    <row r="85" spans="1:18" x14ac:dyDescent="0.25">
      <c r="A85">
        <v>183</v>
      </c>
      <c r="B85" t="s">
        <v>41</v>
      </c>
      <c r="C85" t="s">
        <v>42</v>
      </c>
      <c r="D85" s="34">
        <v>2151.75</v>
      </c>
      <c r="E85">
        <v>1246265345</v>
      </c>
      <c r="F85" s="30">
        <v>47482</v>
      </c>
      <c r="G85" s="30"/>
      <c r="H85" t="s">
        <v>28</v>
      </c>
      <c r="I85" t="s">
        <v>29</v>
      </c>
      <c r="J85">
        <v>8361</v>
      </c>
      <c r="K85" s="30">
        <v>43384</v>
      </c>
      <c r="L85">
        <v>1010100</v>
      </c>
      <c r="M85" t="s">
        <v>35</v>
      </c>
      <c r="N85">
        <v>161</v>
      </c>
      <c r="O85" t="s">
        <v>161</v>
      </c>
      <c r="P85" t="s">
        <v>530</v>
      </c>
      <c r="Q85">
        <f t="shared" si="1"/>
        <v>-1371</v>
      </c>
      <c r="R85">
        <f>_xlfn.XLOOKUP(E85,'Data Additive'!E:E,'Data Additive'!E:E,0)</f>
        <v>1246265345</v>
      </c>
    </row>
    <row r="86" spans="1:18" x14ac:dyDescent="0.25">
      <c r="A86">
        <v>183</v>
      </c>
      <c r="B86" t="s">
        <v>41</v>
      </c>
      <c r="C86" t="s">
        <v>42</v>
      </c>
      <c r="D86" s="34">
        <v>2104.2399999999998</v>
      </c>
      <c r="E86">
        <v>1246233818</v>
      </c>
      <c r="F86" s="30">
        <v>51134</v>
      </c>
      <c r="G86" s="30"/>
      <c r="H86" t="s">
        <v>28</v>
      </c>
      <c r="I86" t="s">
        <v>29</v>
      </c>
      <c r="J86">
        <v>8361</v>
      </c>
      <c r="K86" s="30">
        <v>43384</v>
      </c>
      <c r="L86">
        <v>1010100</v>
      </c>
      <c r="M86" t="s">
        <v>35</v>
      </c>
      <c r="N86">
        <v>161</v>
      </c>
      <c r="O86" t="s">
        <v>161</v>
      </c>
      <c r="P86" t="s">
        <v>530</v>
      </c>
      <c r="Q86">
        <f t="shared" si="1"/>
        <v>-5023</v>
      </c>
      <c r="R86">
        <f>_xlfn.XLOOKUP(E86,'Data Additive'!E:E,'Data Additive'!E:E,0)</f>
        <v>1246233818</v>
      </c>
    </row>
    <row r="87" spans="1:18" x14ac:dyDescent="0.25">
      <c r="A87">
        <v>1792</v>
      </c>
      <c r="B87" t="s">
        <v>829</v>
      </c>
      <c r="C87" t="s">
        <v>73</v>
      </c>
      <c r="D87" s="34">
        <v>118553.1</v>
      </c>
      <c r="E87">
        <v>1246265418</v>
      </c>
      <c r="F87" s="30">
        <v>46169</v>
      </c>
      <c r="G87" s="30"/>
      <c r="H87" t="s">
        <v>28</v>
      </c>
      <c r="I87" t="s">
        <v>29</v>
      </c>
      <c r="J87">
        <v>10776</v>
      </c>
      <c r="K87" s="30">
        <v>46079</v>
      </c>
      <c r="L87">
        <v>1010100</v>
      </c>
      <c r="M87" t="s">
        <v>35</v>
      </c>
      <c r="N87">
        <v>161</v>
      </c>
      <c r="O87" t="s">
        <v>161</v>
      </c>
      <c r="P87" t="s">
        <v>531</v>
      </c>
      <c r="Q87">
        <f t="shared" si="1"/>
        <v>-58</v>
      </c>
      <c r="R87">
        <f>_xlfn.XLOOKUP(E87,'Data Additive'!E:E,'Data Additive'!E:E,0)</f>
        <v>1246265418</v>
      </c>
    </row>
    <row r="88" spans="1:18" x14ac:dyDescent="0.25">
      <c r="A88">
        <v>1792</v>
      </c>
      <c r="B88" t="s">
        <v>829</v>
      </c>
      <c r="C88" t="s">
        <v>73</v>
      </c>
      <c r="D88" s="34">
        <v>116343</v>
      </c>
      <c r="E88">
        <v>1246267070</v>
      </c>
      <c r="F88" s="30">
        <v>46180</v>
      </c>
      <c r="G88" s="30"/>
      <c r="H88" t="s">
        <v>28</v>
      </c>
      <c r="I88" t="s">
        <v>29</v>
      </c>
      <c r="J88">
        <v>10846</v>
      </c>
      <c r="K88" s="30">
        <v>46090</v>
      </c>
      <c r="L88">
        <v>1010100</v>
      </c>
      <c r="M88" t="s">
        <v>35</v>
      </c>
      <c r="N88">
        <v>161</v>
      </c>
      <c r="O88" t="s">
        <v>161</v>
      </c>
      <c r="P88" t="s">
        <v>531</v>
      </c>
      <c r="Q88">
        <f t="shared" si="1"/>
        <v>-69</v>
      </c>
      <c r="R88">
        <f>_xlfn.XLOOKUP(E88,'Data Additive'!E:E,'Data Additive'!E:E,0)</f>
        <v>1246267070</v>
      </c>
    </row>
    <row r="89" spans="1:18" x14ac:dyDescent="0.25">
      <c r="A89">
        <v>1792</v>
      </c>
      <c r="B89" t="s">
        <v>829</v>
      </c>
      <c r="C89" t="s">
        <v>73</v>
      </c>
      <c r="D89" s="34">
        <v>116718.3</v>
      </c>
      <c r="E89">
        <v>1246263483</v>
      </c>
      <c r="F89" s="30">
        <v>46155</v>
      </c>
      <c r="G89" s="30"/>
      <c r="H89" t="s">
        <v>28</v>
      </c>
      <c r="I89" t="s">
        <v>29</v>
      </c>
      <c r="J89">
        <v>10682</v>
      </c>
      <c r="K89" s="30">
        <v>46065</v>
      </c>
      <c r="L89">
        <v>1010100</v>
      </c>
      <c r="M89" t="s">
        <v>35</v>
      </c>
      <c r="N89">
        <v>161</v>
      </c>
      <c r="O89" t="s">
        <v>161</v>
      </c>
      <c r="P89" t="s">
        <v>531</v>
      </c>
      <c r="Q89">
        <f t="shared" si="1"/>
        <v>-44</v>
      </c>
      <c r="R89">
        <f>_xlfn.XLOOKUP(E89,'Data Additive'!E:E,'Data Additive'!E:E,0)</f>
        <v>1246263483</v>
      </c>
    </row>
    <row r="90" spans="1:18" x14ac:dyDescent="0.25">
      <c r="A90">
        <v>1792</v>
      </c>
      <c r="B90" t="s">
        <v>829</v>
      </c>
      <c r="C90" t="s">
        <v>73</v>
      </c>
      <c r="D90" s="34">
        <v>118845</v>
      </c>
      <c r="E90">
        <v>1246269004</v>
      </c>
      <c r="F90" s="30">
        <v>46196</v>
      </c>
      <c r="G90" s="30"/>
      <c r="H90" t="s">
        <v>28</v>
      </c>
      <c r="I90" t="s">
        <v>29</v>
      </c>
      <c r="J90">
        <v>10975</v>
      </c>
      <c r="K90" s="30">
        <v>46106</v>
      </c>
      <c r="L90">
        <v>1010100</v>
      </c>
      <c r="M90" t="s">
        <v>35</v>
      </c>
      <c r="N90">
        <v>161</v>
      </c>
      <c r="O90" t="s">
        <v>161</v>
      </c>
      <c r="P90" t="s">
        <v>531</v>
      </c>
      <c r="Q90">
        <f t="shared" si="1"/>
        <v>-85</v>
      </c>
      <c r="R90">
        <f>_xlfn.XLOOKUP(E90,'Data Additive'!E:E,'Data Additive'!E:E,0)</f>
        <v>1246269004</v>
      </c>
    </row>
    <row r="91" spans="1:18" x14ac:dyDescent="0.25">
      <c r="A91">
        <v>1792</v>
      </c>
      <c r="B91" t="s">
        <v>829</v>
      </c>
      <c r="C91" t="s">
        <v>73</v>
      </c>
      <c r="D91" s="34">
        <v>118302.9</v>
      </c>
      <c r="E91">
        <v>1246266107</v>
      </c>
      <c r="F91" s="30">
        <v>46174</v>
      </c>
      <c r="G91" s="30"/>
      <c r="H91" t="s">
        <v>28</v>
      </c>
      <c r="I91" t="s">
        <v>29</v>
      </c>
      <c r="J91">
        <v>10803</v>
      </c>
      <c r="K91" s="30">
        <v>46084</v>
      </c>
      <c r="L91">
        <v>1010100</v>
      </c>
      <c r="M91" t="s">
        <v>35</v>
      </c>
      <c r="N91">
        <v>161</v>
      </c>
      <c r="O91" t="s">
        <v>161</v>
      </c>
      <c r="P91" t="s">
        <v>531</v>
      </c>
      <c r="Q91">
        <f t="shared" si="1"/>
        <v>-63</v>
      </c>
      <c r="R91">
        <f>_xlfn.XLOOKUP(E91,'Data Additive'!E:E,'Data Additive'!E:E,0)</f>
        <v>1246266107</v>
      </c>
    </row>
    <row r="92" spans="1:18" x14ac:dyDescent="0.25">
      <c r="A92">
        <v>1792</v>
      </c>
      <c r="B92" t="s">
        <v>829</v>
      </c>
      <c r="C92" t="s">
        <v>73</v>
      </c>
      <c r="D92" s="34">
        <v>116343</v>
      </c>
      <c r="E92">
        <v>1246268258</v>
      </c>
      <c r="F92" s="30">
        <v>46189</v>
      </c>
      <c r="G92" s="30"/>
      <c r="H92" t="s">
        <v>28</v>
      </c>
      <c r="I92" t="s">
        <v>29</v>
      </c>
      <c r="J92">
        <v>10918</v>
      </c>
      <c r="K92" s="30">
        <v>46099</v>
      </c>
      <c r="L92">
        <v>1010100</v>
      </c>
      <c r="M92" t="s">
        <v>35</v>
      </c>
      <c r="N92">
        <v>161</v>
      </c>
      <c r="O92" t="s">
        <v>161</v>
      </c>
      <c r="P92" t="s">
        <v>531</v>
      </c>
      <c r="Q92">
        <f t="shared" si="1"/>
        <v>-78</v>
      </c>
      <c r="R92">
        <f>_xlfn.XLOOKUP(E92,'Data Additive'!E:E,'Data Additive'!E:E,0)</f>
        <v>1246268258</v>
      </c>
    </row>
    <row r="93" spans="1:18" x14ac:dyDescent="0.25">
      <c r="A93">
        <v>1792</v>
      </c>
      <c r="B93" t="s">
        <v>829</v>
      </c>
      <c r="C93" t="s">
        <v>73</v>
      </c>
      <c r="D93" s="34">
        <v>115634.1</v>
      </c>
      <c r="E93">
        <v>1246263885</v>
      </c>
      <c r="F93" s="30">
        <v>46161</v>
      </c>
      <c r="G93" s="30"/>
      <c r="H93" t="s">
        <v>28</v>
      </c>
      <c r="I93" t="s">
        <v>29</v>
      </c>
      <c r="J93">
        <v>10708</v>
      </c>
      <c r="K93" s="30">
        <v>46071</v>
      </c>
      <c r="L93">
        <v>1010100</v>
      </c>
      <c r="M93" t="s">
        <v>35</v>
      </c>
      <c r="N93">
        <v>161</v>
      </c>
      <c r="O93" t="s">
        <v>161</v>
      </c>
      <c r="P93" t="s">
        <v>531</v>
      </c>
      <c r="Q93">
        <f t="shared" si="1"/>
        <v>-50</v>
      </c>
      <c r="R93">
        <f>_xlfn.XLOOKUP(E93,'Data Additive'!E:E,'Data Additive'!E:E,0)</f>
        <v>1246263885</v>
      </c>
    </row>
    <row r="94" spans="1:18" x14ac:dyDescent="0.25">
      <c r="A94">
        <v>1792</v>
      </c>
      <c r="B94" t="s">
        <v>829</v>
      </c>
      <c r="C94" t="s">
        <v>73</v>
      </c>
      <c r="D94" s="34">
        <v>117051.9</v>
      </c>
      <c r="E94">
        <v>1246269741</v>
      </c>
      <c r="F94" s="30">
        <v>46202</v>
      </c>
      <c r="G94" s="30"/>
      <c r="H94" t="s">
        <v>28</v>
      </c>
      <c r="I94" t="s">
        <v>29</v>
      </c>
      <c r="J94">
        <v>11015</v>
      </c>
      <c r="K94" s="30">
        <v>46112</v>
      </c>
      <c r="L94">
        <v>1010100</v>
      </c>
      <c r="M94" t="s">
        <v>35</v>
      </c>
      <c r="N94">
        <v>161</v>
      </c>
      <c r="O94" t="s">
        <v>161</v>
      </c>
      <c r="P94" t="s">
        <v>531</v>
      </c>
      <c r="Q94">
        <f t="shared" si="1"/>
        <v>-91</v>
      </c>
      <c r="R94">
        <f>_xlfn.XLOOKUP(E94,'Data Additive'!E:E,'Data Additive'!E:E,0)</f>
        <v>1246269741</v>
      </c>
    </row>
    <row r="95" spans="1:18" x14ac:dyDescent="0.25">
      <c r="A95">
        <v>1792</v>
      </c>
      <c r="B95" t="s">
        <v>829</v>
      </c>
      <c r="C95" t="s">
        <v>73</v>
      </c>
      <c r="D95" s="34">
        <v>115509</v>
      </c>
      <c r="E95">
        <v>1246262616</v>
      </c>
      <c r="F95" s="30">
        <v>46149</v>
      </c>
      <c r="G95" s="30"/>
      <c r="H95" t="s">
        <v>28</v>
      </c>
      <c r="I95" t="s">
        <v>29</v>
      </c>
      <c r="J95">
        <v>10653</v>
      </c>
      <c r="K95" s="30">
        <v>46059</v>
      </c>
      <c r="L95">
        <v>1010100</v>
      </c>
      <c r="M95" t="s">
        <v>35</v>
      </c>
      <c r="N95">
        <v>161</v>
      </c>
      <c r="O95" t="s">
        <v>161</v>
      </c>
      <c r="P95" t="s">
        <v>531</v>
      </c>
      <c r="Q95">
        <f t="shared" si="1"/>
        <v>-38</v>
      </c>
      <c r="R95">
        <f>_xlfn.XLOOKUP(E95,'Data Additive'!E:E,'Data Additive'!E:E,0)</f>
        <v>1246262616</v>
      </c>
    </row>
    <row r="96" spans="1:18" x14ac:dyDescent="0.25">
      <c r="A96">
        <v>1792</v>
      </c>
      <c r="B96" t="s">
        <v>829</v>
      </c>
      <c r="C96" t="s">
        <v>73</v>
      </c>
      <c r="D96" s="34">
        <v>116092.8</v>
      </c>
      <c r="E96">
        <v>1246267659</v>
      </c>
      <c r="F96" s="30">
        <v>46184</v>
      </c>
      <c r="G96" s="30"/>
      <c r="H96" t="s">
        <v>28</v>
      </c>
      <c r="I96" t="s">
        <v>29</v>
      </c>
      <c r="J96">
        <v>10876</v>
      </c>
      <c r="K96" s="30">
        <v>46094</v>
      </c>
      <c r="L96">
        <v>1010100</v>
      </c>
      <c r="M96" t="s">
        <v>35</v>
      </c>
      <c r="N96">
        <v>161</v>
      </c>
      <c r="O96" t="s">
        <v>161</v>
      </c>
      <c r="P96" t="s">
        <v>531</v>
      </c>
      <c r="Q96">
        <f t="shared" si="1"/>
        <v>-73</v>
      </c>
      <c r="R96">
        <f>_xlfn.XLOOKUP(E96,'Data Additive'!E:E,'Data Additive'!E:E,0)</f>
        <v>1246267659</v>
      </c>
    </row>
    <row r="97" spans="1:18" x14ac:dyDescent="0.25">
      <c r="A97">
        <v>201</v>
      </c>
      <c r="B97" t="s">
        <v>322</v>
      </c>
      <c r="C97" t="s">
        <v>910</v>
      </c>
      <c r="D97" s="34">
        <v>150024</v>
      </c>
      <c r="E97">
        <v>1246269649</v>
      </c>
      <c r="F97" s="30">
        <v>46139</v>
      </c>
      <c r="G97" s="30"/>
      <c r="H97" t="s">
        <v>28</v>
      </c>
      <c r="I97" t="s">
        <v>29</v>
      </c>
      <c r="J97">
        <v>11010</v>
      </c>
      <c r="K97" s="30">
        <v>46111</v>
      </c>
      <c r="L97">
        <v>1010100</v>
      </c>
      <c r="M97" t="s">
        <v>35</v>
      </c>
      <c r="N97">
        <v>161</v>
      </c>
      <c r="O97" t="s">
        <v>161</v>
      </c>
      <c r="P97" t="s">
        <v>430</v>
      </c>
      <c r="Q97">
        <f t="shared" si="1"/>
        <v>-28</v>
      </c>
      <c r="R97">
        <f>_xlfn.XLOOKUP(E97,'Data Additive'!E:E,'Data Additive'!E:E,0)</f>
        <v>1246269649</v>
      </c>
    </row>
    <row r="98" spans="1:18" x14ac:dyDescent="0.25">
      <c r="A98">
        <v>201</v>
      </c>
      <c r="B98" t="s">
        <v>322</v>
      </c>
      <c r="C98" t="s">
        <v>910</v>
      </c>
      <c r="D98" s="34">
        <v>185040</v>
      </c>
      <c r="E98">
        <v>1246269651</v>
      </c>
      <c r="F98" s="30">
        <v>46139</v>
      </c>
      <c r="G98" s="30"/>
      <c r="H98" t="s">
        <v>28</v>
      </c>
      <c r="I98" t="s">
        <v>29</v>
      </c>
      <c r="J98">
        <v>2855</v>
      </c>
      <c r="K98" s="30">
        <v>46111</v>
      </c>
      <c r="L98">
        <v>1010100</v>
      </c>
      <c r="M98" t="s">
        <v>35</v>
      </c>
      <c r="N98">
        <v>161</v>
      </c>
      <c r="O98" t="s">
        <v>161</v>
      </c>
      <c r="P98" t="s">
        <v>430</v>
      </c>
      <c r="Q98">
        <f t="shared" si="1"/>
        <v>-28</v>
      </c>
      <c r="R98">
        <f>_xlfn.XLOOKUP(E98,'Data Additive'!E:E,'Data Additive'!E:E,0)</f>
        <v>1246269651</v>
      </c>
    </row>
    <row r="99" spans="1:18" x14ac:dyDescent="0.25">
      <c r="A99">
        <v>201</v>
      </c>
      <c r="B99" t="s">
        <v>322</v>
      </c>
      <c r="C99" t="s">
        <v>910</v>
      </c>
      <c r="D99" s="34">
        <v>185040</v>
      </c>
      <c r="E99">
        <v>1246269671</v>
      </c>
      <c r="F99" s="30">
        <v>46231</v>
      </c>
      <c r="G99" s="30"/>
      <c r="H99" t="s">
        <v>28</v>
      </c>
      <c r="I99" t="s">
        <v>29</v>
      </c>
      <c r="J99">
        <v>2855</v>
      </c>
      <c r="K99" s="30">
        <v>46111</v>
      </c>
      <c r="L99">
        <v>1010100</v>
      </c>
      <c r="M99" t="s">
        <v>35</v>
      </c>
      <c r="N99">
        <v>161</v>
      </c>
      <c r="O99" t="s">
        <v>161</v>
      </c>
      <c r="P99" t="s">
        <v>430</v>
      </c>
      <c r="Q99">
        <f t="shared" si="1"/>
        <v>-120</v>
      </c>
      <c r="R99">
        <f>_xlfn.XLOOKUP(E99,'Data Additive'!E:E,'Data Additive'!E:E,0)</f>
        <v>1246269671</v>
      </c>
    </row>
    <row r="100" spans="1:18" x14ac:dyDescent="0.25">
      <c r="A100">
        <v>903</v>
      </c>
      <c r="B100" t="s">
        <v>57</v>
      </c>
      <c r="C100" t="s">
        <v>58</v>
      </c>
      <c r="D100" s="34">
        <v>134864.94</v>
      </c>
      <c r="E100">
        <v>1246265910</v>
      </c>
      <c r="F100" s="30">
        <v>46123</v>
      </c>
      <c r="G100" s="30"/>
      <c r="H100" t="s">
        <v>28</v>
      </c>
      <c r="I100" t="s">
        <v>29</v>
      </c>
      <c r="J100">
        <v>10792</v>
      </c>
      <c r="K100" s="30">
        <v>46083</v>
      </c>
      <c r="L100">
        <v>1010100</v>
      </c>
      <c r="M100" t="s">
        <v>35</v>
      </c>
      <c r="N100">
        <v>161</v>
      </c>
      <c r="O100" t="s">
        <v>161</v>
      </c>
      <c r="P100" t="s">
        <v>420</v>
      </c>
      <c r="Q100">
        <f t="shared" si="1"/>
        <v>-12</v>
      </c>
      <c r="R100">
        <f>_xlfn.XLOOKUP(E100,'Data Additive'!E:E,'Data Additive'!E:E,0)</f>
        <v>1246265910</v>
      </c>
    </row>
    <row r="101" spans="1:18" x14ac:dyDescent="0.25">
      <c r="A101">
        <v>903</v>
      </c>
      <c r="B101" t="s">
        <v>57</v>
      </c>
      <c r="C101" t="s">
        <v>58</v>
      </c>
      <c r="D101" s="34">
        <v>134414.79</v>
      </c>
      <c r="E101">
        <v>1246264770</v>
      </c>
      <c r="F101" s="30">
        <v>46117</v>
      </c>
      <c r="G101" s="30"/>
      <c r="H101" t="s">
        <v>28</v>
      </c>
      <c r="I101" t="s">
        <v>29</v>
      </c>
      <c r="J101">
        <v>10755</v>
      </c>
      <c r="K101" s="30">
        <v>46077</v>
      </c>
      <c r="L101">
        <v>1010100</v>
      </c>
      <c r="M101" t="s">
        <v>35</v>
      </c>
      <c r="N101">
        <v>161</v>
      </c>
      <c r="O101" t="s">
        <v>161</v>
      </c>
      <c r="P101" t="s">
        <v>420</v>
      </c>
      <c r="Q101">
        <f t="shared" si="1"/>
        <v>-6</v>
      </c>
      <c r="R101">
        <f>_xlfn.XLOOKUP(E101,'Data Additive'!E:E,'Data Additive'!E:E,0)</f>
        <v>1246264770</v>
      </c>
    </row>
    <row r="102" spans="1:18" x14ac:dyDescent="0.25">
      <c r="A102">
        <v>903</v>
      </c>
      <c r="B102" t="s">
        <v>57</v>
      </c>
      <c r="C102" t="s">
        <v>58</v>
      </c>
      <c r="D102" s="34">
        <v>134864.94</v>
      </c>
      <c r="E102">
        <v>1246269425</v>
      </c>
      <c r="F102" s="30">
        <v>46148</v>
      </c>
      <c r="G102" s="30"/>
      <c r="H102" t="s">
        <v>28</v>
      </c>
      <c r="I102" t="s">
        <v>29</v>
      </c>
      <c r="J102">
        <v>10990</v>
      </c>
      <c r="K102" s="30">
        <v>46108</v>
      </c>
      <c r="L102">
        <v>1010100</v>
      </c>
      <c r="M102" t="s">
        <v>35</v>
      </c>
      <c r="N102">
        <v>161</v>
      </c>
      <c r="O102" t="s">
        <v>161</v>
      </c>
      <c r="P102" t="s">
        <v>420</v>
      </c>
      <c r="Q102">
        <f t="shared" si="1"/>
        <v>-37</v>
      </c>
      <c r="R102">
        <f>_xlfn.XLOOKUP(E102,'Data Additive'!E:E,'Data Additive'!E:E,0)</f>
        <v>1246269425</v>
      </c>
    </row>
    <row r="103" spans="1:18" x14ac:dyDescent="0.25">
      <c r="A103">
        <v>903</v>
      </c>
      <c r="B103" t="s">
        <v>57</v>
      </c>
      <c r="C103" t="s">
        <v>58</v>
      </c>
      <c r="D103" s="34">
        <v>134324.76</v>
      </c>
      <c r="E103">
        <v>1246266872</v>
      </c>
      <c r="F103" s="30">
        <v>46127</v>
      </c>
      <c r="G103" s="30"/>
      <c r="H103" t="s">
        <v>28</v>
      </c>
      <c r="I103" t="s">
        <v>29</v>
      </c>
      <c r="J103">
        <v>10830</v>
      </c>
      <c r="K103" s="30">
        <v>46087</v>
      </c>
      <c r="L103">
        <v>1010100</v>
      </c>
      <c r="M103" t="s">
        <v>35</v>
      </c>
      <c r="N103">
        <v>161</v>
      </c>
      <c r="O103" t="s">
        <v>161</v>
      </c>
      <c r="P103" t="s">
        <v>420</v>
      </c>
      <c r="Q103">
        <f t="shared" si="1"/>
        <v>-16</v>
      </c>
      <c r="R103">
        <f>_xlfn.XLOOKUP(E103,'Data Additive'!E:E,'Data Additive'!E:E,0)</f>
        <v>1246266872</v>
      </c>
    </row>
    <row r="104" spans="1:18" x14ac:dyDescent="0.25">
      <c r="A104">
        <v>903</v>
      </c>
      <c r="B104" t="s">
        <v>57</v>
      </c>
      <c r="C104" t="s">
        <v>58</v>
      </c>
      <c r="D104" s="34">
        <v>135765.24</v>
      </c>
      <c r="E104">
        <v>1246267822</v>
      </c>
      <c r="F104" s="30">
        <v>46137</v>
      </c>
      <c r="G104" s="30"/>
      <c r="H104" t="s">
        <v>28</v>
      </c>
      <c r="I104" t="s">
        <v>29</v>
      </c>
      <c r="J104">
        <v>10890</v>
      </c>
      <c r="K104" s="30">
        <v>46097</v>
      </c>
      <c r="L104">
        <v>1010100</v>
      </c>
      <c r="M104" t="s">
        <v>35</v>
      </c>
      <c r="N104">
        <v>161</v>
      </c>
      <c r="O104" t="s">
        <v>161</v>
      </c>
      <c r="P104" t="s">
        <v>420</v>
      </c>
      <c r="Q104">
        <f t="shared" si="1"/>
        <v>-26</v>
      </c>
      <c r="R104">
        <f>_xlfn.XLOOKUP(E104,'Data Additive'!E:E,'Data Additive'!E:E,0)</f>
        <v>1246267822</v>
      </c>
    </row>
    <row r="105" spans="1:18" x14ac:dyDescent="0.25">
      <c r="A105">
        <v>903</v>
      </c>
      <c r="B105" t="s">
        <v>57</v>
      </c>
      <c r="C105" t="s">
        <v>58</v>
      </c>
      <c r="D105" s="34">
        <v>133334.43</v>
      </c>
      <c r="E105">
        <v>1246268951</v>
      </c>
      <c r="F105" s="30">
        <v>46146</v>
      </c>
      <c r="G105" s="30"/>
      <c r="H105" t="s">
        <v>28</v>
      </c>
      <c r="I105" t="s">
        <v>29</v>
      </c>
      <c r="J105">
        <v>10971</v>
      </c>
      <c r="K105" s="30">
        <v>46106</v>
      </c>
      <c r="L105">
        <v>1010100</v>
      </c>
      <c r="M105" t="s">
        <v>35</v>
      </c>
      <c r="N105">
        <v>161</v>
      </c>
      <c r="O105" t="s">
        <v>161</v>
      </c>
      <c r="P105" t="s">
        <v>420</v>
      </c>
      <c r="Q105">
        <f t="shared" si="1"/>
        <v>-35</v>
      </c>
      <c r="R105">
        <f>_xlfn.XLOOKUP(E105,'Data Additive'!E:E,'Data Additive'!E:E,0)</f>
        <v>1246268951</v>
      </c>
    </row>
    <row r="106" spans="1:18" x14ac:dyDescent="0.25">
      <c r="A106">
        <v>912</v>
      </c>
      <c r="B106" t="s">
        <v>245</v>
      </c>
      <c r="C106" t="s">
        <v>849</v>
      </c>
      <c r="D106" s="34">
        <v>99785</v>
      </c>
      <c r="E106">
        <v>1246264222</v>
      </c>
      <c r="F106" s="30">
        <v>46129</v>
      </c>
      <c r="G106" s="30"/>
      <c r="H106" t="s">
        <v>28</v>
      </c>
      <c r="I106" t="s">
        <v>29</v>
      </c>
      <c r="J106">
        <v>2756</v>
      </c>
      <c r="K106" s="30">
        <v>46073</v>
      </c>
      <c r="L106">
        <v>1010100</v>
      </c>
      <c r="M106" t="s">
        <v>35</v>
      </c>
      <c r="N106">
        <v>161</v>
      </c>
      <c r="O106" t="s">
        <v>161</v>
      </c>
      <c r="P106" t="s">
        <v>421</v>
      </c>
      <c r="Q106">
        <f t="shared" si="1"/>
        <v>-18</v>
      </c>
      <c r="R106">
        <f>_xlfn.XLOOKUP(E106,'Data Additive'!E:E,'Data Additive'!E:E,0)</f>
        <v>1246264222</v>
      </c>
    </row>
    <row r="107" spans="1:18" x14ac:dyDescent="0.25">
      <c r="A107">
        <v>729</v>
      </c>
      <c r="B107" t="s">
        <v>56</v>
      </c>
      <c r="C107" t="s">
        <v>874</v>
      </c>
      <c r="D107" s="34">
        <v>69184</v>
      </c>
      <c r="E107">
        <v>1246267218</v>
      </c>
      <c r="F107" s="30">
        <v>46121</v>
      </c>
      <c r="G107" s="30"/>
      <c r="H107" t="s">
        <v>28</v>
      </c>
      <c r="I107" t="s">
        <v>29</v>
      </c>
      <c r="J107">
        <v>10858</v>
      </c>
      <c r="K107" s="30">
        <v>46091</v>
      </c>
      <c r="L107">
        <v>1010100</v>
      </c>
      <c r="M107" t="s">
        <v>35</v>
      </c>
      <c r="N107">
        <v>161</v>
      </c>
      <c r="O107" t="s">
        <v>161</v>
      </c>
      <c r="P107" t="s">
        <v>532</v>
      </c>
      <c r="Q107">
        <f t="shared" si="1"/>
        <v>-10</v>
      </c>
      <c r="R107">
        <f>_xlfn.XLOOKUP(E107,'Data Additive'!E:E,'Data Additive'!E:E,0)</f>
        <v>1246267218</v>
      </c>
    </row>
    <row r="108" spans="1:18" x14ac:dyDescent="0.25">
      <c r="A108">
        <v>1159</v>
      </c>
      <c r="B108" t="s">
        <v>60</v>
      </c>
      <c r="C108" t="s">
        <v>61</v>
      </c>
      <c r="D108" s="34">
        <v>271560</v>
      </c>
      <c r="E108">
        <v>1246264420</v>
      </c>
      <c r="F108" s="30">
        <v>46113</v>
      </c>
      <c r="G108" s="30">
        <v>46113</v>
      </c>
      <c r="H108" t="s">
        <v>28</v>
      </c>
      <c r="I108" t="s">
        <v>29</v>
      </c>
      <c r="J108">
        <v>10736</v>
      </c>
      <c r="K108" s="30">
        <v>46073</v>
      </c>
      <c r="L108">
        <v>1010100</v>
      </c>
      <c r="M108" t="s">
        <v>35</v>
      </c>
      <c r="N108">
        <v>161</v>
      </c>
      <c r="O108" t="s">
        <v>161</v>
      </c>
      <c r="P108" t="s">
        <v>420</v>
      </c>
      <c r="Q108">
        <f t="shared" si="1"/>
        <v>-2</v>
      </c>
      <c r="R108">
        <f>_xlfn.XLOOKUP(E108,'Data Additive'!E:E,'Data Additive'!E:E,0)</f>
        <v>1246264420</v>
      </c>
    </row>
    <row r="109" spans="1:18" x14ac:dyDescent="0.25">
      <c r="A109">
        <v>1159</v>
      </c>
      <c r="B109" t="s">
        <v>60</v>
      </c>
      <c r="C109" t="s">
        <v>61</v>
      </c>
      <c r="D109" s="34">
        <v>1800</v>
      </c>
      <c r="E109">
        <v>1246087936</v>
      </c>
      <c r="F109" s="30">
        <v>45112</v>
      </c>
      <c r="G109" s="30"/>
      <c r="H109" t="s">
        <v>28</v>
      </c>
      <c r="I109" t="s">
        <v>29</v>
      </c>
      <c r="J109">
        <v>1246087936</v>
      </c>
      <c r="K109" s="30">
        <v>45097</v>
      </c>
      <c r="L109">
        <v>3041000</v>
      </c>
      <c r="M109" t="s">
        <v>138</v>
      </c>
      <c r="N109">
        <v>46</v>
      </c>
      <c r="O109" t="s">
        <v>163</v>
      </c>
      <c r="P109" t="s">
        <v>420</v>
      </c>
      <c r="Q109">
        <f t="shared" si="1"/>
        <v>999</v>
      </c>
      <c r="R109">
        <f>_xlfn.XLOOKUP(E109,'Data Additive'!E:E,'Data Additive'!E:E,0)</f>
        <v>0</v>
      </c>
    </row>
    <row r="110" spans="1:18" x14ac:dyDescent="0.25">
      <c r="A110">
        <v>1159</v>
      </c>
      <c r="B110" t="s">
        <v>60</v>
      </c>
      <c r="C110" t="s">
        <v>61</v>
      </c>
      <c r="D110" s="34">
        <v>2700</v>
      </c>
      <c r="E110">
        <v>1246087941</v>
      </c>
      <c r="F110" s="30">
        <v>45112</v>
      </c>
      <c r="G110" s="30"/>
      <c r="H110" t="s">
        <v>28</v>
      </c>
      <c r="I110" t="s">
        <v>29</v>
      </c>
      <c r="J110">
        <v>1246087941</v>
      </c>
      <c r="K110" s="30">
        <v>45097</v>
      </c>
      <c r="L110">
        <v>3041000</v>
      </c>
      <c r="M110" t="s">
        <v>138</v>
      </c>
      <c r="N110">
        <v>46</v>
      </c>
      <c r="O110" t="s">
        <v>163</v>
      </c>
      <c r="P110" t="s">
        <v>420</v>
      </c>
      <c r="Q110">
        <f t="shared" si="1"/>
        <v>999</v>
      </c>
      <c r="R110">
        <f>_xlfn.XLOOKUP(E110,'Data Additive'!E:E,'Data Additive'!E:E,0)</f>
        <v>0</v>
      </c>
    </row>
    <row r="111" spans="1:18" x14ac:dyDescent="0.25">
      <c r="A111">
        <v>1159</v>
      </c>
      <c r="B111" t="s">
        <v>60</v>
      </c>
      <c r="C111" t="s">
        <v>61</v>
      </c>
      <c r="D111" s="34">
        <v>1800</v>
      </c>
      <c r="E111">
        <v>1246087939</v>
      </c>
      <c r="F111" s="30">
        <v>45112</v>
      </c>
      <c r="G111" s="30"/>
      <c r="H111" t="s">
        <v>28</v>
      </c>
      <c r="I111" t="s">
        <v>29</v>
      </c>
      <c r="J111">
        <v>1246087939</v>
      </c>
      <c r="K111" s="30">
        <v>45097</v>
      </c>
      <c r="L111">
        <v>3041000</v>
      </c>
      <c r="M111" t="s">
        <v>138</v>
      </c>
      <c r="N111">
        <v>46</v>
      </c>
      <c r="O111" t="s">
        <v>163</v>
      </c>
      <c r="P111" t="s">
        <v>420</v>
      </c>
      <c r="Q111">
        <f t="shared" si="1"/>
        <v>999</v>
      </c>
      <c r="R111">
        <f>_xlfn.XLOOKUP(E111,'Data Additive'!E:E,'Data Additive'!E:E,0)</f>
        <v>0</v>
      </c>
    </row>
    <row r="112" spans="1:18" x14ac:dyDescent="0.25">
      <c r="A112">
        <v>1159</v>
      </c>
      <c r="B112" t="s">
        <v>60</v>
      </c>
      <c r="C112" t="s">
        <v>61</v>
      </c>
      <c r="D112" s="34">
        <v>1800</v>
      </c>
      <c r="E112">
        <v>1246087937</v>
      </c>
      <c r="F112" s="30">
        <v>45112</v>
      </c>
      <c r="G112" s="30"/>
      <c r="H112" t="s">
        <v>28</v>
      </c>
      <c r="I112" t="s">
        <v>29</v>
      </c>
      <c r="J112">
        <v>1246087937</v>
      </c>
      <c r="K112" s="30">
        <v>45097</v>
      </c>
      <c r="L112">
        <v>3041000</v>
      </c>
      <c r="M112" t="s">
        <v>138</v>
      </c>
      <c r="N112">
        <v>46</v>
      </c>
      <c r="O112" t="s">
        <v>163</v>
      </c>
      <c r="P112" t="s">
        <v>420</v>
      </c>
      <c r="Q112">
        <f t="shared" si="1"/>
        <v>999</v>
      </c>
      <c r="R112">
        <f>_xlfn.XLOOKUP(E112,'Data Additive'!E:E,'Data Additive'!E:E,0)</f>
        <v>0</v>
      </c>
    </row>
    <row r="113" spans="1:18" x14ac:dyDescent="0.25">
      <c r="A113">
        <v>1159</v>
      </c>
      <c r="B113" t="s">
        <v>60</v>
      </c>
      <c r="C113" t="s">
        <v>61</v>
      </c>
      <c r="D113" s="34">
        <v>1800</v>
      </c>
      <c r="E113">
        <v>1246087943</v>
      </c>
      <c r="F113" s="30">
        <v>45112</v>
      </c>
      <c r="G113" s="30"/>
      <c r="H113" t="s">
        <v>28</v>
      </c>
      <c r="I113" t="s">
        <v>29</v>
      </c>
      <c r="J113">
        <v>1246087943</v>
      </c>
      <c r="K113" s="30">
        <v>45097</v>
      </c>
      <c r="L113">
        <v>3041000</v>
      </c>
      <c r="M113" t="s">
        <v>138</v>
      </c>
      <c r="N113">
        <v>46</v>
      </c>
      <c r="O113" t="s">
        <v>163</v>
      </c>
      <c r="P113" t="s">
        <v>420</v>
      </c>
      <c r="Q113">
        <f t="shared" si="1"/>
        <v>999</v>
      </c>
      <c r="R113">
        <f>_xlfn.XLOOKUP(E113,'Data Additive'!E:E,'Data Additive'!E:E,0)</f>
        <v>0</v>
      </c>
    </row>
    <row r="114" spans="1:18" x14ac:dyDescent="0.25">
      <c r="A114">
        <v>1159</v>
      </c>
      <c r="B114" t="s">
        <v>60</v>
      </c>
      <c r="C114" t="s">
        <v>61</v>
      </c>
      <c r="D114" s="34">
        <v>2700</v>
      </c>
      <c r="E114">
        <v>1246121301</v>
      </c>
      <c r="F114" s="30">
        <v>45297</v>
      </c>
      <c r="G114" s="30"/>
      <c r="H114" t="s">
        <v>28</v>
      </c>
      <c r="I114" t="s">
        <v>29</v>
      </c>
      <c r="J114">
        <v>1246121301</v>
      </c>
      <c r="K114" s="30">
        <v>45282</v>
      </c>
      <c r="L114">
        <v>3041000</v>
      </c>
      <c r="M114" t="s">
        <v>138</v>
      </c>
      <c r="N114">
        <v>46</v>
      </c>
      <c r="O114" t="s">
        <v>163</v>
      </c>
      <c r="P114" t="s">
        <v>420</v>
      </c>
      <c r="Q114">
        <f t="shared" si="1"/>
        <v>814</v>
      </c>
      <c r="R114">
        <f>_xlfn.XLOOKUP(E114,'Data Additive'!E:E,'Data Additive'!E:E,0)</f>
        <v>0</v>
      </c>
    </row>
    <row r="115" spans="1:18" x14ac:dyDescent="0.25">
      <c r="A115">
        <v>1159</v>
      </c>
      <c r="B115" t="s">
        <v>60</v>
      </c>
      <c r="C115" t="s">
        <v>61</v>
      </c>
      <c r="D115" s="34">
        <v>4800</v>
      </c>
      <c r="E115">
        <v>1246121285</v>
      </c>
      <c r="F115" s="30">
        <v>45297</v>
      </c>
      <c r="G115" s="30"/>
      <c r="H115" t="s">
        <v>28</v>
      </c>
      <c r="I115" t="s">
        <v>29</v>
      </c>
      <c r="J115">
        <v>1246121285</v>
      </c>
      <c r="K115" s="30">
        <v>45282</v>
      </c>
      <c r="L115">
        <v>3041000</v>
      </c>
      <c r="M115" t="s">
        <v>138</v>
      </c>
      <c r="N115">
        <v>46</v>
      </c>
      <c r="O115" t="s">
        <v>163</v>
      </c>
      <c r="P115" t="s">
        <v>420</v>
      </c>
      <c r="Q115">
        <f t="shared" si="1"/>
        <v>814</v>
      </c>
      <c r="R115">
        <f>_xlfn.XLOOKUP(E115,'Data Additive'!E:E,'Data Additive'!E:E,0)</f>
        <v>0</v>
      </c>
    </row>
    <row r="116" spans="1:18" x14ac:dyDescent="0.25">
      <c r="A116">
        <v>1159</v>
      </c>
      <c r="B116" t="s">
        <v>60</v>
      </c>
      <c r="C116" t="s">
        <v>61</v>
      </c>
      <c r="D116" s="34">
        <v>2700</v>
      </c>
      <c r="E116">
        <v>1246121300</v>
      </c>
      <c r="F116" s="30">
        <v>45297</v>
      </c>
      <c r="G116" s="30"/>
      <c r="H116" t="s">
        <v>28</v>
      </c>
      <c r="I116" t="s">
        <v>29</v>
      </c>
      <c r="J116">
        <v>1246121300</v>
      </c>
      <c r="K116" s="30">
        <v>45282</v>
      </c>
      <c r="L116">
        <v>3041000</v>
      </c>
      <c r="M116" t="s">
        <v>138</v>
      </c>
      <c r="N116">
        <v>46</v>
      </c>
      <c r="O116" t="s">
        <v>163</v>
      </c>
      <c r="P116" t="s">
        <v>420</v>
      </c>
      <c r="Q116">
        <f t="shared" si="1"/>
        <v>814</v>
      </c>
      <c r="R116">
        <f>_xlfn.XLOOKUP(E116,'Data Additive'!E:E,'Data Additive'!E:E,0)</f>
        <v>0</v>
      </c>
    </row>
    <row r="117" spans="1:18" x14ac:dyDescent="0.25">
      <c r="A117">
        <v>1159</v>
      </c>
      <c r="B117" t="s">
        <v>60</v>
      </c>
      <c r="C117" t="s">
        <v>61</v>
      </c>
      <c r="D117" s="34">
        <v>1800</v>
      </c>
      <c r="E117">
        <v>1246121298</v>
      </c>
      <c r="F117" s="30">
        <v>45297</v>
      </c>
      <c r="G117" s="30"/>
      <c r="H117" t="s">
        <v>28</v>
      </c>
      <c r="I117" t="s">
        <v>29</v>
      </c>
      <c r="J117">
        <v>1246121298</v>
      </c>
      <c r="K117" s="30">
        <v>45282</v>
      </c>
      <c r="L117">
        <v>3041000</v>
      </c>
      <c r="M117" t="s">
        <v>138</v>
      </c>
      <c r="N117">
        <v>46</v>
      </c>
      <c r="O117" t="s">
        <v>163</v>
      </c>
      <c r="P117" t="s">
        <v>420</v>
      </c>
      <c r="Q117">
        <f t="shared" ref="Q117:Q162" si="2">$R$1-F117</f>
        <v>814</v>
      </c>
      <c r="R117">
        <f>_xlfn.XLOOKUP(E117,'Data Additive'!E:E,'Data Additive'!E:E,0)</f>
        <v>0</v>
      </c>
    </row>
    <row r="118" spans="1:18" x14ac:dyDescent="0.25">
      <c r="A118">
        <v>1159</v>
      </c>
      <c r="B118" t="s">
        <v>60</v>
      </c>
      <c r="C118" t="s">
        <v>61</v>
      </c>
      <c r="D118" s="34">
        <v>2700</v>
      </c>
      <c r="E118">
        <v>1246121302</v>
      </c>
      <c r="F118" s="30">
        <v>45297</v>
      </c>
      <c r="G118" s="30"/>
      <c r="H118" t="s">
        <v>28</v>
      </c>
      <c r="I118" t="s">
        <v>29</v>
      </c>
      <c r="J118">
        <v>1246121302</v>
      </c>
      <c r="K118" s="30">
        <v>45282</v>
      </c>
      <c r="L118">
        <v>3041000</v>
      </c>
      <c r="M118" t="s">
        <v>138</v>
      </c>
      <c r="N118">
        <v>46</v>
      </c>
      <c r="O118" t="s">
        <v>163</v>
      </c>
      <c r="P118" t="s">
        <v>420</v>
      </c>
      <c r="Q118">
        <f t="shared" si="2"/>
        <v>814</v>
      </c>
      <c r="R118">
        <f>_xlfn.XLOOKUP(E118,'Data Additive'!E:E,'Data Additive'!E:E,0)</f>
        <v>0</v>
      </c>
    </row>
    <row r="119" spans="1:18" x14ac:dyDescent="0.25">
      <c r="A119">
        <v>1159</v>
      </c>
      <c r="B119" t="s">
        <v>60</v>
      </c>
      <c r="C119" t="s">
        <v>61</v>
      </c>
      <c r="D119" s="34">
        <v>1200</v>
      </c>
      <c r="E119">
        <v>1246121295</v>
      </c>
      <c r="F119" s="30">
        <v>45297</v>
      </c>
      <c r="G119" s="30"/>
      <c r="H119" t="s">
        <v>28</v>
      </c>
      <c r="I119" t="s">
        <v>29</v>
      </c>
      <c r="J119">
        <v>1246121295</v>
      </c>
      <c r="K119" s="30">
        <v>45282</v>
      </c>
      <c r="L119">
        <v>3041000</v>
      </c>
      <c r="M119" t="s">
        <v>138</v>
      </c>
      <c r="N119">
        <v>46</v>
      </c>
      <c r="O119" t="s">
        <v>163</v>
      </c>
      <c r="P119" t="s">
        <v>420</v>
      </c>
      <c r="Q119">
        <f t="shared" si="2"/>
        <v>814</v>
      </c>
      <c r="R119">
        <f>_xlfn.XLOOKUP(E119,'Data Additive'!E:E,'Data Additive'!E:E,0)</f>
        <v>0</v>
      </c>
    </row>
    <row r="120" spans="1:18" x14ac:dyDescent="0.25">
      <c r="A120">
        <v>1159</v>
      </c>
      <c r="B120" t="s">
        <v>60</v>
      </c>
      <c r="C120" t="s">
        <v>61</v>
      </c>
      <c r="D120" s="34">
        <v>2700</v>
      </c>
      <c r="E120">
        <v>1246121297</v>
      </c>
      <c r="F120" s="30">
        <v>45297</v>
      </c>
      <c r="G120" s="30"/>
      <c r="H120" t="s">
        <v>28</v>
      </c>
      <c r="I120" t="s">
        <v>29</v>
      </c>
      <c r="J120">
        <v>1246121297</v>
      </c>
      <c r="K120" s="30">
        <v>45282</v>
      </c>
      <c r="L120">
        <v>3041000</v>
      </c>
      <c r="M120" t="s">
        <v>138</v>
      </c>
      <c r="N120">
        <v>46</v>
      </c>
      <c r="O120" t="s">
        <v>163</v>
      </c>
      <c r="P120" t="s">
        <v>420</v>
      </c>
      <c r="Q120">
        <f t="shared" si="2"/>
        <v>814</v>
      </c>
      <c r="R120">
        <f>_xlfn.XLOOKUP(E120,'Data Additive'!E:E,'Data Additive'!E:E,0)</f>
        <v>0</v>
      </c>
    </row>
    <row r="121" spans="1:18" x14ac:dyDescent="0.25">
      <c r="A121">
        <v>1159</v>
      </c>
      <c r="B121" t="s">
        <v>60</v>
      </c>
      <c r="C121" t="s">
        <v>61</v>
      </c>
      <c r="D121" s="34">
        <v>6300</v>
      </c>
      <c r="E121">
        <v>1246121299</v>
      </c>
      <c r="F121" s="30">
        <v>45297</v>
      </c>
      <c r="G121" s="30"/>
      <c r="H121" t="s">
        <v>28</v>
      </c>
      <c r="I121" t="s">
        <v>29</v>
      </c>
      <c r="J121">
        <v>1246121299</v>
      </c>
      <c r="K121" s="30">
        <v>45282</v>
      </c>
      <c r="L121">
        <v>3041000</v>
      </c>
      <c r="M121" t="s">
        <v>138</v>
      </c>
      <c r="N121">
        <v>46</v>
      </c>
      <c r="O121" t="s">
        <v>163</v>
      </c>
      <c r="P121" t="s">
        <v>420</v>
      </c>
      <c r="Q121">
        <f t="shared" si="2"/>
        <v>814</v>
      </c>
      <c r="R121">
        <f>_xlfn.XLOOKUP(E121,'Data Additive'!E:E,'Data Additive'!E:E,0)</f>
        <v>0</v>
      </c>
    </row>
    <row r="122" spans="1:18" x14ac:dyDescent="0.25">
      <c r="A122">
        <v>1159</v>
      </c>
      <c r="B122" t="s">
        <v>60</v>
      </c>
      <c r="C122" t="s">
        <v>61</v>
      </c>
      <c r="D122" s="34">
        <v>3600</v>
      </c>
      <c r="E122">
        <v>1246121296</v>
      </c>
      <c r="F122" s="30">
        <v>45297</v>
      </c>
      <c r="G122" s="30"/>
      <c r="H122" t="s">
        <v>28</v>
      </c>
      <c r="I122" t="s">
        <v>29</v>
      </c>
      <c r="J122">
        <v>1246121296</v>
      </c>
      <c r="K122" s="30">
        <v>45282</v>
      </c>
      <c r="L122">
        <v>3041000</v>
      </c>
      <c r="M122" t="s">
        <v>138</v>
      </c>
      <c r="N122">
        <v>46</v>
      </c>
      <c r="O122" t="s">
        <v>163</v>
      </c>
      <c r="P122" t="s">
        <v>420</v>
      </c>
      <c r="Q122">
        <f t="shared" si="2"/>
        <v>814</v>
      </c>
      <c r="R122">
        <f>_xlfn.XLOOKUP(E122,'Data Additive'!E:E,'Data Additive'!E:E,0)</f>
        <v>0</v>
      </c>
    </row>
    <row r="123" spans="1:18" x14ac:dyDescent="0.25">
      <c r="A123">
        <v>1159</v>
      </c>
      <c r="B123" t="s">
        <v>60</v>
      </c>
      <c r="C123" t="s">
        <v>61</v>
      </c>
      <c r="D123" s="34">
        <v>1200</v>
      </c>
      <c r="E123">
        <v>1246135390</v>
      </c>
      <c r="F123" s="30">
        <v>45388</v>
      </c>
      <c r="G123" s="30"/>
      <c r="H123" t="s">
        <v>28</v>
      </c>
      <c r="I123" t="s">
        <v>29</v>
      </c>
      <c r="J123">
        <v>1246135390</v>
      </c>
      <c r="K123" s="30">
        <v>45373</v>
      </c>
      <c r="L123">
        <v>3041000</v>
      </c>
      <c r="M123" t="s">
        <v>138</v>
      </c>
      <c r="N123">
        <v>46</v>
      </c>
      <c r="O123" t="s">
        <v>163</v>
      </c>
      <c r="P123" t="s">
        <v>420</v>
      </c>
      <c r="Q123">
        <f t="shared" si="2"/>
        <v>723</v>
      </c>
      <c r="R123">
        <f>_xlfn.XLOOKUP(E123,'Data Additive'!E:E,'Data Additive'!E:E,0)</f>
        <v>0</v>
      </c>
    </row>
    <row r="124" spans="1:18" x14ac:dyDescent="0.25">
      <c r="A124">
        <v>1159</v>
      </c>
      <c r="B124" t="s">
        <v>60</v>
      </c>
      <c r="C124" t="s">
        <v>61</v>
      </c>
      <c r="D124" s="34">
        <v>1458</v>
      </c>
      <c r="E124">
        <v>1246148463</v>
      </c>
      <c r="F124" s="30">
        <v>45443</v>
      </c>
      <c r="G124" s="30"/>
      <c r="H124" t="s">
        <v>28</v>
      </c>
      <c r="I124" t="s">
        <v>29</v>
      </c>
      <c r="J124">
        <v>3446</v>
      </c>
      <c r="K124" s="30">
        <v>45415</v>
      </c>
      <c r="L124">
        <v>1010100</v>
      </c>
      <c r="M124" t="s">
        <v>35</v>
      </c>
      <c r="N124">
        <v>161</v>
      </c>
      <c r="O124" t="s">
        <v>161</v>
      </c>
      <c r="P124" t="s">
        <v>420</v>
      </c>
      <c r="Q124">
        <f t="shared" si="2"/>
        <v>668</v>
      </c>
      <c r="R124">
        <f>_xlfn.XLOOKUP(E124,'Data Additive'!E:E,'Data Additive'!E:E,0)</f>
        <v>1246148463</v>
      </c>
    </row>
    <row r="125" spans="1:18" x14ac:dyDescent="0.25">
      <c r="A125">
        <v>1159</v>
      </c>
      <c r="B125" t="s">
        <v>60</v>
      </c>
      <c r="C125" t="s">
        <v>61</v>
      </c>
      <c r="D125" s="34">
        <v>2400</v>
      </c>
      <c r="E125">
        <v>1246135388</v>
      </c>
      <c r="F125" s="30">
        <v>45388</v>
      </c>
      <c r="G125" s="30"/>
      <c r="H125" t="s">
        <v>28</v>
      </c>
      <c r="I125" t="s">
        <v>29</v>
      </c>
      <c r="J125">
        <v>1246135388</v>
      </c>
      <c r="K125" s="30">
        <v>45373</v>
      </c>
      <c r="L125">
        <v>3041000</v>
      </c>
      <c r="M125" t="s">
        <v>138</v>
      </c>
      <c r="N125">
        <v>46</v>
      </c>
      <c r="O125" t="s">
        <v>163</v>
      </c>
      <c r="P125" t="s">
        <v>420</v>
      </c>
      <c r="Q125">
        <f t="shared" si="2"/>
        <v>723</v>
      </c>
      <c r="R125">
        <f>_xlfn.XLOOKUP(E125,'Data Additive'!E:E,'Data Additive'!E:E,0)</f>
        <v>0</v>
      </c>
    </row>
    <row r="126" spans="1:18" x14ac:dyDescent="0.25">
      <c r="A126">
        <v>1159</v>
      </c>
      <c r="B126" t="s">
        <v>60</v>
      </c>
      <c r="C126" t="s">
        <v>61</v>
      </c>
      <c r="D126" s="34">
        <v>1200</v>
      </c>
      <c r="E126">
        <v>1246135385</v>
      </c>
      <c r="F126" s="30">
        <v>45388</v>
      </c>
      <c r="G126" s="30"/>
      <c r="H126" t="s">
        <v>28</v>
      </c>
      <c r="I126" t="s">
        <v>29</v>
      </c>
      <c r="J126">
        <v>1246135385</v>
      </c>
      <c r="K126" s="30">
        <v>45373</v>
      </c>
      <c r="L126">
        <v>3041000</v>
      </c>
      <c r="M126" t="s">
        <v>138</v>
      </c>
      <c r="N126">
        <v>46</v>
      </c>
      <c r="O126" t="s">
        <v>163</v>
      </c>
      <c r="P126" t="s">
        <v>420</v>
      </c>
      <c r="Q126">
        <f t="shared" si="2"/>
        <v>723</v>
      </c>
      <c r="R126">
        <f>_xlfn.XLOOKUP(E126,'Data Additive'!E:E,'Data Additive'!E:E,0)</f>
        <v>0</v>
      </c>
    </row>
    <row r="127" spans="1:18" x14ac:dyDescent="0.25">
      <c r="A127">
        <v>1159</v>
      </c>
      <c r="B127" t="s">
        <v>60</v>
      </c>
      <c r="C127" t="s">
        <v>61</v>
      </c>
      <c r="D127" s="34">
        <v>3600</v>
      </c>
      <c r="E127">
        <v>1246135391</v>
      </c>
      <c r="F127" s="30">
        <v>45388</v>
      </c>
      <c r="G127" s="30"/>
      <c r="H127" t="s">
        <v>28</v>
      </c>
      <c r="I127" t="s">
        <v>29</v>
      </c>
      <c r="J127">
        <v>1246135391</v>
      </c>
      <c r="K127" s="30">
        <v>45373</v>
      </c>
      <c r="L127">
        <v>3041000</v>
      </c>
      <c r="M127" t="s">
        <v>138</v>
      </c>
      <c r="N127">
        <v>46</v>
      </c>
      <c r="O127" t="s">
        <v>163</v>
      </c>
      <c r="P127" t="s">
        <v>420</v>
      </c>
      <c r="Q127">
        <f t="shared" si="2"/>
        <v>723</v>
      </c>
      <c r="R127">
        <f>_xlfn.XLOOKUP(E127,'Data Additive'!E:E,'Data Additive'!E:E,0)</f>
        <v>0</v>
      </c>
    </row>
    <row r="128" spans="1:18" x14ac:dyDescent="0.25">
      <c r="A128">
        <v>1159</v>
      </c>
      <c r="B128" t="s">
        <v>60</v>
      </c>
      <c r="C128" t="s">
        <v>61</v>
      </c>
      <c r="D128" s="34">
        <v>2400</v>
      </c>
      <c r="E128">
        <v>1246135382</v>
      </c>
      <c r="F128" s="30">
        <v>45388</v>
      </c>
      <c r="G128" s="30"/>
      <c r="H128" t="s">
        <v>28</v>
      </c>
      <c r="I128" t="s">
        <v>29</v>
      </c>
      <c r="J128">
        <v>1246135382</v>
      </c>
      <c r="K128" s="30">
        <v>45373</v>
      </c>
      <c r="L128">
        <v>3041000</v>
      </c>
      <c r="M128" t="s">
        <v>138</v>
      </c>
      <c r="N128">
        <v>46</v>
      </c>
      <c r="O128" t="s">
        <v>163</v>
      </c>
      <c r="P128" t="s">
        <v>420</v>
      </c>
      <c r="Q128">
        <f t="shared" si="2"/>
        <v>723</v>
      </c>
      <c r="R128">
        <f>_xlfn.XLOOKUP(E128,'Data Additive'!E:E,'Data Additive'!E:E,0)</f>
        <v>0</v>
      </c>
    </row>
    <row r="129" spans="1:18" x14ac:dyDescent="0.25">
      <c r="A129">
        <v>1159</v>
      </c>
      <c r="B129" t="s">
        <v>60</v>
      </c>
      <c r="C129" t="s">
        <v>61</v>
      </c>
      <c r="D129" s="34">
        <v>3600</v>
      </c>
      <c r="E129">
        <v>1246173258</v>
      </c>
      <c r="F129" s="30">
        <v>45575</v>
      </c>
      <c r="G129" s="30"/>
      <c r="H129" t="s">
        <v>28</v>
      </c>
      <c r="I129" t="s">
        <v>29</v>
      </c>
      <c r="J129">
        <v>1246173258</v>
      </c>
      <c r="K129" s="30">
        <v>45560</v>
      </c>
      <c r="L129">
        <v>3041000</v>
      </c>
      <c r="M129" t="s">
        <v>138</v>
      </c>
      <c r="N129">
        <v>46</v>
      </c>
      <c r="O129" t="s">
        <v>163</v>
      </c>
      <c r="P129" t="s">
        <v>420</v>
      </c>
      <c r="Q129">
        <f t="shared" si="2"/>
        <v>536</v>
      </c>
      <c r="R129">
        <f>_xlfn.XLOOKUP(E129,'Data Additive'!E:E,'Data Additive'!E:E,0)</f>
        <v>0</v>
      </c>
    </row>
    <row r="130" spans="1:18" x14ac:dyDescent="0.25">
      <c r="A130">
        <v>1159</v>
      </c>
      <c r="B130" t="s">
        <v>60</v>
      </c>
      <c r="C130" t="s">
        <v>61</v>
      </c>
      <c r="D130" s="34">
        <v>1200</v>
      </c>
      <c r="E130">
        <v>1246173256</v>
      </c>
      <c r="F130" s="30">
        <v>45575</v>
      </c>
      <c r="G130" s="30"/>
      <c r="H130" t="s">
        <v>28</v>
      </c>
      <c r="I130" t="s">
        <v>29</v>
      </c>
      <c r="J130">
        <v>1246173256</v>
      </c>
      <c r="K130" s="30">
        <v>45560</v>
      </c>
      <c r="L130">
        <v>3041000</v>
      </c>
      <c r="M130" t="s">
        <v>138</v>
      </c>
      <c r="N130">
        <v>46</v>
      </c>
      <c r="O130" t="s">
        <v>163</v>
      </c>
      <c r="P130" t="s">
        <v>420</v>
      </c>
      <c r="Q130">
        <f t="shared" si="2"/>
        <v>536</v>
      </c>
      <c r="R130">
        <f>_xlfn.XLOOKUP(E130,'Data Additive'!E:E,'Data Additive'!E:E,0)</f>
        <v>0</v>
      </c>
    </row>
    <row r="131" spans="1:18" x14ac:dyDescent="0.25">
      <c r="A131">
        <v>1159</v>
      </c>
      <c r="B131" t="s">
        <v>60</v>
      </c>
      <c r="C131" t="s">
        <v>61</v>
      </c>
      <c r="D131" s="34">
        <v>2400</v>
      </c>
      <c r="E131">
        <v>1246173253</v>
      </c>
      <c r="F131" s="30">
        <v>45575</v>
      </c>
      <c r="G131" s="30"/>
      <c r="H131" t="s">
        <v>28</v>
      </c>
      <c r="I131" t="s">
        <v>29</v>
      </c>
      <c r="J131">
        <v>1246173253</v>
      </c>
      <c r="K131" s="30">
        <v>45560</v>
      </c>
      <c r="L131">
        <v>3041000</v>
      </c>
      <c r="M131" t="s">
        <v>138</v>
      </c>
      <c r="N131">
        <v>46</v>
      </c>
      <c r="O131" t="s">
        <v>163</v>
      </c>
      <c r="P131" t="s">
        <v>420</v>
      </c>
      <c r="Q131">
        <f t="shared" si="2"/>
        <v>536</v>
      </c>
      <c r="R131">
        <f>_xlfn.XLOOKUP(E131,'Data Additive'!E:E,'Data Additive'!E:E,0)</f>
        <v>0</v>
      </c>
    </row>
    <row r="132" spans="1:18" x14ac:dyDescent="0.25">
      <c r="A132">
        <v>1159</v>
      </c>
      <c r="B132" t="s">
        <v>60</v>
      </c>
      <c r="C132" t="s">
        <v>61</v>
      </c>
      <c r="D132" s="34">
        <v>1200</v>
      </c>
      <c r="E132">
        <v>1246173257</v>
      </c>
      <c r="F132" s="30">
        <v>45575</v>
      </c>
      <c r="G132" s="30"/>
      <c r="H132" t="s">
        <v>28</v>
      </c>
      <c r="I132" t="s">
        <v>29</v>
      </c>
      <c r="J132">
        <v>1246173257</v>
      </c>
      <c r="K132" s="30">
        <v>45560</v>
      </c>
      <c r="L132">
        <v>3041000</v>
      </c>
      <c r="M132" t="s">
        <v>138</v>
      </c>
      <c r="N132">
        <v>46</v>
      </c>
      <c r="O132" t="s">
        <v>163</v>
      </c>
      <c r="P132" t="s">
        <v>420</v>
      </c>
      <c r="Q132">
        <f t="shared" si="2"/>
        <v>536</v>
      </c>
      <c r="R132">
        <f>_xlfn.XLOOKUP(E132,'Data Additive'!E:E,'Data Additive'!E:E,0)</f>
        <v>0</v>
      </c>
    </row>
    <row r="133" spans="1:18" x14ac:dyDescent="0.25">
      <c r="A133">
        <v>1159</v>
      </c>
      <c r="B133" t="s">
        <v>60</v>
      </c>
      <c r="C133" t="s">
        <v>61</v>
      </c>
      <c r="D133" s="34">
        <v>153659.6</v>
      </c>
      <c r="E133">
        <v>1246266347</v>
      </c>
      <c r="F133" s="30">
        <v>46125</v>
      </c>
      <c r="G133" s="30"/>
      <c r="H133" t="s">
        <v>28</v>
      </c>
      <c r="I133" t="s">
        <v>29</v>
      </c>
      <c r="J133">
        <v>10810</v>
      </c>
      <c r="K133" s="30">
        <v>46085</v>
      </c>
      <c r="L133">
        <v>1010100</v>
      </c>
      <c r="M133" t="s">
        <v>35</v>
      </c>
      <c r="N133">
        <v>161</v>
      </c>
      <c r="O133" t="s">
        <v>161</v>
      </c>
      <c r="P133" t="s">
        <v>420</v>
      </c>
      <c r="Q133">
        <f t="shared" si="2"/>
        <v>-14</v>
      </c>
      <c r="R133">
        <f>_xlfn.XLOOKUP(E133,'Data Additive'!E:E,'Data Additive'!E:E,0)</f>
        <v>1246266347</v>
      </c>
    </row>
    <row r="134" spans="1:18" x14ac:dyDescent="0.25">
      <c r="A134">
        <v>1159</v>
      </c>
      <c r="B134" t="s">
        <v>60</v>
      </c>
      <c r="C134" t="s">
        <v>61</v>
      </c>
      <c r="D134" s="34">
        <v>152155.1</v>
      </c>
      <c r="E134">
        <v>1246265729</v>
      </c>
      <c r="F134" s="30">
        <v>46120</v>
      </c>
      <c r="G134" s="30"/>
      <c r="H134" t="s">
        <v>28</v>
      </c>
      <c r="I134" t="s">
        <v>29</v>
      </c>
      <c r="J134">
        <v>10784</v>
      </c>
      <c r="K134" s="30">
        <v>46080</v>
      </c>
      <c r="L134">
        <v>1010100</v>
      </c>
      <c r="M134" t="s">
        <v>35</v>
      </c>
      <c r="N134">
        <v>161</v>
      </c>
      <c r="O134" t="s">
        <v>161</v>
      </c>
      <c r="P134" t="s">
        <v>420</v>
      </c>
      <c r="Q134">
        <f t="shared" si="2"/>
        <v>-9</v>
      </c>
      <c r="R134">
        <f>_xlfn.XLOOKUP(E134,'Data Additive'!E:E,'Data Additive'!E:E,0)</f>
        <v>1246265729</v>
      </c>
    </row>
    <row r="135" spans="1:18" x14ac:dyDescent="0.25">
      <c r="A135">
        <v>1159</v>
      </c>
      <c r="B135" t="s">
        <v>60</v>
      </c>
      <c r="C135" t="s">
        <v>61</v>
      </c>
      <c r="D135" s="34">
        <v>148143.1</v>
      </c>
      <c r="E135">
        <v>1246266884</v>
      </c>
      <c r="F135" s="30">
        <v>46127</v>
      </c>
      <c r="G135" s="30"/>
      <c r="H135" t="s">
        <v>28</v>
      </c>
      <c r="I135" t="s">
        <v>29</v>
      </c>
      <c r="J135">
        <v>10832</v>
      </c>
      <c r="K135" s="30">
        <v>46087</v>
      </c>
      <c r="L135">
        <v>1010100</v>
      </c>
      <c r="M135" t="s">
        <v>35</v>
      </c>
      <c r="N135">
        <v>161</v>
      </c>
      <c r="O135" t="s">
        <v>161</v>
      </c>
      <c r="P135" t="s">
        <v>420</v>
      </c>
      <c r="Q135">
        <f t="shared" si="2"/>
        <v>-16</v>
      </c>
      <c r="R135">
        <f>_xlfn.XLOOKUP(E135,'Data Additive'!E:E,'Data Additive'!E:E,0)</f>
        <v>1246266884</v>
      </c>
    </row>
    <row r="136" spans="1:18" x14ac:dyDescent="0.25">
      <c r="A136">
        <v>1159</v>
      </c>
      <c r="B136" t="s">
        <v>60</v>
      </c>
      <c r="C136" t="s">
        <v>61</v>
      </c>
      <c r="D136" s="34">
        <v>271741.03999999998</v>
      </c>
      <c r="E136">
        <v>1246269608</v>
      </c>
      <c r="F136" s="30">
        <v>46151</v>
      </c>
      <c r="G136" s="30"/>
      <c r="H136" t="s">
        <v>28</v>
      </c>
      <c r="I136" t="s">
        <v>29</v>
      </c>
      <c r="J136">
        <v>11006</v>
      </c>
      <c r="K136" s="30">
        <v>46111</v>
      </c>
      <c r="L136">
        <v>1010100</v>
      </c>
      <c r="M136" t="s">
        <v>35</v>
      </c>
      <c r="N136">
        <v>161</v>
      </c>
      <c r="O136" t="s">
        <v>161</v>
      </c>
      <c r="P136" t="s">
        <v>420</v>
      </c>
      <c r="Q136">
        <f t="shared" si="2"/>
        <v>-40</v>
      </c>
      <c r="R136">
        <f>_xlfn.XLOOKUP(E136,'Data Additive'!E:E,'Data Additive'!E:E,0)</f>
        <v>1246269608</v>
      </c>
    </row>
    <row r="137" spans="1:18" x14ac:dyDescent="0.25">
      <c r="A137">
        <v>1159</v>
      </c>
      <c r="B137" t="s">
        <v>60</v>
      </c>
      <c r="C137" t="s">
        <v>61</v>
      </c>
      <c r="D137" s="34">
        <v>151152.1</v>
      </c>
      <c r="E137">
        <v>1246267195</v>
      </c>
      <c r="F137" s="30">
        <v>46131</v>
      </c>
      <c r="G137" s="30"/>
      <c r="H137" t="s">
        <v>28</v>
      </c>
      <c r="I137" t="s">
        <v>29</v>
      </c>
      <c r="J137">
        <v>10855</v>
      </c>
      <c r="K137" s="30">
        <v>46091</v>
      </c>
      <c r="L137">
        <v>1010100</v>
      </c>
      <c r="M137" t="s">
        <v>35</v>
      </c>
      <c r="N137">
        <v>161</v>
      </c>
      <c r="O137" t="s">
        <v>161</v>
      </c>
      <c r="P137" t="s">
        <v>420</v>
      </c>
      <c r="Q137">
        <f t="shared" si="2"/>
        <v>-20</v>
      </c>
      <c r="R137">
        <f>_xlfn.XLOOKUP(E137,'Data Additive'!E:E,'Data Additive'!E:E,0)</f>
        <v>1246267195</v>
      </c>
    </row>
    <row r="138" spans="1:18" x14ac:dyDescent="0.25">
      <c r="A138">
        <v>1159</v>
      </c>
      <c r="B138" t="s">
        <v>60</v>
      </c>
      <c r="C138" t="s">
        <v>61</v>
      </c>
      <c r="D138" s="34">
        <v>272193.64</v>
      </c>
      <c r="E138">
        <v>1246269418</v>
      </c>
      <c r="F138" s="30">
        <v>46148</v>
      </c>
      <c r="G138" s="30"/>
      <c r="H138" t="s">
        <v>28</v>
      </c>
      <c r="I138" t="s">
        <v>29</v>
      </c>
      <c r="J138">
        <v>10988</v>
      </c>
      <c r="K138" s="30">
        <v>46108</v>
      </c>
      <c r="L138">
        <v>1010100</v>
      </c>
      <c r="M138" t="s">
        <v>35</v>
      </c>
      <c r="N138">
        <v>161</v>
      </c>
      <c r="O138" t="s">
        <v>161</v>
      </c>
      <c r="P138" t="s">
        <v>420</v>
      </c>
      <c r="Q138">
        <f t="shared" si="2"/>
        <v>-37</v>
      </c>
      <c r="R138">
        <f>_xlfn.XLOOKUP(E138,'Data Additive'!E:E,'Data Additive'!E:E,0)</f>
        <v>1246269418</v>
      </c>
    </row>
    <row r="139" spans="1:18" x14ac:dyDescent="0.25">
      <c r="A139">
        <v>1159</v>
      </c>
      <c r="B139" t="s">
        <v>60</v>
      </c>
      <c r="C139" t="s">
        <v>61</v>
      </c>
      <c r="D139" s="34">
        <v>149246.39999999999</v>
      </c>
      <c r="E139">
        <v>1246267833</v>
      </c>
      <c r="F139" s="30">
        <v>46137</v>
      </c>
      <c r="G139" s="30"/>
      <c r="H139" t="s">
        <v>28</v>
      </c>
      <c r="I139" t="s">
        <v>29</v>
      </c>
      <c r="J139">
        <v>10893</v>
      </c>
      <c r="K139" s="30">
        <v>46097</v>
      </c>
      <c r="L139">
        <v>1010100</v>
      </c>
      <c r="M139" t="s">
        <v>35</v>
      </c>
      <c r="N139">
        <v>161</v>
      </c>
      <c r="O139" t="s">
        <v>161</v>
      </c>
      <c r="P139" t="s">
        <v>420</v>
      </c>
      <c r="Q139">
        <f t="shared" si="2"/>
        <v>-26</v>
      </c>
      <c r="R139">
        <f>_xlfn.XLOOKUP(E139,'Data Additive'!E:E,'Data Additive'!E:E,0)</f>
        <v>1246267833</v>
      </c>
    </row>
    <row r="140" spans="1:18" x14ac:dyDescent="0.25">
      <c r="A140">
        <v>1159</v>
      </c>
      <c r="B140" t="s">
        <v>60</v>
      </c>
      <c r="C140" t="s">
        <v>61</v>
      </c>
      <c r="D140" s="34">
        <v>272465.2</v>
      </c>
      <c r="E140">
        <v>1246268414</v>
      </c>
      <c r="F140" s="30">
        <v>46140</v>
      </c>
      <c r="G140" s="30"/>
      <c r="H140" t="s">
        <v>28</v>
      </c>
      <c r="I140" t="s">
        <v>29</v>
      </c>
      <c r="J140">
        <v>10931</v>
      </c>
      <c r="K140" s="30">
        <v>46100</v>
      </c>
      <c r="L140">
        <v>1010100</v>
      </c>
      <c r="M140" t="s">
        <v>35</v>
      </c>
      <c r="N140">
        <v>161</v>
      </c>
      <c r="O140" t="s">
        <v>161</v>
      </c>
      <c r="P140" t="s">
        <v>420</v>
      </c>
      <c r="Q140">
        <f t="shared" si="2"/>
        <v>-29</v>
      </c>
      <c r="R140">
        <f>_xlfn.XLOOKUP(E140,'Data Additive'!E:E,'Data Additive'!E:E,0)</f>
        <v>1246268414</v>
      </c>
    </row>
    <row r="141" spans="1:18" x14ac:dyDescent="0.25">
      <c r="A141">
        <v>1159</v>
      </c>
      <c r="B141" t="s">
        <v>60</v>
      </c>
      <c r="C141" t="s">
        <v>61</v>
      </c>
      <c r="D141" s="34">
        <v>10800</v>
      </c>
      <c r="E141">
        <v>1246264138</v>
      </c>
      <c r="F141" s="30">
        <v>46087</v>
      </c>
      <c r="G141" s="30"/>
      <c r="H141" t="s">
        <v>28</v>
      </c>
      <c r="I141" t="s">
        <v>29</v>
      </c>
      <c r="J141">
        <v>1246264138</v>
      </c>
      <c r="K141" s="30">
        <v>46072</v>
      </c>
      <c r="L141">
        <v>3042200</v>
      </c>
      <c r="M141" t="s">
        <v>859</v>
      </c>
      <c r="N141">
        <v>46</v>
      </c>
      <c r="O141" t="s">
        <v>163</v>
      </c>
      <c r="P141" t="s">
        <v>420</v>
      </c>
      <c r="Q141">
        <f t="shared" si="2"/>
        <v>24</v>
      </c>
      <c r="R141">
        <f>_xlfn.XLOOKUP(E141,'Data Additive'!E:E,'Data Additive'!E:E,0)</f>
        <v>1246264138</v>
      </c>
    </row>
    <row r="142" spans="1:18" x14ac:dyDescent="0.25">
      <c r="A142">
        <v>1159</v>
      </c>
      <c r="B142" t="s">
        <v>60</v>
      </c>
      <c r="C142" t="s">
        <v>61</v>
      </c>
      <c r="D142" s="34">
        <v>150851.20000000001</v>
      </c>
      <c r="E142">
        <v>1246267633</v>
      </c>
      <c r="F142" s="30">
        <v>46134</v>
      </c>
      <c r="G142" s="30"/>
      <c r="H142" t="s">
        <v>28</v>
      </c>
      <c r="I142" t="s">
        <v>29</v>
      </c>
      <c r="J142">
        <v>10875</v>
      </c>
      <c r="K142" s="30">
        <v>46094</v>
      </c>
      <c r="L142">
        <v>1010100</v>
      </c>
      <c r="M142" t="s">
        <v>35</v>
      </c>
      <c r="N142">
        <v>161</v>
      </c>
      <c r="O142" t="s">
        <v>161</v>
      </c>
      <c r="P142" t="s">
        <v>420</v>
      </c>
      <c r="Q142">
        <f t="shared" si="2"/>
        <v>-23</v>
      </c>
      <c r="R142">
        <f>_xlfn.XLOOKUP(E142,'Data Additive'!E:E,'Data Additive'!E:E,0)</f>
        <v>1246267633</v>
      </c>
    </row>
    <row r="143" spans="1:18" x14ac:dyDescent="0.25">
      <c r="A143">
        <v>1159</v>
      </c>
      <c r="B143" t="s">
        <v>60</v>
      </c>
      <c r="C143" t="s">
        <v>61</v>
      </c>
      <c r="D143" s="34">
        <v>272555.71999999997</v>
      </c>
      <c r="E143">
        <v>1246268636</v>
      </c>
      <c r="F143" s="30">
        <v>46144</v>
      </c>
      <c r="G143" s="30"/>
      <c r="H143" t="s">
        <v>28</v>
      </c>
      <c r="I143" t="s">
        <v>29</v>
      </c>
      <c r="J143">
        <v>10958</v>
      </c>
      <c r="K143" s="30">
        <v>46104</v>
      </c>
      <c r="L143">
        <v>1010100</v>
      </c>
      <c r="M143" t="s">
        <v>35</v>
      </c>
      <c r="N143">
        <v>161</v>
      </c>
      <c r="O143" t="s">
        <v>161</v>
      </c>
      <c r="P143" t="s">
        <v>420</v>
      </c>
      <c r="Q143">
        <f t="shared" si="2"/>
        <v>-33</v>
      </c>
      <c r="R143">
        <f>_xlfn.XLOOKUP(E143,'Data Additive'!E:E,'Data Additive'!E:E,0)</f>
        <v>1246268636</v>
      </c>
    </row>
    <row r="144" spans="1:18" x14ac:dyDescent="0.25">
      <c r="A144">
        <v>452</v>
      </c>
      <c r="B144" t="s">
        <v>47</v>
      </c>
      <c r="C144" t="s">
        <v>48</v>
      </c>
      <c r="D144" s="34">
        <v>1800</v>
      </c>
      <c r="E144">
        <v>1246055195</v>
      </c>
      <c r="F144" s="30">
        <v>44902</v>
      </c>
      <c r="G144" s="30"/>
      <c r="H144" t="s">
        <v>28</v>
      </c>
      <c r="I144" t="s">
        <v>29</v>
      </c>
      <c r="J144">
        <v>1246055195</v>
      </c>
      <c r="K144" s="30">
        <v>44887</v>
      </c>
      <c r="L144">
        <v>3041000</v>
      </c>
      <c r="M144" t="s">
        <v>138</v>
      </c>
      <c r="N144">
        <v>46</v>
      </c>
      <c r="O144" t="s">
        <v>163</v>
      </c>
      <c r="P144" t="s">
        <v>578</v>
      </c>
      <c r="Q144">
        <f t="shared" si="2"/>
        <v>1209</v>
      </c>
      <c r="R144">
        <f>_xlfn.XLOOKUP(E144,'Data Additive'!E:E,'Data Additive'!E:E,0)</f>
        <v>0</v>
      </c>
    </row>
    <row r="145" spans="1:18" x14ac:dyDescent="0.25">
      <c r="A145">
        <v>456</v>
      </c>
      <c r="B145" t="s">
        <v>354</v>
      </c>
      <c r="C145" t="s">
        <v>714</v>
      </c>
      <c r="D145" s="34">
        <v>99532</v>
      </c>
      <c r="E145">
        <v>1246268583</v>
      </c>
      <c r="F145" s="30">
        <v>46129</v>
      </c>
      <c r="G145" s="30">
        <v>46114</v>
      </c>
      <c r="H145" t="s">
        <v>28</v>
      </c>
      <c r="I145" t="s">
        <v>29</v>
      </c>
      <c r="J145">
        <v>10952</v>
      </c>
      <c r="K145" s="30">
        <v>46101</v>
      </c>
      <c r="L145">
        <v>1010100</v>
      </c>
      <c r="M145" t="s">
        <v>35</v>
      </c>
      <c r="N145">
        <v>161</v>
      </c>
      <c r="O145" t="s">
        <v>161</v>
      </c>
      <c r="P145" t="s">
        <v>658</v>
      </c>
      <c r="Q145">
        <f t="shared" si="2"/>
        <v>-18</v>
      </c>
      <c r="R145">
        <f>_xlfn.XLOOKUP(E145,'Data Additive'!E:E,'Data Additive'!E:E,0)</f>
        <v>1246268583</v>
      </c>
    </row>
    <row r="146" spans="1:18" x14ac:dyDescent="0.25">
      <c r="A146">
        <v>456</v>
      </c>
      <c r="B146" t="s">
        <v>354</v>
      </c>
      <c r="C146" t="s">
        <v>714</v>
      </c>
      <c r="D146" s="34">
        <v>3393</v>
      </c>
      <c r="E146">
        <v>1246245610</v>
      </c>
      <c r="F146" s="30">
        <v>45973</v>
      </c>
      <c r="G146" s="30"/>
      <c r="H146" t="s">
        <v>28</v>
      </c>
      <c r="I146" t="s">
        <v>29</v>
      </c>
      <c r="J146">
        <v>9692</v>
      </c>
      <c r="K146" s="30">
        <v>45945</v>
      </c>
      <c r="L146">
        <v>1010100</v>
      </c>
      <c r="M146" t="s">
        <v>35</v>
      </c>
      <c r="N146">
        <v>161</v>
      </c>
      <c r="O146" t="s">
        <v>161</v>
      </c>
      <c r="P146" t="s">
        <v>658</v>
      </c>
      <c r="Q146">
        <f t="shared" si="2"/>
        <v>138</v>
      </c>
      <c r="R146">
        <f>_xlfn.XLOOKUP(E146,'Data Additive'!E:E,'Data Additive'!E:E,0)</f>
        <v>1246245610</v>
      </c>
    </row>
    <row r="147" spans="1:18" x14ac:dyDescent="0.25">
      <c r="A147">
        <v>3232</v>
      </c>
      <c r="B147" t="s">
        <v>169</v>
      </c>
      <c r="C147" t="s">
        <v>477</v>
      </c>
      <c r="D147" s="34">
        <v>169290.6</v>
      </c>
      <c r="E147">
        <v>1246269505</v>
      </c>
      <c r="F147" s="30">
        <v>46138</v>
      </c>
      <c r="G147" s="30"/>
      <c r="H147" t="s">
        <v>28</v>
      </c>
      <c r="I147" t="s">
        <v>29</v>
      </c>
      <c r="J147">
        <v>10997</v>
      </c>
      <c r="K147" s="30">
        <v>46108</v>
      </c>
      <c r="L147">
        <v>1010100</v>
      </c>
      <c r="M147" t="s">
        <v>35</v>
      </c>
      <c r="N147">
        <v>161</v>
      </c>
      <c r="O147" t="s">
        <v>161</v>
      </c>
      <c r="P147" t="s">
        <v>532</v>
      </c>
      <c r="Q147">
        <f t="shared" si="2"/>
        <v>-27</v>
      </c>
      <c r="R147">
        <f>_xlfn.XLOOKUP(E147,'Data Additive'!E:E,'Data Additive'!E:E,0)</f>
        <v>1246269505</v>
      </c>
    </row>
    <row r="148" spans="1:18" x14ac:dyDescent="0.25">
      <c r="A148">
        <v>3232</v>
      </c>
      <c r="B148" t="s">
        <v>169</v>
      </c>
      <c r="C148" t="s">
        <v>477</v>
      </c>
      <c r="D148" s="34">
        <v>169573.6</v>
      </c>
      <c r="E148">
        <v>1246266098</v>
      </c>
      <c r="F148" s="30">
        <v>46114</v>
      </c>
      <c r="G148" s="30"/>
      <c r="H148" t="s">
        <v>28</v>
      </c>
      <c r="I148" t="s">
        <v>29</v>
      </c>
      <c r="J148">
        <v>10802</v>
      </c>
      <c r="K148" s="30">
        <v>46084</v>
      </c>
      <c r="L148">
        <v>1010100</v>
      </c>
      <c r="M148" t="s">
        <v>35</v>
      </c>
      <c r="N148">
        <v>161</v>
      </c>
      <c r="O148" t="s">
        <v>161</v>
      </c>
      <c r="P148" t="s">
        <v>532</v>
      </c>
      <c r="Q148">
        <f t="shared" si="2"/>
        <v>-3</v>
      </c>
      <c r="R148">
        <f>_xlfn.XLOOKUP(E148,'Data Additive'!E:E,'Data Additive'!E:E,0)</f>
        <v>1246266098</v>
      </c>
    </row>
    <row r="149" spans="1:18" x14ac:dyDescent="0.25">
      <c r="A149">
        <v>2992</v>
      </c>
      <c r="B149" t="s">
        <v>87</v>
      </c>
      <c r="C149" t="s">
        <v>88</v>
      </c>
      <c r="D149" s="34">
        <v>10200.799999999999</v>
      </c>
      <c r="E149">
        <v>1246228457</v>
      </c>
      <c r="F149" s="30">
        <v>46101</v>
      </c>
      <c r="G149" s="30"/>
      <c r="H149" t="s">
        <v>28</v>
      </c>
      <c r="I149" t="s">
        <v>29</v>
      </c>
      <c r="J149">
        <v>4377</v>
      </c>
      <c r="K149" s="30">
        <v>45493</v>
      </c>
      <c r="L149">
        <v>1010100</v>
      </c>
      <c r="M149" t="s">
        <v>35</v>
      </c>
      <c r="N149">
        <v>161</v>
      </c>
      <c r="O149" t="s">
        <v>161</v>
      </c>
      <c r="P149" t="s">
        <v>422</v>
      </c>
      <c r="Q149">
        <f t="shared" si="2"/>
        <v>10</v>
      </c>
      <c r="R149">
        <f>_xlfn.XLOOKUP(E149,'Data Additive'!E:E,'Data Additive'!E:E,0)</f>
        <v>1246228457</v>
      </c>
    </row>
    <row r="150" spans="1:18" x14ac:dyDescent="0.25">
      <c r="A150">
        <v>2992</v>
      </c>
      <c r="B150" t="s">
        <v>87</v>
      </c>
      <c r="C150" t="s">
        <v>88</v>
      </c>
      <c r="D150" s="34">
        <v>10200.799999999999</v>
      </c>
      <c r="E150">
        <v>1246228456</v>
      </c>
      <c r="F150" s="30">
        <v>46133</v>
      </c>
      <c r="G150" s="30"/>
      <c r="H150" t="s">
        <v>28</v>
      </c>
      <c r="I150" t="s">
        <v>29</v>
      </c>
      <c r="J150">
        <v>4377</v>
      </c>
      <c r="K150" s="30">
        <v>45493</v>
      </c>
      <c r="L150">
        <v>1010100</v>
      </c>
      <c r="M150" t="s">
        <v>35</v>
      </c>
      <c r="N150">
        <v>161</v>
      </c>
      <c r="O150" t="s">
        <v>161</v>
      </c>
      <c r="P150" t="s">
        <v>422</v>
      </c>
      <c r="Q150">
        <f t="shared" si="2"/>
        <v>-22</v>
      </c>
      <c r="R150">
        <f>_xlfn.XLOOKUP(E150,'Data Additive'!E:E,'Data Additive'!E:E,0)</f>
        <v>1246228456</v>
      </c>
    </row>
    <row r="151" spans="1:18" x14ac:dyDescent="0.25">
      <c r="A151">
        <v>2603</v>
      </c>
      <c r="B151" t="s">
        <v>81</v>
      </c>
      <c r="C151" t="s">
        <v>82</v>
      </c>
      <c r="D151" s="34">
        <v>4522.16</v>
      </c>
      <c r="E151">
        <v>1246097965</v>
      </c>
      <c r="F151" s="30">
        <v>45152</v>
      </c>
      <c r="G151" s="30"/>
      <c r="H151" t="s">
        <v>28</v>
      </c>
      <c r="I151" t="s">
        <v>29</v>
      </c>
      <c r="J151">
        <v>21713</v>
      </c>
      <c r="K151" s="30">
        <v>45092</v>
      </c>
      <c r="L151">
        <v>1010100</v>
      </c>
      <c r="M151" t="s">
        <v>35</v>
      </c>
      <c r="N151">
        <v>56</v>
      </c>
      <c r="O151" t="s">
        <v>162</v>
      </c>
      <c r="P151" t="s">
        <v>500</v>
      </c>
      <c r="Q151">
        <f t="shared" si="2"/>
        <v>959</v>
      </c>
      <c r="R151">
        <f>_xlfn.XLOOKUP(E151,'Data Additive'!E:E,'Data Additive'!E:E,0)</f>
        <v>1246097965</v>
      </c>
    </row>
    <row r="152" spans="1:18" x14ac:dyDescent="0.25">
      <c r="A152">
        <v>2559</v>
      </c>
      <c r="B152" t="s">
        <v>533</v>
      </c>
      <c r="C152" t="s">
        <v>79</v>
      </c>
      <c r="D152" s="34">
        <v>1200</v>
      </c>
      <c r="E152">
        <v>1246203587</v>
      </c>
      <c r="F152" s="30">
        <v>45750</v>
      </c>
      <c r="G152" s="30"/>
      <c r="H152" t="s">
        <v>28</v>
      </c>
      <c r="I152" t="s">
        <v>29</v>
      </c>
      <c r="J152">
        <v>1246203587</v>
      </c>
      <c r="K152" s="30">
        <v>45735</v>
      </c>
      <c r="L152">
        <v>3041000</v>
      </c>
      <c r="M152" t="s">
        <v>138</v>
      </c>
      <c r="N152">
        <v>46</v>
      </c>
      <c r="O152" t="s">
        <v>163</v>
      </c>
      <c r="P152" t="s">
        <v>500</v>
      </c>
      <c r="Q152">
        <f t="shared" si="2"/>
        <v>361</v>
      </c>
      <c r="R152">
        <f>_xlfn.XLOOKUP(E152,'Data Additive'!E:E,'Data Additive'!E:E,0)</f>
        <v>0</v>
      </c>
    </row>
    <row r="153" spans="1:18" x14ac:dyDescent="0.25">
      <c r="A153">
        <v>2559</v>
      </c>
      <c r="B153" t="s">
        <v>533</v>
      </c>
      <c r="C153" t="s">
        <v>79</v>
      </c>
      <c r="D153" s="34">
        <v>7200</v>
      </c>
      <c r="E153">
        <v>1246203586</v>
      </c>
      <c r="F153" s="30">
        <v>45750</v>
      </c>
      <c r="G153" s="30"/>
      <c r="H153" t="s">
        <v>28</v>
      </c>
      <c r="I153" t="s">
        <v>29</v>
      </c>
      <c r="J153">
        <v>1246203586</v>
      </c>
      <c r="K153" s="30">
        <v>45735</v>
      </c>
      <c r="L153">
        <v>3041000</v>
      </c>
      <c r="M153" t="s">
        <v>138</v>
      </c>
      <c r="N153">
        <v>46</v>
      </c>
      <c r="O153" t="s">
        <v>163</v>
      </c>
      <c r="P153" t="s">
        <v>500</v>
      </c>
      <c r="Q153">
        <f t="shared" si="2"/>
        <v>361</v>
      </c>
      <c r="R153">
        <f>_xlfn.XLOOKUP(E153,'Data Additive'!E:E,'Data Additive'!E:E,0)</f>
        <v>0</v>
      </c>
    </row>
    <row r="154" spans="1:18" x14ac:dyDescent="0.25">
      <c r="A154">
        <v>2559</v>
      </c>
      <c r="B154" t="s">
        <v>533</v>
      </c>
      <c r="C154" t="s">
        <v>79</v>
      </c>
      <c r="D154" s="34">
        <v>1200</v>
      </c>
      <c r="E154">
        <v>1246203585</v>
      </c>
      <c r="F154" s="30">
        <v>45750</v>
      </c>
      <c r="G154" s="30"/>
      <c r="H154" t="s">
        <v>28</v>
      </c>
      <c r="I154" t="s">
        <v>29</v>
      </c>
      <c r="J154">
        <v>1246203585</v>
      </c>
      <c r="K154" s="30">
        <v>45735</v>
      </c>
      <c r="L154">
        <v>3041000</v>
      </c>
      <c r="M154" t="s">
        <v>138</v>
      </c>
      <c r="N154">
        <v>46</v>
      </c>
      <c r="O154" t="s">
        <v>163</v>
      </c>
      <c r="P154" t="s">
        <v>500</v>
      </c>
      <c r="Q154">
        <f t="shared" si="2"/>
        <v>361</v>
      </c>
      <c r="R154">
        <f>_xlfn.XLOOKUP(E154,'Data Additive'!E:E,'Data Additive'!E:E,0)</f>
        <v>0</v>
      </c>
    </row>
    <row r="155" spans="1:18" x14ac:dyDescent="0.25">
      <c r="A155">
        <v>2559</v>
      </c>
      <c r="B155" t="s">
        <v>533</v>
      </c>
      <c r="C155" t="s">
        <v>79</v>
      </c>
      <c r="D155" s="34">
        <v>6000</v>
      </c>
      <c r="E155">
        <v>1246244748</v>
      </c>
      <c r="F155" s="30">
        <v>45968</v>
      </c>
      <c r="G155" s="30"/>
      <c r="H155" t="s">
        <v>28</v>
      </c>
      <c r="I155" t="s">
        <v>29</v>
      </c>
      <c r="J155">
        <v>1246244748</v>
      </c>
      <c r="K155" s="30">
        <v>45953</v>
      </c>
      <c r="L155">
        <v>3041000</v>
      </c>
      <c r="M155" t="s">
        <v>138</v>
      </c>
      <c r="N155">
        <v>46</v>
      </c>
      <c r="O155" t="s">
        <v>163</v>
      </c>
      <c r="P155" t="s">
        <v>500</v>
      </c>
      <c r="Q155">
        <f t="shared" si="2"/>
        <v>143</v>
      </c>
      <c r="R155">
        <f>_xlfn.XLOOKUP(E155,'Data Additive'!E:E,'Data Additive'!E:E,0)</f>
        <v>0</v>
      </c>
    </row>
    <row r="156" spans="1:18" x14ac:dyDescent="0.25">
      <c r="A156">
        <v>215</v>
      </c>
      <c r="B156" t="s">
        <v>249</v>
      </c>
      <c r="C156" t="s">
        <v>885</v>
      </c>
      <c r="D156" s="34">
        <v>234720</v>
      </c>
      <c r="E156">
        <v>1246267628</v>
      </c>
      <c r="F156" s="30">
        <v>46122</v>
      </c>
      <c r="G156" s="30"/>
      <c r="H156" t="s">
        <v>28</v>
      </c>
      <c r="I156" t="s">
        <v>29</v>
      </c>
      <c r="J156">
        <v>2811</v>
      </c>
      <c r="K156" s="30">
        <v>46094</v>
      </c>
      <c r="L156">
        <v>1010100</v>
      </c>
      <c r="M156" t="s">
        <v>35</v>
      </c>
      <c r="N156">
        <v>161</v>
      </c>
      <c r="O156" t="s">
        <v>161</v>
      </c>
      <c r="P156" t="s">
        <v>417</v>
      </c>
      <c r="Q156">
        <f t="shared" si="2"/>
        <v>-11</v>
      </c>
      <c r="R156">
        <f>_xlfn.XLOOKUP(E156,'Data Additive'!E:E,'Data Additive'!E:E,0)</f>
        <v>1246267628</v>
      </c>
    </row>
    <row r="157" spans="1:18" x14ac:dyDescent="0.25">
      <c r="A157">
        <v>215</v>
      </c>
      <c r="B157" t="s">
        <v>249</v>
      </c>
      <c r="C157" t="s">
        <v>885</v>
      </c>
      <c r="D157" s="34">
        <v>117360</v>
      </c>
      <c r="E157">
        <v>1246267630</v>
      </c>
      <c r="F157" s="30">
        <v>46122</v>
      </c>
      <c r="G157" s="30"/>
      <c r="H157" t="s">
        <v>28</v>
      </c>
      <c r="I157" t="s">
        <v>29</v>
      </c>
      <c r="J157">
        <v>2812</v>
      </c>
      <c r="K157" s="30">
        <v>46094</v>
      </c>
      <c r="L157">
        <v>1010100</v>
      </c>
      <c r="M157" t="s">
        <v>35</v>
      </c>
      <c r="N157">
        <v>161</v>
      </c>
      <c r="O157" t="s">
        <v>161</v>
      </c>
      <c r="P157" t="s">
        <v>417</v>
      </c>
      <c r="Q157">
        <f t="shared" si="2"/>
        <v>-11</v>
      </c>
      <c r="R157">
        <f>_xlfn.XLOOKUP(E157,'Data Additive'!E:E,'Data Additive'!E:E,0)</f>
        <v>1246267630</v>
      </c>
    </row>
    <row r="158" spans="1:18" x14ac:dyDescent="0.25">
      <c r="A158">
        <v>2949</v>
      </c>
      <c r="B158" t="s">
        <v>860</v>
      </c>
      <c r="C158" t="s">
        <v>861</v>
      </c>
      <c r="D158" s="34">
        <v>67841.5</v>
      </c>
      <c r="E158">
        <v>1246265741</v>
      </c>
      <c r="F158" s="30">
        <v>46170</v>
      </c>
      <c r="G158" s="30"/>
      <c r="H158" t="s">
        <v>28</v>
      </c>
      <c r="I158" t="s">
        <v>29</v>
      </c>
      <c r="J158">
        <v>10785</v>
      </c>
      <c r="K158" s="30">
        <v>46080</v>
      </c>
      <c r="L158">
        <v>1010100</v>
      </c>
      <c r="M158" t="s">
        <v>35</v>
      </c>
      <c r="N158">
        <v>161</v>
      </c>
      <c r="O158" t="s">
        <v>161</v>
      </c>
      <c r="P158" t="s">
        <v>500</v>
      </c>
      <c r="Q158">
        <f t="shared" si="2"/>
        <v>-59</v>
      </c>
      <c r="R158">
        <f>_xlfn.XLOOKUP(E158,'Data Additive'!E:E,'Data Additive'!E:E,0)</f>
        <v>1246265741</v>
      </c>
    </row>
    <row r="159" spans="1:18" x14ac:dyDescent="0.25">
      <c r="A159">
        <v>6124</v>
      </c>
      <c r="B159" t="s">
        <v>827</v>
      </c>
      <c r="C159" t="s">
        <v>96</v>
      </c>
      <c r="D159" s="34">
        <v>419434</v>
      </c>
      <c r="E159">
        <v>1246264936</v>
      </c>
      <c r="F159" s="30">
        <v>46167</v>
      </c>
      <c r="G159" s="30"/>
      <c r="H159" t="s">
        <v>28</v>
      </c>
      <c r="I159" t="s">
        <v>29</v>
      </c>
      <c r="J159">
        <v>2772</v>
      </c>
      <c r="K159" s="30">
        <v>46077</v>
      </c>
      <c r="L159">
        <v>1010100</v>
      </c>
      <c r="M159" t="s">
        <v>35</v>
      </c>
      <c r="N159">
        <v>56</v>
      </c>
      <c r="O159" t="s">
        <v>162</v>
      </c>
      <c r="P159" t="s">
        <v>500</v>
      </c>
      <c r="Q159">
        <f t="shared" si="2"/>
        <v>-56</v>
      </c>
      <c r="R159">
        <f>_xlfn.XLOOKUP(E159,'Data Additive'!E:E,'Data Additive'!E:E,0)</f>
        <v>1246264936</v>
      </c>
    </row>
    <row r="160" spans="1:18" x14ac:dyDescent="0.25">
      <c r="A160">
        <v>6124</v>
      </c>
      <c r="B160" t="s">
        <v>827</v>
      </c>
      <c r="C160" t="s">
        <v>96</v>
      </c>
      <c r="D160" s="34">
        <v>51376.4</v>
      </c>
      <c r="E160">
        <v>1246260189</v>
      </c>
      <c r="F160" s="30">
        <v>46132</v>
      </c>
      <c r="G160" s="30"/>
      <c r="H160" t="s">
        <v>28</v>
      </c>
      <c r="I160" t="s">
        <v>29</v>
      </c>
      <c r="J160">
        <v>10535</v>
      </c>
      <c r="K160" s="30">
        <v>46042</v>
      </c>
      <c r="L160">
        <v>1010100</v>
      </c>
      <c r="M160" t="s">
        <v>35</v>
      </c>
      <c r="N160">
        <v>161</v>
      </c>
      <c r="O160" t="s">
        <v>161</v>
      </c>
      <c r="P160" t="s">
        <v>500</v>
      </c>
      <c r="Q160">
        <f t="shared" si="2"/>
        <v>-21</v>
      </c>
      <c r="R160">
        <f>_xlfn.XLOOKUP(E160,'Data Additive'!E:E,'Data Additive'!E:E,0)</f>
        <v>1246260189</v>
      </c>
    </row>
    <row r="161" spans="1:18" x14ac:dyDescent="0.25">
      <c r="A161">
        <v>6124</v>
      </c>
      <c r="B161" t="s">
        <v>827</v>
      </c>
      <c r="C161" t="s">
        <v>96</v>
      </c>
      <c r="D161" s="34">
        <v>417259.92</v>
      </c>
      <c r="E161">
        <v>1246267573</v>
      </c>
      <c r="F161" s="30">
        <v>46153</v>
      </c>
      <c r="G161" s="30"/>
      <c r="H161" t="s">
        <v>28</v>
      </c>
      <c r="I161" t="s">
        <v>29</v>
      </c>
      <c r="J161">
        <v>2808</v>
      </c>
      <c r="K161" s="30">
        <v>46093</v>
      </c>
      <c r="L161">
        <v>1010100</v>
      </c>
      <c r="M161" t="s">
        <v>35</v>
      </c>
      <c r="N161">
        <v>161</v>
      </c>
      <c r="O161" t="s">
        <v>161</v>
      </c>
      <c r="P161" t="s">
        <v>500</v>
      </c>
      <c r="Q161">
        <f t="shared" si="2"/>
        <v>-42</v>
      </c>
      <c r="R161">
        <f>_xlfn.XLOOKUP(E161,'Data Additive'!E:E,'Data Additive'!E:E,0)</f>
        <v>1246267573</v>
      </c>
    </row>
    <row r="162" spans="1:18" x14ac:dyDescent="0.25">
      <c r="A162">
        <v>6124</v>
      </c>
      <c r="B162" t="s">
        <v>827</v>
      </c>
      <c r="C162" t="s">
        <v>96</v>
      </c>
      <c r="D162" s="34">
        <v>55246.400000000001</v>
      </c>
      <c r="E162">
        <v>1246264147</v>
      </c>
      <c r="F162" s="30">
        <v>46162</v>
      </c>
      <c r="G162" s="30"/>
      <c r="H162" t="s">
        <v>28</v>
      </c>
      <c r="I162" t="s">
        <v>29</v>
      </c>
      <c r="J162">
        <v>10720</v>
      </c>
      <c r="K162" s="30">
        <v>46072</v>
      </c>
      <c r="L162">
        <v>1010100</v>
      </c>
      <c r="M162" t="s">
        <v>35</v>
      </c>
      <c r="N162">
        <v>161</v>
      </c>
      <c r="O162" t="s">
        <v>161</v>
      </c>
      <c r="P162" t="s">
        <v>500</v>
      </c>
      <c r="Q162">
        <f t="shared" si="2"/>
        <v>-51</v>
      </c>
      <c r="R162">
        <f>_xlfn.XLOOKUP(E162,'Data Additive'!E:E,'Data Additive'!E:E,0)</f>
        <v>1246264147</v>
      </c>
    </row>
    <row r="163" spans="1:18" x14ac:dyDescent="0.25">
      <c r="A163">
        <v>6124</v>
      </c>
      <c r="B163" t="s">
        <v>827</v>
      </c>
      <c r="C163" t="s">
        <v>96</v>
      </c>
      <c r="D163" s="34">
        <v>52374</v>
      </c>
      <c r="E163">
        <v>1246267926</v>
      </c>
      <c r="F163" s="30">
        <v>46187</v>
      </c>
      <c r="G163" s="30"/>
      <c r="H163" t="s">
        <v>28</v>
      </c>
      <c r="I163" t="s">
        <v>29</v>
      </c>
      <c r="J163">
        <v>10897</v>
      </c>
      <c r="K163" s="30">
        <v>46097</v>
      </c>
      <c r="L163">
        <v>1010100</v>
      </c>
      <c r="M163" t="s">
        <v>35</v>
      </c>
      <c r="N163">
        <v>161</v>
      </c>
      <c r="O163" t="s">
        <v>161</v>
      </c>
      <c r="P163" t="s">
        <v>500</v>
      </c>
      <c r="Q163">
        <f t="shared" ref="Q163:Q205" si="3">$R$1-F163</f>
        <v>-76</v>
      </c>
      <c r="R163">
        <f>_xlfn.XLOOKUP(E163,'Data Additive'!E:E,'Data Additive'!E:E,0)</f>
        <v>1246267926</v>
      </c>
    </row>
    <row r="164" spans="1:18" x14ac:dyDescent="0.25">
      <c r="A164">
        <v>6124</v>
      </c>
      <c r="B164" t="s">
        <v>827</v>
      </c>
      <c r="C164" t="s">
        <v>96</v>
      </c>
      <c r="D164" s="34">
        <v>425218.51</v>
      </c>
      <c r="E164">
        <v>1246262612</v>
      </c>
      <c r="F164" s="30">
        <v>46119</v>
      </c>
      <c r="G164" s="30"/>
      <c r="H164" t="s">
        <v>28</v>
      </c>
      <c r="I164" t="s">
        <v>29</v>
      </c>
      <c r="J164">
        <v>2725</v>
      </c>
      <c r="K164" s="30">
        <v>46059</v>
      </c>
      <c r="L164">
        <v>1010100</v>
      </c>
      <c r="M164" t="s">
        <v>35</v>
      </c>
      <c r="N164">
        <v>161</v>
      </c>
      <c r="O164" t="s">
        <v>161</v>
      </c>
      <c r="P164" t="s">
        <v>500</v>
      </c>
      <c r="Q164">
        <f t="shared" si="3"/>
        <v>-8</v>
      </c>
      <c r="R164">
        <f>_xlfn.XLOOKUP(E164,'Data Additive'!E:E,'Data Additive'!E:E,0)</f>
        <v>1246262612</v>
      </c>
    </row>
    <row r="165" spans="1:18" x14ac:dyDescent="0.25">
      <c r="A165">
        <v>6124</v>
      </c>
      <c r="B165" t="s">
        <v>827</v>
      </c>
      <c r="C165" t="s">
        <v>96</v>
      </c>
      <c r="D165" s="34">
        <v>422856.82</v>
      </c>
      <c r="E165">
        <v>1246263813</v>
      </c>
      <c r="F165" s="30">
        <v>46129</v>
      </c>
      <c r="G165" s="30"/>
      <c r="H165" t="s">
        <v>28</v>
      </c>
      <c r="I165" t="s">
        <v>29</v>
      </c>
      <c r="J165">
        <v>2744</v>
      </c>
      <c r="K165" s="30">
        <v>46069</v>
      </c>
      <c r="L165">
        <v>1010100</v>
      </c>
      <c r="M165" t="s">
        <v>35</v>
      </c>
      <c r="N165">
        <v>161</v>
      </c>
      <c r="O165" t="s">
        <v>161</v>
      </c>
      <c r="P165" t="s">
        <v>500</v>
      </c>
      <c r="Q165">
        <f t="shared" si="3"/>
        <v>-18</v>
      </c>
      <c r="R165">
        <f>_xlfn.XLOOKUP(E165,'Data Additive'!E:E,'Data Additive'!E:E,0)</f>
        <v>1246263813</v>
      </c>
    </row>
    <row r="166" spans="1:18" x14ac:dyDescent="0.25">
      <c r="A166">
        <v>7102</v>
      </c>
      <c r="B166" t="s">
        <v>801</v>
      </c>
      <c r="C166" t="s">
        <v>567</v>
      </c>
      <c r="D166" s="34">
        <v>62553.7</v>
      </c>
      <c r="E166">
        <v>1246262017</v>
      </c>
      <c r="F166" s="30">
        <v>46145</v>
      </c>
      <c r="G166" s="30"/>
      <c r="H166" t="s">
        <v>28</v>
      </c>
      <c r="I166" t="s">
        <v>29</v>
      </c>
      <c r="J166">
        <v>10626</v>
      </c>
      <c r="K166" s="30">
        <v>46055</v>
      </c>
      <c r="L166">
        <v>1010100</v>
      </c>
      <c r="M166" t="s">
        <v>35</v>
      </c>
      <c r="N166">
        <v>161</v>
      </c>
      <c r="O166" t="s">
        <v>161</v>
      </c>
      <c r="P166" t="s">
        <v>500</v>
      </c>
      <c r="Q166">
        <f t="shared" si="3"/>
        <v>-34</v>
      </c>
      <c r="R166">
        <f>_xlfn.XLOOKUP(E166,'Data Additive'!E:E,'Data Additive'!E:E,0)</f>
        <v>1246262017</v>
      </c>
    </row>
    <row r="167" spans="1:18" x14ac:dyDescent="0.25">
      <c r="A167">
        <v>7102</v>
      </c>
      <c r="B167" t="s">
        <v>801</v>
      </c>
      <c r="C167" t="s">
        <v>567</v>
      </c>
      <c r="D167" s="34">
        <v>63055.3</v>
      </c>
      <c r="E167">
        <v>1246259121</v>
      </c>
      <c r="F167" s="30">
        <v>46124</v>
      </c>
      <c r="G167" s="30"/>
      <c r="H167" t="s">
        <v>28</v>
      </c>
      <c r="I167" t="s">
        <v>29</v>
      </c>
      <c r="J167">
        <v>10455</v>
      </c>
      <c r="K167" s="30">
        <v>46034</v>
      </c>
      <c r="L167">
        <v>1010100</v>
      </c>
      <c r="M167" t="s">
        <v>35</v>
      </c>
      <c r="N167">
        <v>161</v>
      </c>
      <c r="O167" t="s">
        <v>161</v>
      </c>
      <c r="P167" t="s">
        <v>500</v>
      </c>
      <c r="Q167">
        <f t="shared" si="3"/>
        <v>-13</v>
      </c>
      <c r="R167">
        <f>_xlfn.XLOOKUP(E167,'Data Additive'!E:E,'Data Additive'!E:E,0)</f>
        <v>1246259121</v>
      </c>
    </row>
    <row r="168" spans="1:18" x14ac:dyDescent="0.25">
      <c r="A168">
        <v>7102</v>
      </c>
      <c r="B168" t="s">
        <v>801</v>
      </c>
      <c r="C168" t="s">
        <v>567</v>
      </c>
      <c r="D168" s="34">
        <v>62637.3</v>
      </c>
      <c r="E168">
        <v>1246268784</v>
      </c>
      <c r="F168" s="30">
        <v>46195</v>
      </c>
      <c r="G168" s="30"/>
      <c r="H168" t="s">
        <v>28</v>
      </c>
      <c r="I168" t="s">
        <v>29</v>
      </c>
      <c r="J168">
        <v>10966</v>
      </c>
      <c r="K168" s="30">
        <v>46105</v>
      </c>
      <c r="L168">
        <v>1010100</v>
      </c>
      <c r="M168" t="s">
        <v>35</v>
      </c>
      <c r="N168">
        <v>161</v>
      </c>
      <c r="O168" t="s">
        <v>161</v>
      </c>
      <c r="P168" t="s">
        <v>500</v>
      </c>
      <c r="Q168">
        <f t="shared" si="3"/>
        <v>-84</v>
      </c>
      <c r="R168">
        <f>_xlfn.XLOOKUP(E168,'Data Additive'!E:E,'Data Additive'!E:E,0)</f>
        <v>1246268784</v>
      </c>
    </row>
    <row r="169" spans="1:18" x14ac:dyDescent="0.25">
      <c r="A169">
        <v>7102</v>
      </c>
      <c r="B169" t="s">
        <v>801</v>
      </c>
      <c r="C169" t="s">
        <v>567</v>
      </c>
      <c r="D169" s="34">
        <v>62888.1</v>
      </c>
      <c r="E169">
        <v>1246258714</v>
      </c>
      <c r="F169" s="30">
        <v>46119</v>
      </c>
      <c r="G169" s="30"/>
      <c r="H169" t="s">
        <v>28</v>
      </c>
      <c r="I169" t="s">
        <v>29</v>
      </c>
      <c r="J169">
        <v>10440</v>
      </c>
      <c r="K169" s="30">
        <v>46029</v>
      </c>
      <c r="L169">
        <v>1010100</v>
      </c>
      <c r="M169" t="s">
        <v>35</v>
      </c>
      <c r="N169">
        <v>161</v>
      </c>
      <c r="O169" t="s">
        <v>161</v>
      </c>
      <c r="P169" t="s">
        <v>500</v>
      </c>
      <c r="Q169">
        <f t="shared" si="3"/>
        <v>-8</v>
      </c>
      <c r="R169">
        <f>_xlfn.XLOOKUP(E169,'Data Additive'!E:E,'Data Additive'!E:E,0)</f>
        <v>1246258714</v>
      </c>
    </row>
    <row r="170" spans="1:18" x14ac:dyDescent="0.25">
      <c r="A170">
        <v>7102</v>
      </c>
      <c r="B170" t="s">
        <v>801</v>
      </c>
      <c r="C170" t="s">
        <v>567</v>
      </c>
      <c r="D170" s="34">
        <v>63619.6</v>
      </c>
      <c r="E170">
        <v>1246260392</v>
      </c>
      <c r="F170" s="30">
        <v>46134</v>
      </c>
      <c r="G170" s="30"/>
      <c r="H170" t="s">
        <v>28</v>
      </c>
      <c r="I170" t="s">
        <v>29</v>
      </c>
      <c r="J170">
        <v>10543</v>
      </c>
      <c r="K170" s="30">
        <v>46044</v>
      </c>
      <c r="L170">
        <v>1010100</v>
      </c>
      <c r="M170" t="s">
        <v>35</v>
      </c>
      <c r="N170">
        <v>161</v>
      </c>
      <c r="O170" t="s">
        <v>161</v>
      </c>
      <c r="P170" t="s">
        <v>500</v>
      </c>
      <c r="Q170">
        <f t="shared" si="3"/>
        <v>-23</v>
      </c>
      <c r="R170">
        <f>_xlfn.XLOOKUP(E170,'Data Additive'!E:E,'Data Additive'!E:E,0)</f>
        <v>1246260392</v>
      </c>
    </row>
    <row r="171" spans="1:18" x14ac:dyDescent="0.25">
      <c r="A171">
        <v>7102</v>
      </c>
      <c r="B171" t="s">
        <v>801</v>
      </c>
      <c r="C171" t="s">
        <v>567</v>
      </c>
      <c r="D171" s="34">
        <v>62700</v>
      </c>
      <c r="E171">
        <v>1246262728</v>
      </c>
      <c r="F171" s="30">
        <v>46152</v>
      </c>
      <c r="G171" s="30"/>
      <c r="H171" t="s">
        <v>28</v>
      </c>
      <c r="I171" t="s">
        <v>29</v>
      </c>
      <c r="J171">
        <v>10663</v>
      </c>
      <c r="K171" s="30">
        <v>46062</v>
      </c>
      <c r="L171">
        <v>1010100</v>
      </c>
      <c r="M171" t="s">
        <v>35</v>
      </c>
      <c r="N171">
        <v>161</v>
      </c>
      <c r="O171" t="s">
        <v>161</v>
      </c>
      <c r="P171" t="s">
        <v>500</v>
      </c>
      <c r="Q171">
        <f t="shared" si="3"/>
        <v>-41</v>
      </c>
      <c r="R171">
        <f>_xlfn.XLOOKUP(E171,'Data Additive'!E:E,'Data Additive'!E:E,0)</f>
        <v>1246262728</v>
      </c>
    </row>
    <row r="172" spans="1:18" x14ac:dyDescent="0.25">
      <c r="A172">
        <v>7102</v>
      </c>
      <c r="B172" t="s">
        <v>801</v>
      </c>
      <c r="C172" t="s">
        <v>567</v>
      </c>
      <c r="D172" s="34">
        <v>4800</v>
      </c>
      <c r="E172">
        <v>1246247639</v>
      </c>
      <c r="F172" s="30">
        <v>45982</v>
      </c>
      <c r="G172" s="30"/>
      <c r="H172" t="s">
        <v>28</v>
      </c>
      <c r="I172" t="s">
        <v>29</v>
      </c>
      <c r="J172">
        <v>1246247639</v>
      </c>
      <c r="K172" s="30">
        <v>45967</v>
      </c>
      <c r="L172">
        <v>3041000</v>
      </c>
      <c r="M172" t="s">
        <v>138</v>
      </c>
      <c r="N172">
        <v>46</v>
      </c>
      <c r="O172" t="s">
        <v>163</v>
      </c>
      <c r="P172" t="s">
        <v>500</v>
      </c>
      <c r="Q172">
        <f t="shared" si="3"/>
        <v>129</v>
      </c>
      <c r="R172">
        <f>_xlfn.XLOOKUP(E172,'Data Additive'!E:E,'Data Additive'!E:E,0)</f>
        <v>0</v>
      </c>
    </row>
    <row r="173" spans="1:18" x14ac:dyDescent="0.25">
      <c r="A173">
        <v>7662</v>
      </c>
      <c r="B173" t="s">
        <v>106</v>
      </c>
      <c r="C173" t="s">
        <v>552</v>
      </c>
      <c r="D173" s="34">
        <v>57795</v>
      </c>
      <c r="E173">
        <v>1246266875</v>
      </c>
      <c r="F173" s="30">
        <v>46132</v>
      </c>
      <c r="G173" s="30"/>
      <c r="H173" t="s">
        <v>28</v>
      </c>
      <c r="I173" t="s">
        <v>29</v>
      </c>
      <c r="J173">
        <v>2799</v>
      </c>
      <c r="K173" s="30">
        <v>46087</v>
      </c>
      <c r="L173">
        <v>1010100</v>
      </c>
      <c r="M173" t="s">
        <v>35</v>
      </c>
      <c r="N173">
        <v>161</v>
      </c>
      <c r="O173" t="s">
        <v>161</v>
      </c>
      <c r="P173" t="s">
        <v>618</v>
      </c>
      <c r="Q173">
        <f t="shared" si="3"/>
        <v>-21</v>
      </c>
      <c r="R173">
        <f>_xlfn.XLOOKUP(E173,'Data Additive'!E:E,'Data Additive'!E:E,0)</f>
        <v>1246266875</v>
      </c>
    </row>
    <row r="174" spans="1:18" x14ac:dyDescent="0.25">
      <c r="A174">
        <v>7662</v>
      </c>
      <c r="B174" t="s">
        <v>106</v>
      </c>
      <c r="C174" t="s">
        <v>552</v>
      </c>
      <c r="D174" s="34">
        <v>57795</v>
      </c>
      <c r="E174">
        <v>1246266876</v>
      </c>
      <c r="F174" s="30">
        <v>46147</v>
      </c>
      <c r="G174" s="30"/>
      <c r="H174" t="s">
        <v>28</v>
      </c>
      <c r="I174" t="s">
        <v>29</v>
      </c>
      <c r="J174">
        <v>2799</v>
      </c>
      <c r="K174" s="30">
        <v>46087</v>
      </c>
      <c r="L174">
        <v>1010100</v>
      </c>
      <c r="M174" t="s">
        <v>35</v>
      </c>
      <c r="N174">
        <v>161</v>
      </c>
      <c r="O174" t="s">
        <v>161</v>
      </c>
      <c r="P174" t="s">
        <v>618</v>
      </c>
      <c r="Q174">
        <f t="shared" si="3"/>
        <v>-36</v>
      </c>
      <c r="R174">
        <f>_xlfn.XLOOKUP(E174,'Data Additive'!E:E,'Data Additive'!E:E,0)</f>
        <v>1246266876</v>
      </c>
    </row>
    <row r="175" spans="1:18" x14ac:dyDescent="0.25">
      <c r="A175">
        <v>7662</v>
      </c>
      <c r="B175" t="s">
        <v>106</v>
      </c>
      <c r="C175" t="s">
        <v>552</v>
      </c>
      <c r="D175" s="34">
        <v>38530</v>
      </c>
      <c r="E175">
        <v>1246262501</v>
      </c>
      <c r="F175" s="30">
        <v>46119</v>
      </c>
      <c r="G175" s="30"/>
      <c r="H175" t="s">
        <v>28</v>
      </c>
      <c r="I175" t="s">
        <v>29</v>
      </c>
      <c r="J175">
        <v>2722</v>
      </c>
      <c r="K175" s="30">
        <v>46059</v>
      </c>
      <c r="L175">
        <v>1010100</v>
      </c>
      <c r="M175" t="s">
        <v>35</v>
      </c>
      <c r="N175">
        <v>161</v>
      </c>
      <c r="O175" t="s">
        <v>161</v>
      </c>
      <c r="P175" t="s">
        <v>618</v>
      </c>
      <c r="Q175">
        <f t="shared" si="3"/>
        <v>-8</v>
      </c>
      <c r="R175">
        <f>_xlfn.XLOOKUP(E175,'Data Additive'!E:E,'Data Additive'!E:E,0)</f>
        <v>1246262501</v>
      </c>
    </row>
    <row r="176" spans="1:18" x14ac:dyDescent="0.25">
      <c r="A176">
        <v>7662</v>
      </c>
      <c r="B176" t="s">
        <v>106</v>
      </c>
      <c r="C176" t="s">
        <v>552</v>
      </c>
      <c r="D176" s="34">
        <v>57795</v>
      </c>
      <c r="E176">
        <v>1246264217</v>
      </c>
      <c r="F176" s="30">
        <v>46118</v>
      </c>
      <c r="G176" s="30"/>
      <c r="H176" t="s">
        <v>28</v>
      </c>
      <c r="I176" t="s">
        <v>29</v>
      </c>
      <c r="J176">
        <v>2754</v>
      </c>
      <c r="K176" s="30">
        <v>46073</v>
      </c>
      <c r="L176">
        <v>1010100</v>
      </c>
      <c r="M176" t="s">
        <v>35</v>
      </c>
      <c r="N176">
        <v>161</v>
      </c>
      <c r="O176" t="s">
        <v>161</v>
      </c>
      <c r="P176" t="s">
        <v>618</v>
      </c>
      <c r="Q176">
        <f t="shared" si="3"/>
        <v>-7</v>
      </c>
      <c r="R176">
        <f>_xlfn.XLOOKUP(E176,'Data Additive'!E:E,'Data Additive'!E:E,0)</f>
        <v>1246264217</v>
      </c>
    </row>
    <row r="177" spans="1:18" x14ac:dyDescent="0.25">
      <c r="A177">
        <v>7662</v>
      </c>
      <c r="B177" t="s">
        <v>106</v>
      </c>
      <c r="C177" t="s">
        <v>552</v>
      </c>
      <c r="D177" s="34">
        <v>57795</v>
      </c>
      <c r="E177">
        <v>1246264218</v>
      </c>
      <c r="F177" s="30">
        <v>46133</v>
      </c>
      <c r="G177" s="30"/>
      <c r="H177" t="s">
        <v>28</v>
      </c>
      <c r="I177" t="s">
        <v>29</v>
      </c>
      <c r="J177">
        <v>2754</v>
      </c>
      <c r="K177" s="30">
        <v>46073</v>
      </c>
      <c r="L177">
        <v>1010100</v>
      </c>
      <c r="M177" t="s">
        <v>35</v>
      </c>
      <c r="N177">
        <v>161</v>
      </c>
      <c r="O177" t="s">
        <v>161</v>
      </c>
      <c r="P177" t="s">
        <v>618</v>
      </c>
      <c r="Q177">
        <f t="shared" si="3"/>
        <v>-22</v>
      </c>
      <c r="R177">
        <f>_xlfn.XLOOKUP(E177,'Data Additive'!E:E,'Data Additive'!E:E,0)</f>
        <v>1246264218</v>
      </c>
    </row>
    <row r="178" spans="1:18" x14ac:dyDescent="0.25">
      <c r="A178">
        <v>7662</v>
      </c>
      <c r="B178" t="s">
        <v>106</v>
      </c>
      <c r="C178" t="s">
        <v>552</v>
      </c>
      <c r="D178" s="34">
        <v>77060</v>
      </c>
      <c r="E178">
        <v>1246269689</v>
      </c>
      <c r="F178" s="30">
        <v>46157</v>
      </c>
      <c r="G178" s="30"/>
      <c r="H178" t="s">
        <v>28</v>
      </c>
      <c r="I178" t="s">
        <v>29</v>
      </c>
      <c r="J178">
        <v>2856</v>
      </c>
      <c r="K178" s="30">
        <v>46112</v>
      </c>
      <c r="L178">
        <v>1010100</v>
      </c>
      <c r="M178" t="s">
        <v>35</v>
      </c>
      <c r="N178">
        <v>161</v>
      </c>
      <c r="O178" t="s">
        <v>161</v>
      </c>
      <c r="P178" t="s">
        <v>618</v>
      </c>
      <c r="Q178">
        <f t="shared" si="3"/>
        <v>-46</v>
      </c>
      <c r="R178">
        <f>_xlfn.XLOOKUP(E178,'Data Additive'!E:E,'Data Additive'!E:E,0)</f>
        <v>1246269689</v>
      </c>
    </row>
    <row r="179" spans="1:18" x14ac:dyDescent="0.25">
      <c r="A179">
        <v>7662</v>
      </c>
      <c r="B179" t="s">
        <v>106</v>
      </c>
      <c r="C179" t="s">
        <v>552</v>
      </c>
      <c r="D179" s="34">
        <v>77060</v>
      </c>
      <c r="E179">
        <v>1246269690</v>
      </c>
      <c r="F179" s="30">
        <v>46172</v>
      </c>
      <c r="G179" s="30"/>
      <c r="H179" t="s">
        <v>28</v>
      </c>
      <c r="I179" t="s">
        <v>29</v>
      </c>
      <c r="J179">
        <v>2856</v>
      </c>
      <c r="K179" s="30">
        <v>46112</v>
      </c>
      <c r="L179">
        <v>1010100</v>
      </c>
      <c r="M179" t="s">
        <v>35</v>
      </c>
      <c r="N179">
        <v>161</v>
      </c>
      <c r="O179" t="s">
        <v>161</v>
      </c>
      <c r="P179" t="s">
        <v>618</v>
      </c>
      <c r="Q179">
        <f t="shared" si="3"/>
        <v>-61</v>
      </c>
      <c r="R179">
        <f>_xlfn.XLOOKUP(E179,'Data Additive'!E:E,'Data Additive'!E:E,0)</f>
        <v>1246269690</v>
      </c>
    </row>
    <row r="180" spans="1:18" x14ac:dyDescent="0.25">
      <c r="A180">
        <v>7662</v>
      </c>
      <c r="B180" t="s">
        <v>106</v>
      </c>
      <c r="C180" t="s">
        <v>552</v>
      </c>
      <c r="D180" s="34">
        <v>77060</v>
      </c>
      <c r="E180">
        <v>1246262503</v>
      </c>
      <c r="F180" s="30">
        <v>46119</v>
      </c>
      <c r="G180" s="30"/>
      <c r="H180" t="s">
        <v>28</v>
      </c>
      <c r="I180" t="s">
        <v>29</v>
      </c>
      <c r="J180">
        <v>2723</v>
      </c>
      <c r="K180" s="30">
        <v>46059</v>
      </c>
      <c r="L180">
        <v>1010100</v>
      </c>
      <c r="M180" t="s">
        <v>35</v>
      </c>
      <c r="N180">
        <v>161</v>
      </c>
      <c r="O180" t="s">
        <v>161</v>
      </c>
      <c r="P180" t="s">
        <v>618</v>
      </c>
      <c r="Q180">
        <f t="shared" si="3"/>
        <v>-8</v>
      </c>
      <c r="R180">
        <f>_xlfn.XLOOKUP(E180,'Data Additive'!E:E,'Data Additive'!E:E,0)</f>
        <v>1246262503</v>
      </c>
    </row>
    <row r="181" spans="1:18" x14ac:dyDescent="0.25">
      <c r="A181">
        <v>7745</v>
      </c>
      <c r="B181" t="s">
        <v>366</v>
      </c>
      <c r="C181" t="s">
        <v>875</v>
      </c>
      <c r="D181" s="34">
        <v>141108</v>
      </c>
      <c r="E181">
        <v>1246266794</v>
      </c>
      <c r="F181" s="30">
        <v>46121</v>
      </c>
      <c r="G181" s="30"/>
      <c r="H181" t="s">
        <v>28</v>
      </c>
      <c r="I181" t="s">
        <v>29</v>
      </c>
      <c r="J181">
        <v>2797</v>
      </c>
      <c r="K181" s="30">
        <v>46086</v>
      </c>
      <c r="L181">
        <v>1010100</v>
      </c>
      <c r="M181" t="s">
        <v>35</v>
      </c>
      <c r="N181">
        <v>56</v>
      </c>
      <c r="O181" t="s">
        <v>162</v>
      </c>
      <c r="P181" t="s">
        <v>425</v>
      </c>
      <c r="Q181">
        <f t="shared" si="3"/>
        <v>-10</v>
      </c>
      <c r="R181">
        <f>_xlfn.XLOOKUP(E181,'Data Additive'!E:E,'Data Additive'!E:E,0)</f>
        <v>1246266794</v>
      </c>
    </row>
    <row r="182" spans="1:18" x14ac:dyDescent="0.25">
      <c r="A182">
        <v>7745</v>
      </c>
      <c r="B182" t="s">
        <v>366</v>
      </c>
      <c r="C182" t="s">
        <v>875</v>
      </c>
      <c r="D182" s="34">
        <v>26356</v>
      </c>
      <c r="E182">
        <v>1246266587</v>
      </c>
      <c r="F182" s="30">
        <v>46121</v>
      </c>
      <c r="G182" s="30"/>
      <c r="H182" t="s">
        <v>28</v>
      </c>
      <c r="I182" t="s">
        <v>29</v>
      </c>
      <c r="J182">
        <v>10823</v>
      </c>
      <c r="K182" s="30">
        <v>46086</v>
      </c>
      <c r="L182">
        <v>1010100</v>
      </c>
      <c r="M182" t="s">
        <v>35</v>
      </c>
      <c r="N182">
        <v>56</v>
      </c>
      <c r="O182" t="s">
        <v>162</v>
      </c>
      <c r="P182" t="s">
        <v>425</v>
      </c>
      <c r="Q182">
        <f t="shared" si="3"/>
        <v>-10</v>
      </c>
      <c r="R182">
        <f>_xlfn.XLOOKUP(E182,'Data Additive'!E:E,'Data Additive'!E:E,0)</f>
        <v>1246266587</v>
      </c>
    </row>
    <row r="183" spans="1:18" x14ac:dyDescent="0.25">
      <c r="A183">
        <v>7479</v>
      </c>
      <c r="B183" t="s">
        <v>850</v>
      </c>
      <c r="C183" t="s">
        <v>851</v>
      </c>
      <c r="D183" s="34">
        <v>64104.800000000003</v>
      </c>
      <c r="E183">
        <v>1246264518</v>
      </c>
      <c r="F183" s="30">
        <v>46166</v>
      </c>
      <c r="G183" s="30"/>
      <c r="H183" t="s">
        <v>28</v>
      </c>
      <c r="I183" t="s">
        <v>29</v>
      </c>
      <c r="J183">
        <v>10739</v>
      </c>
      <c r="K183" s="30">
        <v>46076</v>
      </c>
      <c r="L183">
        <v>1010100</v>
      </c>
      <c r="M183" t="s">
        <v>35</v>
      </c>
      <c r="N183">
        <v>56</v>
      </c>
      <c r="O183" t="s">
        <v>162</v>
      </c>
      <c r="P183" t="s">
        <v>500</v>
      </c>
      <c r="Q183">
        <f t="shared" si="3"/>
        <v>-55</v>
      </c>
      <c r="R183">
        <f>_xlfn.XLOOKUP(E183,'Data Additive'!E:E,'Data Additive'!E:E,0)</f>
        <v>1246264518</v>
      </c>
    </row>
    <row r="184" spans="1:18" x14ac:dyDescent="0.25">
      <c r="A184">
        <v>6477</v>
      </c>
      <c r="B184" t="s">
        <v>98</v>
      </c>
      <c r="C184" t="s">
        <v>99</v>
      </c>
      <c r="D184" s="34">
        <v>5400</v>
      </c>
      <c r="E184">
        <v>1246054441</v>
      </c>
      <c r="F184" s="30">
        <v>44897</v>
      </c>
      <c r="G184" s="30"/>
      <c r="H184" t="s">
        <v>28</v>
      </c>
      <c r="I184" t="s">
        <v>29</v>
      </c>
      <c r="J184">
        <v>1246054441</v>
      </c>
      <c r="K184" s="30">
        <v>44882</v>
      </c>
      <c r="L184">
        <v>3041000</v>
      </c>
      <c r="M184" t="s">
        <v>138</v>
      </c>
      <c r="N184">
        <v>46</v>
      </c>
      <c r="O184" t="s">
        <v>163</v>
      </c>
      <c r="P184" t="s">
        <v>500</v>
      </c>
      <c r="Q184">
        <f t="shared" si="3"/>
        <v>1214</v>
      </c>
      <c r="R184">
        <f>_xlfn.XLOOKUP(E184,'Data Additive'!E:E,'Data Additive'!E:E,0)</f>
        <v>0</v>
      </c>
    </row>
    <row r="185" spans="1:18" x14ac:dyDescent="0.25">
      <c r="A185">
        <v>6477</v>
      </c>
      <c r="B185" t="s">
        <v>98</v>
      </c>
      <c r="C185" t="s">
        <v>99</v>
      </c>
      <c r="D185" s="34">
        <v>10915.8</v>
      </c>
      <c r="E185">
        <v>1246261047</v>
      </c>
      <c r="F185" s="30">
        <v>46138</v>
      </c>
      <c r="G185" s="30"/>
      <c r="H185" t="s">
        <v>28</v>
      </c>
      <c r="I185" t="s">
        <v>29</v>
      </c>
      <c r="J185">
        <v>10576</v>
      </c>
      <c r="K185" s="30">
        <v>46048</v>
      </c>
      <c r="L185">
        <v>1010100</v>
      </c>
      <c r="M185" t="s">
        <v>35</v>
      </c>
      <c r="N185">
        <v>161</v>
      </c>
      <c r="O185" t="s">
        <v>161</v>
      </c>
      <c r="P185" t="s">
        <v>500</v>
      </c>
      <c r="Q185">
        <f t="shared" si="3"/>
        <v>-27</v>
      </c>
      <c r="R185">
        <f>_xlfn.XLOOKUP(E185,'Data Additive'!E:E,'Data Additive'!E:E,0)</f>
        <v>1246261047</v>
      </c>
    </row>
    <row r="186" spans="1:18" x14ac:dyDescent="0.25">
      <c r="A186">
        <v>6477</v>
      </c>
      <c r="B186" t="s">
        <v>98</v>
      </c>
      <c r="C186" t="s">
        <v>99</v>
      </c>
      <c r="D186" s="34">
        <v>166320</v>
      </c>
      <c r="E186">
        <v>1246263184</v>
      </c>
      <c r="F186" s="30">
        <v>46153</v>
      </c>
      <c r="G186" s="30"/>
      <c r="H186" t="s">
        <v>28</v>
      </c>
      <c r="I186" t="s">
        <v>29</v>
      </c>
      <c r="J186">
        <v>10673</v>
      </c>
      <c r="K186" s="30">
        <v>46063</v>
      </c>
      <c r="L186">
        <v>1010100</v>
      </c>
      <c r="M186" t="s">
        <v>35</v>
      </c>
      <c r="N186">
        <v>161</v>
      </c>
      <c r="O186" t="s">
        <v>161</v>
      </c>
      <c r="P186" t="s">
        <v>500</v>
      </c>
      <c r="Q186">
        <f t="shared" si="3"/>
        <v>-42</v>
      </c>
      <c r="R186">
        <f>_xlfn.XLOOKUP(E186,'Data Additive'!E:E,'Data Additive'!E:E,0)</f>
        <v>1246263184</v>
      </c>
    </row>
    <row r="187" spans="1:18" x14ac:dyDescent="0.25">
      <c r="A187">
        <v>6477</v>
      </c>
      <c r="B187" t="s">
        <v>98</v>
      </c>
      <c r="C187" t="s">
        <v>99</v>
      </c>
      <c r="D187" s="34">
        <v>221088</v>
      </c>
      <c r="E187">
        <v>1246261235</v>
      </c>
      <c r="F187" s="30">
        <v>46139</v>
      </c>
      <c r="G187" s="30"/>
      <c r="H187" t="s">
        <v>28</v>
      </c>
      <c r="I187" t="s">
        <v>29</v>
      </c>
      <c r="J187">
        <v>10588</v>
      </c>
      <c r="K187" s="30">
        <v>46049</v>
      </c>
      <c r="L187">
        <v>1010100</v>
      </c>
      <c r="M187" t="s">
        <v>35</v>
      </c>
      <c r="N187">
        <v>161</v>
      </c>
      <c r="O187" t="s">
        <v>161</v>
      </c>
      <c r="P187" t="s">
        <v>500</v>
      </c>
      <c r="Q187">
        <f t="shared" si="3"/>
        <v>-28</v>
      </c>
      <c r="R187">
        <f>_xlfn.XLOOKUP(E187,'Data Additive'!E:E,'Data Additive'!E:E,0)</f>
        <v>1246261235</v>
      </c>
    </row>
    <row r="188" spans="1:18" x14ac:dyDescent="0.25">
      <c r="A188">
        <v>6477</v>
      </c>
      <c r="B188" t="s">
        <v>98</v>
      </c>
      <c r="C188" t="s">
        <v>99</v>
      </c>
      <c r="D188" s="34">
        <v>167720</v>
      </c>
      <c r="E188">
        <v>1246262010</v>
      </c>
      <c r="F188" s="30">
        <v>46145</v>
      </c>
      <c r="G188" s="30"/>
      <c r="H188" t="s">
        <v>28</v>
      </c>
      <c r="I188" t="s">
        <v>29</v>
      </c>
      <c r="J188">
        <v>10625</v>
      </c>
      <c r="K188" s="30">
        <v>46055</v>
      </c>
      <c r="L188">
        <v>1010100</v>
      </c>
      <c r="M188" t="s">
        <v>35</v>
      </c>
      <c r="N188">
        <v>161</v>
      </c>
      <c r="O188" t="s">
        <v>161</v>
      </c>
      <c r="P188" t="s">
        <v>500</v>
      </c>
      <c r="Q188">
        <f t="shared" si="3"/>
        <v>-34</v>
      </c>
      <c r="R188">
        <f>_xlfn.XLOOKUP(E188,'Data Additive'!E:E,'Data Additive'!E:E,0)</f>
        <v>1246262010</v>
      </c>
    </row>
    <row r="189" spans="1:18" x14ac:dyDescent="0.25">
      <c r="A189">
        <v>6477</v>
      </c>
      <c r="B189" t="s">
        <v>98</v>
      </c>
      <c r="C189" t="s">
        <v>99</v>
      </c>
      <c r="D189" s="34">
        <v>167048</v>
      </c>
      <c r="E189">
        <v>1246260177</v>
      </c>
      <c r="F189" s="30">
        <v>46132</v>
      </c>
      <c r="G189" s="30"/>
      <c r="H189" t="s">
        <v>28</v>
      </c>
      <c r="I189" t="s">
        <v>29</v>
      </c>
      <c r="J189">
        <v>10533</v>
      </c>
      <c r="K189" s="30">
        <v>46042</v>
      </c>
      <c r="L189">
        <v>1010100</v>
      </c>
      <c r="M189" t="s">
        <v>35</v>
      </c>
      <c r="N189">
        <v>161</v>
      </c>
      <c r="O189" t="s">
        <v>161</v>
      </c>
      <c r="P189" t="s">
        <v>500</v>
      </c>
      <c r="Q189">
        <f t="shared" si="3"/>
        <v>-21</v>
      </c>
      <c r="R189">
        <f>_xlfn.XLOOKUP(E189,'Data Additive'!E:E,'Data Additive'!E:E,0)</f>
        <v>1246260177</v>
      </c>
    </row>
    <row r="190" spans="1:18" x14ac:dyDescent="0.25">
      <c r="A190">
        <v>6477</v>
      </c>
      <c r="B190" t="s">
        <v>98</v>
      </c>
      <c r="C190" t="s">
        <v>99</v>
      </c>
      <c r="D190" s="34">
        <v>168000</v>
      </c>
      <c r="E190">
        <v>1246259444</v>
      </c>
      <c r="F190" s="30">
        <v>46126</v>
      </c>
      <c r="G190" s="30"/>
      <c r="H190" t="s">
        <v>28</v>
      </c>
      <c r="I190" t="s">
        <v>29</v>
      </c>
      <c r="J190">
        <v>10483</v>
      </c>
      <c r="K190" s="30">
        <v>46036</v>
      </c>
      <c r="L190">
        <v>1010100</v>
      </c>
      <c r="M190" t="s">
        <v>35</v>
      </c>
      <c r="N190">
        <v>161</v>
      </c>
      <c r="O190" t="s">
        <v>161</v>
      </c>
      <c r="P190" t="s">
        <v>500</v>
      </c>
      <c r="Q190">
        <f t="shared" si="3"/>
        <v>-15</v>
      </c>
      <c r="R190">
        <f>_xlfn.XLOOKUP(E190,'Data Additive'!E:E,'Data Additive'!E:E,0)</f>
        <v>1246259444</v>
      </c>
    </row>
    <row r="191" spans="1:18" x14ac:dyDescent="0.25">
      <c r="A191">
        <v>6477</v>
      </c>
      <c r="B191" t="s">
        <v>98</v>
      </c>
      <c r="C191" t="s">
        <v>99</v>
      </c>
      <c r="D191" s="34">
        <v>6302.6</v>
      </c>
      <c r="E191">
        <v>1246212732</v>
      </c>
      <c r="F191" s="30">
        <v>45682</v>
      </c>
      <c r="G191" s="30"/>
      <c r="H191" t="s">
        <v>28</v>
      </c>
      <c r="I191" t="s">
        <v>29</v>
      </c>
      <c r="J191">
        <v>6197</v>
      </c>
      <c r="K191" s="30">
        <v>45622</v>
      </c>
      <c r="L191">
        <v>1010100</v>
      </c>
      <c r="M191" t="s">
        <v>35</v>
      </c>
      <c r="N191">
        <v>161</v>
      </c>
      <c r="O191" t="s">
        <v>161</v>
      </c>
      <c r="P191" t="s">
        <v>500</v>
      </c>
      <c r="Q191">
        <f t="shared" si="3"/>
        <v>429</v>
      </c>
      <c r="R191">
        <f>_xlfn.XLOOKUP(E191,'Data Additive'!E:E,'Data Additive'!E:E,0)</f>
        <v>1246212732</v>
      </c>
    </row>
    <row r="192" spans="1:18" x14ac:dyDescent="0.25">
      <c r="A192">
        <v>7097</v>
      </c>
      <c r="B192" t="s">
        <v>102</v>
      </c>
      <c r="C192" t="s">
        <v>103</v>
      </c>
      <c r="D192" s="34">
        <v>11300</v>
      </c>
      <c r="E192">
        <v>1246058687</v>
      </c>
      <c r="F192" s="30">
        <v>44925</v>
      </c>
      <c r="G192" s="30"/>
      <c r="H192" t="s">
        <v>28</v>
      </c>
      <c r="I192" t="s">
        <v>29</v>
      </c>
      <c r="J192">
        <v>1246058687</v>
      </c>
      <c r="K192" s="30">
        <v>44910</v>
      </c>
      <c r="L192">
        <v>3041000</v>
      </c>
      <c r="M192" t="s">
        <v>138</v>
      </c>
      <c r="N192">
        <v>46</v>
      </c>
      <c r="O192" t="s">
        <v>163</v>
      </c>
      <c r="P192" t="s">
        <v>500</v>
      </c>
      <c r="Q192">
        <f t="shared" si="3"/>
        <v>1186</v>
      </c>
      <c r="R192">
        <f>_xlfn.XLOOKUP(E192,'Data Additive'!E:E,'Data Additive'!E:E,0)</f>
        <v>0</v>
      </c>
    </row>
    <row r="193" spans="1:18" x14ac:dyDescent="0.25">
      <c r="A193">
        <v>7097</v>
      </c>
      <c r="B193" t="s">
        <v>102</v>
      </c>
      <c r="C193" t="s">
        <v>103</v>
      </c>
      <c r="D193" s="34">
        <v>10183.120000000001</v>
      </c>
      <c r="E193">
        <v>1246057240</v>
      </c>
      <c r="F193" s="30">
        <v>44922</v>
      </c>
      <c r="G193" s="30"/>
      <c r="H193" t="s">
        <v>28</v>
      </c>
      <c r="I193" t="s">
        <v>29</v>
      </c>
      <c r="J193">
        <v>71222</v>
      </c>
      <c r="K193" s="30">
        <v>44902</v>
      </c>
      <c r="L193">
        <v>3041000</v>
      </c>
      <c r="M193" t="s">
        <v>138</v>
      </c>
      <c r="N193">
        <v>46</v>
      </c>
      <c r="O193" t="s">
        <v>163</v>
      </c>
      <c r="P193" t="s">
        <v>500</v>
      </c>
      <c r="Q193">
        <f t="shared" si="3"/>
        <v>1189</v>
      </c>
      <c r="R193">
        <f>_xlfn.XLOOKUP(E193,'Data Additive'!E:E,'Data Additive'!E:E,0)</f>
        <v>0</v>
      </c>
    </row>
    <row r="194" spans="1:18" x14ac:dyDescent="0.25">
      <c r="A194">
        <v>7097</v>
      </c>
      <c r="B194" t="s">
        <v>102</v>
      </c>
      <c r="C194" t="s">
        <v>103</v>
      </c>
      <c r="D194" s="34">
        <v>177977.8</v>
      </c>
      <c r="E194">
        <v>1246265921</v>
      </c>
      <c r="F194" s="30">
        <v>46173</v>
      </c>
      <c r="G194" s="30"/>
      <c r="H194" t="s">
        <v>28</v>
      </c>
      <c r="I194" t="s">
        <v>29</v>
      </c>
      <c r="J194">
        <v>10795</v>
      </c>
      <c r="K194" s="30">
        <v>46083</v>
      </c>
      <c r="L194">
        <v>1010100</v>
      </c>
      <c r="M194" t="s">
        <v>35</v>
      </c>
      <c r="N194">
        <v>161</v>
      </c>
      <c r="O194" t="s">
        <v>161</v>
      </c>
      <c r="P194" t="s">
        <v>500</v>
      </c>
      <c r="Q194">
        <f t="shared" si="3"/>
        <v>-62</v>
      </c>
      <c r="R194">
        <f>_xlfn.XLOOKUP(E194,'Data Additive'!E:E,'Data Additive'!E:E,0)</f>
        <v>1246265921</v>
      </c>
    </row>
    <row r="195" spans="1:18" x14ac:dyDescent="0.25">
      <c r="A195">
        <v>7097</v>
      </c>
      <c r="B195" t="s">
        <v>102</v>
      </c>
      <c r="C195" t="s">
        <v>103</v>
      </c>
      <c r="D195" s="34">
        <v>24552</v>
      </c>
      <c r="E195">
        <v>1246259145</v>
      </c>
      <c r="F195" s="30">
        <v>46124</v>
      </c>
      <c r="G195" s="30"/>
      <c r="H195" t="s">
        <v>28</v>
      </c>
      <c r="I195" t="s">
        <v>29</v>
      </c>
      <c r="J195">
        <v>10460</v>
      </c>
      <c r="K195" s="30">
        <v>46034</v>
      </c>
      <c r="L195">
        <v>1010100</v>
      </c>
      <c r="M195" t="s">
        <v>35</v>
      </c>
      <c r="N195">
        <v>161</v>
      </c>
      <c r="O195" t="s">
        <v>161</v>
      </c>
      <c r="P195" t="s">
        <v>500</v>
      </c>
      <c r="Q195">
        <f t="shared" si="3"/>
        <v>-13</v>
      </c>
      <c r="R195">
        <f>_xlfn.XLOOKUP(E195,'Data Additive'!E:E,'Data Additive'!E:E,0)</f>
        <v>1246259145</v>
      </c>
    </row>
    <row r="196" spans="1:18" x14ac:dyDescent="0.25">
      <c r="A196">
        <v>7443</v>
      </c>
      <c r="B196" t="s">
        <v>828</v>
      </c>
      <c r="C196" t="s">
        <v>253</v>
      </c>
      <c r="D196" s="34">
        <v>1200</v>
      </c>
      <c r="E196">
        <v>1246156403</v>
      </c>
      <c r="F196" s="30">
        <v>45496</v>
      </c>
      <c r="G196" s="30"/>
      <c r="H196" t="s">
        <v>28</v>
      </c>
      <c r="I196" t="s">
        <v>29</v>
      </c>
      <c r="J196">
        <v>1246156403</v>
      </c>
      <c r="K196" s="30">
        <v>45481</v>
      </c>
      <c r="L196">
        <v>3041000</v>
      </c>
      <c r="M196" t="s">
        <v>138</v>
      </c>
      <c r="N196">
        <v>46</v>
      </c>
      <c r="O196" t="s">
        <v>163</v>
      </c>
      <c r="P196" t="s">
        <v>500</v>
      </c>
      <c r="Q196">
        <f t="shared" si="3"/>
        <v>615</v>
      </c>
      <c r="R196">
        <f>_xlfn.XLOOKUP(E196,'Data Additive'!E:E,'Data Additive'!E:E,0)</f>
        <v>0</v>
      </c>
    </row>
    <row r="197" spans="1:18" x14ac:dyDescent="0.25">
      <c r="A197">
        <v>7443</v>
      </c>
      <c r="B197" t="s">
        <v>828</v>
      </c>
      <c r="C197" t="s">
        <v>253</v>
      </c>
      <c r="D197" s="34">
        <v>1200</v>
      </c>
      <c r="E197">
        <v>1246156396</v>
      </c>
      <c r="F197" s="30">
        <v>45496</v>
      </c>
      <c r="G197" s="30"/>
      <c r="H197" t="s">
        <v>28</v>
      </c>
      <c r="I197" t="s">
        <v>29</v>
      </c>
      <c r="J197">
        <v>1246156396</v>
      </c>
      <c r="K197" s="30">
        <v>45481</v>
      </c>
      <c r="L197">
        <v>3041000</v>
      </c>
      <c r="M197" t="s">
        <v>138</v>
      </c>
      <c r="N197">
        <v>46</v>
      </c>
      <c r="O197" t="s">
        <v>163</v>
      </c>
      <c r="P197" t="s">
        <v>500</v>
      </c>
      <c r="Q197">
        <f t="shared" si="3"/>
        <v>615</v>
      </c>
      <c r="R197">
        <f>_xlfn.XLOOKUP(E197,'Data Additive'!E:E,'Data Additive'!E:E,0)</f>
        <v>0</v>
      </c>
    </row>
    <row r="198" spans="1:18" x14ac:dyDescent="0.25">
      <c r="A198">
        <v>7024</v>
      </c>
      <c r="B198" t="s">
        <v>862</v>
      </c>
      <c r="C198" t="s">
        <v>863</v>
      </c>
      <c r="D198" s="34">
        <v>70855.199999999997</v>
      </c>
      <c r="E198">
        <v>1246269662</v>
      </c>
      <c r="F198" s="30">
        <v>46201</v>
      </c>
      <c r="G198" s="30"/>
      <c r="H198" t="s">
        <v>28</v>
      </c>
      <c r="I198" t="s">
        <v>29</v>
      </c>
      <c r="J198">
        <v>11011</v>
      </c>
      <c r="K198" s="30">
        <v>46111</v>
      </c>
      <c r="L198">
        <v>1010100</v>
      </c>
      <c r="M198" t="s">
        <v>35</v>
      </c>
      <c r="N198">
        <v>161</v>
      </c>
      <c r="O198" t="s">
        <v>161</v>
      </c>
      <c r="P198" t="s">
        <v>500</v>
      </c>
      <c r="Q198">
        <f t="shared" si="3"/>
        <v>-90</v>
      </c>
      <c r="R198">
        <f>_xlfn.XLOOKUP(E198,'Data Additive'!E:E,'Data Additive'!E:E,0)</f>
        <v>1246269662</v>
      </c>
    </row>
    <row r="199" spans="1:18" x14ac:dyDescent="0.25">
      <c r="A199">
        <v>7024</v>
      </c>
      <c r="B199" t="s">
        <v>862</v>
      </c>
      <c r="C199" t="s">
        <v>863</v>
      </c>
      <c r="D199" s="34">
        <v>70410.600000000006</v>
      </c>
      <c r="E199">
        <v>1246265856</v>
      </c>
      <c r="F199" s="30">
        <v>46170</v>
      </c>
      <c r="G199" s="30"/>
      <c r="H199" t="s">
        <v>28</v>
      </c>
      <c r="I199" t="s">
        <v>29</v>
      </c>
      <c r="J199">
        <v>10790</v>
      </c>
      <c r="K199" s="30">
        <v>46080</v>
      </c>
      <c r="L199">
        <v>1010100</v>
      </c>
      <c r="M199" t="s">
        <v>35</v>
      </c>
      <c r="N199">
        <v>161</v>
      </c>
      <c r="O199" t="s">
        <v>161</v>
      </c>
      <c r="P199" t="s">
        <v>500</v>
      </c>
      <c r="Q199">
        <f t="shared" si="3"/>
        <v>-59</v>
      </c>
      <c r="R199">
        <f>_xlfn.XLOOKUP(E199,'Data Additive'!E:E,'Data Additive'!E:E,0)</f>
        <v>1246265856</v>
      </c>
    </row>
    <row r="200" spans="1:18" x14ac:dyDescent="0.25">
      <c r="A200">
        <v>7302</v>
      </c>
      <c r="B200" t="s">
        <v>104</v>
      </c>
      <c r="C200" t="s">
        <v>105</v>
      </c>
      <c r="D200" s="34">
        <v>1800</v>
      </c>
      <c r="E200">
        <v>1246045752</v>
      </c>
      <c r="F200" s="30">
        <v>44848</v>
      </c>
      <c r="G200" s="30"/>
      <c r="H200" t="s">
        <v>28</v>
      </c>
      <c r="I200" t="s">
        <v>29</v>
      </c>
      <c r="J200">
        <v>290922</v>
      </c>
      <c r="K200" s="30">
        <v>44833</v>
      </c>
      <c r="L200">
        <v>3041000</v>
      </c>
      <c r="M200" t="s">
        <v>138</v>
      </c>
      <c r="N200">
        <v>46</v>
      </c>
      <c r="O200" t="s">
        <v>163</v>
      </c>
      <c r="P200" t="s">
        <v>500</v>
      </c>
      <c r="Q200">
        <f t="shared" si="3"/>
        <v>1263</v>
      </c>
      <c r="R200">
        <f>_xlfn.XLOOKUP(E200,'Data Additive'!E:E,'Data Additive'!E:E,0)</f>
        <v>0</v>
      </c>
    </row>
    <row r="201" spans="1:18" x14ac:dyDescent="0.25">
      <c r="A201">
        <v>7302</v>
      </c>
      <c r="B201" t="s">
        <v>104</v>
      </c>
      <c r="C201" t="s">
        <v>105</v>
      </c>
      <c r="D201" s="34">
        <v>7200</v>
      </c>
      <c r="E201">
        <v>1246033417</v>
      </c>
      <c r="F201" s="30">
        <v>44792</v>
      </c>
      <c r="G201" s="30"/>
      <c r="H201" t="s">
        <v>28</v>
      </c>
      <c r="I201" t="s">
        <v>29</v>
      </c>
      <c r="J201">
        <v>1246033417</v>
      </c>
      <c r="K201" s="30">
        <v>44777</v>
      </c>
      <c r="L201">
        <v>3041000</v>
      </c>
      <c r="M201" t="s">
        <v>138</v>
      </c>
      <c r="N201">
        <v>46</v>
      </c>
      <c r="O201" t="s">
        <v>163</v>
      </c>
      <c r="P201" t="s">
        <v>500</v>
      </c>
      <c r="Q201">
        <f t="shared" si="3"/>
        <v>1319</v>
      </c>
      <c r="R201">
        <f>_xlfn.XLOOKUP(E201,'Data Additive'!E:E,'Data Additive'!E:E,0)</f>
        <v>0</v>
      </c>
    </row>
    <row r="202" spans="1:18" x14ac:dyDescent="0.25">
      <c r="A202">
        <v>7302</v>
      </c>
      <c r="B202" t="s">
        <v>104</v>
      </c>
      <c r="C202" t="s">
        <v>105</v>
      </c>
      <c r="D202" s="34">
        <v>1431.76</v>
      </c>
      <c r="E202">
        <v>1246062794</v>
      </c>
      <c r="F202" s="30">
        <v>44939</v>
      </c>
      <c r="G202" s="30"/>
      <c r="H202" t="s">
        <v>28</v>
      </c>
      <c r="I202" t="s">
        <v>29</v>
      </c>
      <c r="J202">
        <v>19884</v>
      </c>
      <c r="K202" s="30">
        <v>44879</v>
      </c>
      <c r="L202">
        <v>1010100</v>
      </c>
      <c r="M202" t="s">
        <v>35</v>
      </c>
      <c r="N202">
        <v>80</v>
      </c>
      <c r="O202" t="s">
        <v>181</v>
      </c>
      <c r="P202" t="s">
        <v>500</v>
      </c>
      <c r="Q202">
        <f t="shared" si="3"/>
        <v>1172</v>
      </c>
      <c r="R202">
        <f>_xlfn.XLOOKUP(E202,'Data Additive'!E:E,'Data Additive'!E:E,0)</f>
        <v>1246062794</v>
      </c>
    </row>
    <row r="203" spans="1:18" x14ac:dyDescent="0.25">
      <c r="A203">
        <v>7302</v>
      </c>
      <c r="B203" t="s">
        <v>104</v>
      </c>
      <c r="C203" t="s">
        <v>105</v>
      </c>
      <c r="D203" s="34">
        <v>9000</v>
      </c>
      <c r="E203">
        <v>1246054438</v>
      </c>
      <c r="F203" s="30">
        <v>44897</v>
      </c>
      <c r="G203" s="30"/>
      <c r="H203" t="s">
        <v>28</v>
      </c>
      <c r="I203" t="s">
        <v>29</v>
      </c>
      <c r="J203">
        <v>1246054438</v>
      </c>
      <c r="K203" s="30">
        <v>44882</v>
      </c>
      <c r="L203">
        <v>3041000</v>
      </c>
      <c r="M203" t="s">
        <v>138</v>
      </c>
      <c r="N203">
        <v>46</v>
      </c>
      <c r="O203" t="s">
        <v>163</v>
      </c>
      <c r="P203" t="s">
        <v>500</v>
      </c>
      <c r="Q203">
        <f t="shared" si="3"/>
        <v>1214</v>
      </c>
      <c r="R203">
        <f>_xlfn.XLOOKUP(E203,'Data Additive'!E:E,'Data Additive'!E:E,0)</f>
        <v>0</v>
      </c>
    </row>
    <row r="204" spans="1:18" x14ac:dyDescent="0.25">
      <c r="A204">
        <v>7302</v>
      </c>
      <c r="B204" t="s">
        <v>104</v>
      </c>
      <c r="C204" t="s">
        <v>105</v>
      </c>
      <c r="D204" s="34">
        <v>7200</v>
      </c>
      <c r="E204">
        <v>1246057914</v>
      </c>
      <c r="F204" s="30">
        <v>44922</v>
      </c>
      <c r="G204" s="30"/>
      <c r="H204" t="s">
        <v>28</v>
      </c>
      <c r="I204" t="s">
        <v>29</v>
      </c>
      <c r="J204">
        <v>1246057914</v>
      </c>
      <c r="K204" s="30">
        <v>44907</v>
      </c>
      <c r="L204">
        <v>3041000</v>
      </c>
      <c r="M204" t="s">
        <v>138</v>
      </c>
      <c r="N204">
        <v>46</v>
      </c>
      <c r="O204" t="s">
        <v>163</v>
      </c>
      <c r="P204" t="s">
        <v>500</v>
      </c>
      <c r="Q204">
        <f t="shared" si="3"/>
        <v>1189</v>
      </c>
      <c r="R204">
        <f>_xlfn.XLOOKUP(E204,'Data Additive'!E:E,'Data Additive'!E:E,0)</f>
        <v>0</v>
      </c>
    </row>
    <row r="205" spans="1:18" x14ac:dyDescent="0.25">
      <c r="A205">
        <v>7302</v>
      </c>
      <c r="B205" t="s">
        <v>104</v>
      </c>
      <c r="C205" t="s">
        <v>105</v>
      </c>
      <c r="D205" s="34">
        <v>2517.4</v>
      </c>
      <c r="E205">
        <v>1246055324</v>
      </c>
      <c r="F205" s="30">
        <v>44887</v>
      </c>
      <c r="G205" s="30"/>
      <c r="H205" t="s">
        <v>28</v>
      </c>
      <c r="I205" t="s">
        <v>29</v>
      </c>
      <c r="J205">
        <v>19314</v>
      </c>
      <c r="K205" s="30">
        <v>44827</v>
      </c>
      <c r="L205">
        <v>1010100</v>
      </c>
      <c r="M205" t="s">
        <v>35</v>
      </c>
      <c r="N205">
        <v>161</v>
      </c>
      <c r="O205" t="s">
        <v>161</v>
      </c>
      <c r="P205" t="s">
        <v>500</v>
      </c>
      <c r="Q205">
        <f t="shared" si="3"/>
        <v>1224</v>
      </c>
      <c r="R205">
        <f>_xlfn.XLOOKUP(E205,'Data Additive'!E:E,'Data Additive'!E:E,0)</f>
        <v>1246055324</v>
      </c>
    </row>
    <row r="206" spans="1:18" x14ac:dyDescent="0.25">
      <c r="A206">
        <v>7302</v>
      </c>
      <c r="B206" t="s">
        <v>104</v>
      </c>
      <c r="C206" t="s">
        <v>105</v>
      </c>
      <c r="D206" s="34">
        <v>166320</v>
      </c>
      <c r="E206">
        <v>1246263181</v>
      </c>
      <c r="F206" s="30">
        <v>46153</v>
      </c>
      <c r="G206" s="30"/>
      <c r="H206" t="s">
        <v>28</v>
      </c>
      <c r="I206" t="s">
        <v>29</v>
      </c>
      <c r="J206">
        <v>10672</v>
      </c>
      <c r="K206" s="30">
        <v>46063</v>
      </c>
      <c r="L206">
        <v>1010100</v>
      </c>
      <c r="M206" t="s">
        <v>35</v>
      </c>
      <c r="N206">
        <v>161</v>
      </c>
      <c r="O206" t="s">
        <v>161</v>
      </c>
      <c r="P206" t="s">
        <v>500</v>
      </c>
      <c r="Q206">
        <f t="shared" ref="Q206:Q267" si="4">$R$1-F206</f>
        <v>-42</v>
      </c>
      <c r="R206">
        <f>_xlfn.XLOOKUP(E206,'Data Additive'!E:E,'Data Additive'!E:E,0)</f>
        <v>1246263181</v>
      </c>
    </row>
    <row r="207" spans="1:18" x14ac:dyDescent="0.25">
      <c r="A207">
        <v>7302</v>
      </c>
      <c r="B207" t="s">
        <v>104</v>
      </c>
      <c r="C207" t="s">
        <v>105</v>
      </c>
      <c r="D207" s="34">
        <v>54135</v>
      </c>
      <c r="E207">
        <v>1246259200</v>
      </c>
      <c r="F207" s="30">
        <v>46124</v>
      </c>
      <c r="G207" s="30"/>
      <c r="H207" t="s">
        <v>28</v>
      </c>
      <c r="I207" t="s">
        <v>29</v>
      </c>
      <c r="J207">
        <v>10465</v>
      </c>
      <c r="K207" s="30">
        <v>46034</v>
      </c>
      <c r="L207">
        <v>1010100</v>
      </c>
      <c r="M207" t="s">
        <v>35</v>
      </c>
      <c r="N207">
        <v>56</v>
      </c>
      <c r="O207" t="s">
        <v>162</v>
      </c>
      <c r="P207" t="s">
        <v>500</v>
      </c>
      <c r="Q207">
        <f t="shared" si="4"/>
        <v>-13</v>
      </c>
      <c r="R207">
        <f>_xlfn.XLOOKUP(E207,'Data Additive'!E:E,'Data Additive'!E:E,0)</f>
        <v>1246259200</v>
      </c>
    </row>
    <row r="208" spans="1:18" x14ac:dyDescent="0.25">
      <c r="A208">
        <v>7302</v>
      </c>
      <c r="B208" t="s">
        <v>104</v>
      </c>
      <c r="C208" t="s">
        <v>105</v>
      </c>
      <c r="D208" s="34">
        <v>112000</v>
      </c>
      <c r="E208">
        <v>1246261232</v>
      </c>
      <c r="F208" s="30">
        <v>46139</v>
      </c>
      <c r="G208" s="30"/>
      <c r="H208" t="s">
        <v>28</v>
      </c>
      <c r="I208" t="s">
        <v>29</v>
      </c>
      <c r="J208">
        <v>10587</v>
      </c>
      <c r="K208" s="30">
        <v>46049</v>
      </c>
      <c r="L208">
        <v>1010100</v>
      </c>
      <c r="M208" t="s">
        <v>35</v>
      </c>
      <c r="N208">
        <v>161</v>
      </c>
      <c r="O208" t="s">
        <v>161</v>
      </c>
      <c r="P208" t="s">
        <v>500</v>
      </c>
      <c r="Q208">
        <f t="shared" si="4"/>
        <v>-28</v>
      </c>
      <c r="R208">
        <f>_xlfn.XLOOKUP(E208,'Data Additive'!E:E,'Data Additive'!E:E,0)</f>
        <v>1246261232</v>
      </c>
    </row>
    <row r="209" spans="1:18" x14ac:dyDescent="0.25">
      <c r="A209">
        <v>7302</v>
      </c>
      <c r="B209" t="s">
        <v>104</v>
      </c>
      <c r="C209" t="s">
        <v>105</v>
      </c>
      <c r="D209" s="34">
        <v>157472</v>
      </c>
      <c r="E209">
        <v>1246259446</v>
      </c>
      <c r="F209" s="30">
        <v>46126</v>
      </c>
      <c r="G209" s="30"/>
      <c r="H209" t="s">
        <v>28</v>
      </c>
      <c r="I209" t="s">
        <v>29</v>
      </c>
      <c r="J209">
        <v>10484</v>
      </c>
      <c r="K209" s="30">
        <v>46036</v>
      </c>
      <c r="L209">
        <v>1010100</v>
      </c>
      <c r="M209" t="s">
        <v>35</v>
      </c>
      <c r="N209">
        <v>161</v>
      </c>
      <c r="O209" t="s">
        <v>161</v>
      </c>
      <c r="P209" t="s">
        <v>500</v>
      </c>
      <c r="Q209">
        <f t="shared" si="4"/>
        <v>-15</v>
      </c>
      <c r="R209">
        <f>_xlfn.XLOOKUP(E209,'Data Additive'!E:E,'Data Additive'!E:E,0)</f>
        <v>1246259446</v>
      </c>
    </row>
    <row r="210" spans="1:18" x14ac:dyDescent="0.25">
      <c r="A210">
        <v>7302</v>
      </c>
      <c r="B210" t="s">
        <v>104</v>
      </c>
      <c r="C210" t="s">
        <v>105</v>
      </c>
      <c r="D210" s="34">
        <v>167048</v>
      </c>
      <c r="E210">
        <v>1246260176</v>
      </c>
      <c r="F210" s="30">
        <v>46132</v>
      </c>
      <c r="G210" s="30"/>
      <c r="H210" t="s">
        <v>28</v>
      </c>
      <c r="I210" t="s">
        <v>29</v>
      </c>
      <c r="J210">
        <v>10532</v>
      </c>
      <c r="K210" s="30">
        <v>46042</v>
      </c>
      <c r="L210">
        <v>1010100</v>
      </c>
      <c r="M210" t="s">
        <v>35</v>
      </c>
      <c r="N210">
        <v>161</v>
      </c>
      <c r="O210" t="s">
        <v>161</v>
      </c>
      <c r="P210" t="s">
        <v>500</v>
      </c>
      <c r="Q210">
        <f t="shared" si="4"/>
        <v>-21</v>
      </c>
      <c r="R210">
        <f>_xlfn.XLOOKUP(E210,'Data Additive'!E:E,'Data Additive'!E:E,0)</f>
        <v>1246260176</v>
      </c>
    </row>
    <row r="211" spans="1:18" x14ac:dyDescent="0.25">
      <c r="A211">
        <v>7302</v>
      </c>
      <c r="B211" t="s">
        <v>104</v>
      </c>
      <c r="C211" t="s">
        <v>105</v>
      </c>
      <c r="D211" s="34">
        <v>129924</v>
      </c>
      <c r="E211">
        <v>1246259804</v>
      </c>
      <c r="F211" s="30">
        <v>46128</v>
      </c>
      <c r="G211" s="30"/>
      <c r="H211" t="s">
        <v>28</v>
      </c>
      <c r="I211" t="s">
        <v>29</v>
      </c>
      <c r="J211">
        <v>10510</v>
      </c>
      <c r="K211" s="30">
        <v>46038</v>
      </c>
      <c r="L211">
        <v>1010100</v>
      </c>
      <c r="M211" t="s">
        <v>35</v>
      </c>
      <c r="N211">
        <v>56</v>
      </c>
      <c r="O211" t="s">
        <v>162</v>
      </c>
      <c r="P211" t="s">
        <v>500</v>
      </c>
      <c r="Q211">
        <f t="shared" si="4"/>
        <v>-17</v>
      </c>
      <c r="R211">
        <f>_xlfn.XLOOKUP(E211,'Data Additive'!E:E,'Data Additive'!E:E,0)</f>
        <v>1246259804</v>
      </c>
    </row>
    <row r="212" spans="1:18" x14ac:dyDescent="0.25">
      <c r="A212">
        <v>7302</v>
      </c>
      <c r="B212" t="s">
        <v>104</v>
      </c>
      <c r="C212" t="s">
        <v>105</v>
      </c>
      <c r="D212" s="34">
        <v>22600</v>
      </c>
      <c r="E212">
        <v>1246261045</v>
      </c>
      <c r="F212" s="30">
        <v>46138</v>
      </c>
      <c r="G212" s="30"/>
      <c r="H212" t="s">
        <v>28</v>
      </c>
      <c r="I212" t="s">
        <v>29</v>
      </c>
      <c r="J212">
        <v>10574</v>
      </c>
      <c r="K212" s="30">
        <v>46048</v>
      </c>
      <c r="L212">
        <v>1010100</v>
      </c>
      <c r="M212" t="s">
        <v>35</v>
      </c>
      <c r="N212">
        <v>56</v>
      </c>
      <c r="O212" t="s">
        <v>162</v>
      </c>
      <c r="P212" t="s">
        <v>500</v>
      </c>
      <c r="Q212">
        <f t="shared" si="4"/>
        <v>-27</v>
      </c>
      <c r="R212">
        <f>_xlfn.XLOOKUP(E212,'Data Additive'!E:E,'Data Additive'!E:E,0)</f>
        <v>1246261045</v>
      </c>
    </row>
    <row r="213" spans="1:18" x14ac:dyDescent="0.25">
      <c r="A213">
        <v>7302</v>
      </c>
      <c r="B213" t="s">
        <v>104</v>
      </c>
      <c r="C213" t="s">
        <v>105</v>
      </c>
      <c r="D213" s="34">
        <v>129924</v>
      </c>
      <c r="E213">
        <v>1246268530</v>
      </c>
      <c r="F213" s="30">
        <v>46191</v>
      </c>
      <c r="G213" s="30"/>
      <c r="H213" t="s">
        <v>28</v>
      </c>
      <c r="I213" t="s">
        <v>29</v>
      </c>
      <c r="J213">
        <v>10941</v>
      </c>
      <c r="K213" s="30">
        <v>46101</v>
      </c>
      <c r="L213">
        <v>1010100</v>
      </c>
      <c r="M213" t="s">
        <v>35</v>
      </c>
      <c r="N213">
        <v>56</v>
      </c>
      <c r="O213" t="s">
        <v>162</v>
      </c>
      <c r="P213" t="s">
        <v>500</v>
      </c>
      <c r="Q213">
        <f t="shared" si="4"/>
        <v>-80</v>
      </c>
      <c r="R213">
        <f>_xlfn.XLOOKUP(E213,'Data Additive'!E:E,'Data Additive'!E:E,0)</f>
        <v>1246268530</v>
      </c>
    </row>
    <row r="214" spans="1:18" x14ac:dyDescent="0.25">
      <c r="A214">
        <v>7302</v>
      </c>
      <c r="B214" t="s">
        <v>104</v>
      </c>
      <c r="C214" t="s">
        <v>105</v>
      </c>
      <c r="D214" s="34">
        <v>167720</v>
      </c>
      <c r="E214">
        <v>1246262004</v>
      </c>
      <c r="F214" s="30">
        <v>46145</v>
      </c>
      <c r="G214" s="30"/>
      <c r="H214" t="s">
        <v>28</v>
      </c>
      <c r="I214" t="s">
        <v>29</v>
      </c>
      <c r="J214">
        <v>10622</v>
      </c>
      <c r="K214" s="30">
        <v>46055</v>
      </c>
      <c r="L214">
        <v>1010100</v>
      </c>
      <c r="M214" t="s">
        <v>35</v>
      </c>
      <c r="N214">
        <v>161</v>
      </c>
      <c r="O214" t="s">
        <v>161</v>
      </c>
      <c r="P214" t="s">
        <v>500</v>
      </c>
      <c r="Q214">
        <f t="shared" si="4"/>
        <v>-34</v>
      </c>
      <c r="R214">
        <f>_xlfn.XLOOKUP(E214,'Data Additive'!E:E,'Data Additive'!E:E,0)</f>
        <v>1246262004</v>
      </c>
    </row>
    <row r="215" spans="1:18" x14ac:dyDescent="0.25">
      <c r="A215">
        <v>7302</v>
      </c>
      <c r="B215" t="s">
        <v>104</v>
      </c>
      <c r="C215" t="s">
        <v>105</v>
      </c>
      <c r="D215" s="34">
        <v>64.2</v>
      </c>
      <c r="E215">
        <v>1246226087</v>
      </c>
      <c r="F215" s="30">
        <v>45919</v>
      </c>
      <c r="G215" s="30"/>
      <c r="H215" t="s">
        <v>28</v>
      </c>
      <c r="I215" t="s">
        <v>29</v>
      </c>
      <c r="J215">
        <v>8559</v>
      </c>
      <c r="K215" s="30">
        <v>45859</v>
      </c>
      <c r="L215">
        <v>1010100</v>
      </c>
      <c r="M215" t="s">
        <v>35</v>
      </c>
      <c r="N215">
        <v>161</v>
      </c>
      <c r="O215" t="s">
        <v>161</v>
      </c>
      <c r="P215" t="s">
        <v>500</v>
      </c>
      <c r="Q215">
        <f t="shared" si="4"/>
        <v>192</v>
      </c>
      <c r="R215">
        <f>_xlfn.XLOOKUP(E215,'Data Additive'!E:E,'Data Additive'!E:E,0)</f>
        <v>1246226087</v>
      </c>
    </row>
    <row r="216" spans="1:18" x14ac:dyDescent="0.25">
      <c r="A216">
        <v>6415</v>
      </c>
      <c r="B216" t="s">
        <v>139</v>
      </c>
      <c r="C216" t="s">
        <v>140</v>
      </c>
      <c r="D216" s="34">
        <v>3600</v>
      </c>
      <c r="E216">
        <v>1245985693</v>
      </c>
      <c r="F216" s="30">
        <v>44692</v>
      </c>
      <c r="G216" s="30"/>
      <c r="H216" t="s">
        <v>28</v>
      </c>
      <c r="I216" t="s">
        <v>29</v>
      </c>
      <c r="J216">
        <v>1245985693</v>
      </c>
      <c r="K216" s="30">
        <v>44531</v>
      </c>
      <c r="L216">
        <v>3041000</v>
      </c>
      <c r="M216" t="s">
        <v>138</v>
      </c>
      <c r="N216">
        <v>46</v>
      </c>
      <c r="O216" t="s">
        <v>163</v>
      </c>
      <c r="P216" t="s">
        <v>500</v>
      </c>
      <c r="Q216">
        <f t="shared" si="4"/>
        <v>1419</v>
      </c>
      <c r="R216">
        <f>_xlfn.XLOOKUP(E216,'Data Additive'!E:E,'Data Additive'!E:E,0)</f>
        <v>0</v>
      </c>
    </row>
    <row r="217" spans="1:18" x14ac:dyDescent="0.25">
      <c r="A217">
        <v>7103</v>
      </c>
      <c r="B217" t="s">
        <v>569</v>
      </c>
      <c r="C217" t="s">
        <v>570</v>
      </c>
      <c r="D217" s="34">
        <v>57019</v>
      </c>
      <c r="E217">
        <v>1246269403</v>
      </c>
      <c r="F217" s="30">
        <v>46198</v>
      </c>
      <c r="G217" s="30"/>
      <c r="H217" t="s">
        <v>28</v>
      </c>
      <c r="I217" t="s">
        <v>29</v>
      </c>
      <c r="J217">
        <v>10985</v>
      </c>
      <c r="K217" s="30">
        <v>46108</v>
      </c>
      <c r="L217">
        <v>1010100</v>
      </c>
      <c r="M217" t="s">
        <v>35</v>
      </c>
      <c r="N217">
        <v>161</v>
      </c>
      <c r="O217" t="s">
        <v>161</v>
      </c>
      <c r="P217" t="s">
        <v>500</v>
      </c>
      <c r="Q217">
        <f t="shared" si="4"/>
        <v>-87</v>
      </c>
      <c r="R217">
        <f>_xlfn.XLOOKUP(E217,'Data Additive'!E:E,'Data Additive'!E:E,0)</f>
        <v>1246269403</v>
      </c>
    </row>
    <row r="218" spans="1:18" x14ac:dyDescent="0.25">
      <c r="A218">
        <v>7103</v>
      </c>
      <c r="B218" t="s">
        <v>569</v>
      </c>
      <c r="C218" t="s">
        <v>570</v>
      </c>
      <c r="D218" s="34">
        <v>288000</v>
      </c>
      <c r="E218">
        <v>1246264792</v>
      </c>
      <c r="F218" s="30">
        <v>46167</v>
      </c>
      <c r="G218" s="30"/>
      <c r="H218" t="s">
        <v>28</v>
      </c>
      <c r="I218" t="s">
        <v>29</v>
      </c>
      <c r="J218">
        <v>2769</v>
      </c>
      <c r="K218" s="30">
        <v>46077</v>
      </c>
      <c r="L218">
        <v>1010100</v>
      </c>
      <c r="M218" t="s">
        <v>35</v>
      </c>
      <c r="N218">
        <v>161</v>
      </c>
      <c r="O218" t="s">
        <v>161</v>
      </c>
      <c r="P218" t="s">
        <v>500</v>
      </c>
      <c r="Q218">
        <f t="shared" si="4"/>
        <v>-56</v>
      </c>
      <c r="R218">
        <f>_xlfn.XLOOKUP(E218,'Data Additive'!E:E,'Data Additive'!E:E,0)</f>
        <v>1246264792</v>
      </c>
    </row>
    <row r="219" spans="1:18" x14ac:dyDescent="0.25">
      <c r="A219">
        <v>9824</v>
      </c>
      <c r="B219" t="s">
        <v>728</v>
      </c>
      <c r="C219" t="s">
        <v>190</v>
      </c>
      <c r="D219" s="34">
        <v>69971.199999999997</v>
      </c>
      <c r="E219">
        <v>1246154720</v>
      </c>
      <c r="F219" s="30">
        <v>45738</v>
      </c>
      <c r="G219" s="30"/>
      <c r="H219" t="s">
        <v>173</v>
      </c>
      <c r="I219" t="s">
        <v>174</v>
      </c>
      <c r="J219">
        <v>4113</v>
      </c>
      <c r="K219" s="30">
        <v>45475</v>
      </c>
      <c r="L219">
        <v>1010100</v>
      </c>
      <c r="M219" t="s">
        <v>35</v>
      </c>
      <c r="N219">
        <v>161</v>
      </c>
      <c r="O219" t="s">
        <v>161</v>
      </c>
      <c r="P219" t="s">
        <v>427</v>
      </c>
      <c r="Q219">
        <f t="shared" si="4"/>
        <v>373</v>
      </c>
      <c r="R219">
        <f>_xlfn.XLOOKUP(E219,'Data Additive'!E:E,'Data Additive'!E:E,0)</f>
        <v>0</v>
      </c>
    </row>
    <row r="220" spans="1:18" x14ac:dyDescent="0.25">
      <c r="A220">
        <v>9824</v>
      </c>
      <c r="B220" t="s">
        <v>728</v>
      </c>
      <c r="C220" t="s">
        <v>190</v>
      </c>
      <c r="D220" s="34">
        <v>60656</v>
      </c>
      <c r="E220">
        <v>1246154724</v>
      </c>
      <c r="F220" s="30">
        <v>45738</v>
      </c>
      <c r="G220" s="30"/>
      <c r="H220" t="s">
        <v>173</v>
      </c>
      <c r="I220" t="s">
        <v>174</v>
      </c>
      <c r="J220">
        <v>4114</v>
      </c>
      <c r="K220" s="30">
        <v>45475</v>
      </c>
      <c r="L220">
        <v>1010100</v>
      </c>
      <c r="M220" t="s">
        <v>35</v>
      </c>
      <c r="N220">
        <v>161</v>
      </c>
      <c r="O220" t="s">
        <v>161</v>
      </c>
      <c r="P220" t="s">
        <v>427</v>
      </c>
      <c r="Q220">
        <f t="shared" si="4"/>
        <v>373</v>
      </c>
      <c r="R220">
        <f>_xlfn.XLOOKUP(E220,'Data Additive'!E:E,'Data Additive'!E:E,0)</f>
        <v>0</v>
      </c>
    </row>
    <row r="221" spans="1:18" x14ac:dyDescent="0.25">
      <c r="A221">
        <v>11724</v>
      </c>
      <c r="B221" t="s">
        <v>118</v>
      </c>
      <c r="C221" t="s">
        <v>119</v>
      </c>
      <c r="D221" s="34">
        <v>143868</v>
      </c>
      <c r="E221">
        <v>1246267487</v>
      </c>
      <c r="F221" s="30">
        <v>46167</v>
      </c>
      <c r="G221" s="30"/>
      <c r="H221" t="s">
        <v>28</v>
      </c>
      <c r="I221" t="s">
        <v>29</v>
      </c>
      <c r="J221">
        <v>10867</v>
      </c>
      <c r="K221" s="30">
        <v>46092</v>
      </c>
      <c r="L221">
        <v>1010100</v>
      </c>
      <c r="M221" t="s">
        <v>35</v>
      </c>
      <c r="N221">
        <v>161</v>
      </c>
      <c r="O221" t="s">
        <v>161</v>
      </c>
      <c r="P221" t="s">
        <v>428</v>
      </c>
      <c r="Q221">
        <f t="shared" si="4"/>
        <v>-56</v>
      </c>
      <c r="R221">
        <f>_xlfn.XLOOKUP(E221,'Data Additive'!E:E,'Data Additive'!E:E,0)</f>
        <v>1246267487</v>
      </c>
    </row>
    <row r="222" spans="1:18" x14ac:dyDescent="0.25">
      <c r="A222">
        <v>11724</v>
      </c>
      <c r="B222" t="s">
        <v>118</v>
      </c>
      <c r="C222" t="s">
        <v>119</v>
      </c>
      <c r="D222" s="34">
        <v>179580.2</v>
      </c>
      <c r="E222">
        <v>1246262079</v>
      </c>
      <c r="F222" s="30">
        <v>46122</v>
      </c>
      <c r="G222" s="30"/>
      <c r="H222" t="s">
        <v>28</v>
      </c>
      <c r="I222" t="s">
        <v>29</v>
      </c>
      <c r="J222">
        <v>10628</v>
      </c>
      <c r="K222" s="30">
        <v>46056</v>
      </c>
      <c r="L222">
        <v>1010100</v>
      </c>
      <c r="M222" t="s">
        <v>35</v>
      </c>
      <c r="N222">
        <v>161</v>
      </c>
      <c r="O222" t="s">
        <v>161</v>
      </c>
      <c r="P222" t="s">
        <v>428</v>
      </c>
      <c r="Q222">
        <f t="shared" si="4"/>
        <v>-11</v>
      </c>
      <c r="R222">
        <f>_xlfn.XLOOKUP(E222,'Data Additive'!E:E,'Data Additive'!E:E,0)</f>
        <v>1246262079</v>
      </c>
    </row>
    <row r="223" spans="1:18" x14ac:dyDescent="0.25">
      <c r="A223">
        <v>11724</v>
      </c>
      <c r="B223" t="s">
        <v>118</v>
      </c>
      <c r="C223" t="s">
        <v>119</v>
      </c>
      <c r="D223" s="34">
        <v>171254.1</v>
      </c>
      <c r="E223">
        <v>1246263820</v>
      </c>
      <c r="F223" s="30">
        <v>46137</v>
      </c>
      <c r="G223" s="30"/>
      <c r="H223" t="s">
        <v>28</v>
      </c>
      <c r="I223" t="s">
        <v>29</v>
      </c>
      <c r="J223">
        <v>10704</v>
      </c>
      <c r="K223" s="30">
        <v>46069</v>
      </c>
      <c r="L223">
        <v>1010100</v>
      </c>
      <c r="M223" t="s">
        <v>35</v>
      </c>
      <c r="N223">
        <v>161</v>
      </c>
      <c r="O223" t="s">
        <v>161</v>
      </c>
      <c r="P223" t="s">
        <v>428</v>
      </c>
      <c r="Q223">
        <f t="shared" si="4"/>
        <v>-26</v>
      </c>
      <c r="R223">
        <f>_xlfn.XLOOKUP(E223,'Data Additive'!E:E,'Data Additive'!E:E,0)</f>
        <v>1246263820</v>
      </c>
    </row>
    <row r="224" spans="1:18" x14ac:dyDescent="0.25">
      <c r="A224">
        <v>10371</v>
      </c>
      <c r="B224" t="s">
        <v>255</v>
      </c>
      <c r="C224" t="s">
        <v>256</v>
      </c>
      <c r="D224" s="34">
        <v>56674.77</v>
      </c>
      <c r="E224">
        <v>1246161059</v>
      </c>
      <c r="F224" s="30">
        <v>45736</v>
      </c>
      <c r="G224" s="30"/>
      <c r="H224" t="s">
        <v>173</v>
      </c>
      <c r="I224" t="s">
        <v>174</v>
      </c>
      <c r="J224">
        <v>4516</v>
      </c>
      <c r="K224" s="30">
        <v>45502</v>
      </c>
      <c r="L224">
        <v>1010100</v>
      </c>
      <c r="M224" t="s">
        <v>35</v>
      </c>
      <c r="N224">
        <v>161</v>
      </c>
      <c r="O224" t="s">
        <v>161</v>
      </c>
      <c r="P224" t="s">
        <v>427</v>
      </c>
      <c r="Q224">
        <f t="shared" si="4"/>
        <v>375</v>
      </c>
      <c r="R224">
        <f>_xlfn.XLOOKUP(E224,'Data Additive'!E:E,'Data Additive'!E:E,0)</f>
        <v>0</v>
      </c>
    </row>
    <row r="225" spans="1:18" x14ac:dyDescent="0.25">
      <c r="A225">
        <v>10371</v>
      </c>
      <c r="B225" t="s">
        <v>255</v>
      </c>
      <c r="C225" t="s">
        <v>256</v>
      </c>
      <c r="D225" s="34">
        <v>50007.15</v>
      </c>
      <c r="E225">
        <v>1246161057</v>
      </c>
      <c r="F225" s="30">
        <v>45736</v>
      </c>
      <c r="G225" s="30"/>
      <c r="H225" t="s">
        <v>173</v>
      </c>
      <c r="I225" t="s">
        <v>174</v>
      </c>
      <c r="J225">
        <v>4515</v>
      </c>
      <c r="K225" s="30">
        <v>45502</v>
      </c>
      <c r="L225">
        <v>1010100</v>
      </c>
      <c r="M225" t="s">
        <v>35</v>
      </c>
      <c r="N225">
        <v>161</v>
      </c>
      <c r="O225" t="s">
        <v>161</v>
      </c>
      <c r="P225" t="s">
        <v>427</v>
      </c>
      <c r="Q225">
        <f t="shared" si="4"/>
        <v>375</v>
      </c>
      <c r="R225">
        <f>_xlfn.XLOOKUP(E225,'Data Additive'!E:E,'Data Additive'!E:E,0)</f>
        <v>0</v>
      </c>
    </row>
    <row r="226" spans="1:18" x14ac:dyDescent="0.25">
      <c r="A226">
        <v>10660</v>
      </c>
      <c r="B226" t="s">
        <v>113</v>
      </c>
      <c r="C226" t="s">
        <v>114</v>
      </c>
      <c r="D226" s="34">
        <v>1282.56</v>
      </c>
      <c r="E226">
        <v>1246157883</v>
      </c>
      <c r="F226" s="30">
        <v>45472</v>
      </c>
      <c r="G226" s="30"/>
      <c r="H226" t="s">
        <v>28</v>
      </c>
      <c r="I226" t="s">
        <v>29</v>
      </c>
      <c r="J226">
        <v>3740</v>
      </c>
      <c r="K226" s="30">
        <v>45444</v>
      </c>
      <c r="L226">
        <v>1010100</v>
      </c>
      <c r="M226" t="s">
        <v>35</v>
      </c>
      <c r="N226">
        <v>161</v>
      </c>
      <c r="O226" t="s">
        <v>161</v>
      </c>
      <c r="P226" t="s">
        <v>420</v>
      </c>
      <c r="Q226">
        <f t="shared" si="4"/>
        <v>639</v>
      </c>
      <c r="R226">
        <f>_xlfn.XLOOKUP(E226,'Data Additive'!E:E,'Data Additive'!E:E,0)</f>
        <v>1246157883</v>
      </c>
    </row>
    <row r="227" spans="1:18" x14ac:dyDescent="0.25">
      <c r="A227">
        <v>10660</v>
      </c>
      <c r="B227" t="s">
        <v>113</v>
      </c>
      <c r="C227" t="s">
        <v>114</v>
      </c>
      <c r="D227" s="34">
        <v>1603.2</v>
      </c>
      <c r="E227">
        <v>1246176576</v>
      </c>
      <c r="F227" s="30">
        <v>45577</v>
      </c>
      <c r="G227" s="30"/>
      <c r="H227" t="s">
        <v>28</v>
      </c>
      <c r="I227" t="s">
        <v>29</v>
      </c>
      <c r="J227">
        <v>5264</v>
      </c>
      <c r="K227" s="30">
        <v>45549</v>
      </c>
      <c r="L227">
        <v>1010100</v>
      </c>
      <c r="M227" t="s">
        <v>35</v>
      </c>
      <c r="N227">
        <v>161</v>
      </c>
      <c r="O227" t="s">
        <v>161</v>
      </c>
      <c r="P227" t="s">
        <v>420</v>
      </c>
      <c r="Q227">
        <f t="shared" si="4"/>
        <v>534</v>
      </c>
      <c r="R227">
        <f>_xlfn.XLOOKUP(E227,'Data Additive'!E:E,'Data Additive'!E:E,0)</f>
        <v>1246176576</v>
      </c>
    </row>
    <row r="228" spans="1:18" x14ac:dyDescent="0.25">
      <c r="A228">
        <v>10660</v>
      </c>
      <c r="B228" t="s">
        <v>113</v>
      </c>
      <c r="C228" t="s">
        <v>114</v>
      </c>
      <c r="D228" s="34">
        <v>1282.56</v>
      </c>
      <c r="E228">
        <v>1246184893</v>
      </c>
      <c r="F228" s="30">
        <v>45623</v>
      </c>
      <c r="G228" s="30"/>
      <c r="H228" t="s">
        <v>28</v>
      </c>
      <c r="I228" t="s">
        <v>29</v>
      </c>
      <c r="J228">
        <v>5907</v>
      </c>
      <c r="K228" s="30">
        <v>45595</v>
      </c>
      <c r="L228">
        <v>1010100</v>
      </c>
      <c r="M228" t="s">
        <v>35</v>
      </c>
      <c r="N228">
        <v>161</v>
      </c>
      <c r="O228" t="s">
        <v>161</v>
      </c>
      <c r="P228" t="s">
        <v>420</v>
      </c>
      <c r="Q228">
        <f t="shared" si="4"/>
        <v>488</v>
      </c>
      <c r="R228">
        <f>_xlfn.XLOOKUP(E228,'Data Additive'!E:E,'Data Additive'!E:E,0)</f>
        <v>1246184893</v>
      </c>
    </row>
    <row r="229" spans="1:18" x14ac:dyDescent="0.25">
      <c r="A229">
        <v>10434</v>
      </c>
      <c r="B229" t="s">
        <v>110</v>
      </c>
      <c r="C229" t="s">
        <v>111</v>
      </c>
      <c r="D229" s="34">
        <v>1200</v>
      </c>
      <c r="E229">
        <v>1246180341</v>
      </c>
      <c r="F229" s="30">
        <v>45615</v>
      </c>
      <c r="G229" s="30"/>
      <c r="H229" t="s">
        <v>28</v>
      </c>
      <c r="I229" t="s">
        <v>29</v>
      </c>
      <c r="J229">
        <v>1246180341</v>
      </c>
      <c r="K229" s="30">
        <v>45600</v>
      </c>
      <c r="L229">
        <v>3041000</v>
      </c>
      <c r="M229" t="s">
        <v>138</v>
      </c>
      <c r="N229">
        <v>46</v>
      </c>
      <c r="O229" t="s">
        <v>163</v>
      </c>
      <c r="P229" t="s">
        <v>416</v>
      </c>
      <c r="Q229">
        <f t="shared" si="4"/>
        <v>496</v>
      </c>
      <c r="R229">
        <f>_xlfn.XLOOKUP(E229,'Data Additive'!E:E,'Data Additive'!E:E,0)</f>
        <v>0</v>
      </c>
    </row>
    <row r="230" spans="1:18" x14ac:dyDescent="0.25">
      <c r="A230">
        <v>11207</v>
      </c>
      <c r="B230" t="s">
        <v>729</v>
      </c>
      <c r="C230" t="s">
        <v>194</v>
      </c>
      <c r="D230" s="34">
        <v>153825.49</v>
      </c>
      <c r="E230">
        <v>1246067872</v>
      </c>
      <c r="F230" s="30">
        <v>45412</v>
      </c>
      <c r="G230" s="30"/>
      <c r="H230" t="s">
        <v>173</v>
      </c>
      <c r="I230" t="s">
        <v>174</v>
      </c>
      <c r="J230">
        <v>20696</v>
      </c>
      <c r="K230" s="30">
        <v>44973</v>
      </c>
      <c r="L230">
        <v>1010100</v>
      </c>
      <c r="M230" t="s">
        <v>35</v>
      </c>
      <c r="N230">
        <v>161</v>
      </c>
      <c r="O230" t="s">
        <v>161</v>
      </c>
      <c r="P230" t="s">
        <v>429</v>
      </c>
      <c r="Q230">
        <f t="shared" si="4"/>
        <v>699</v>
      </c>
      <c r="R230">
        <f>_xlfn.XLOOKUP(E230,'Data Additive'!E:E,'Data Additive'!E:E,0)</f>
        <v>0</v>
      </c>
    </row>
    <row r="231" spans="1:18" x14ac:dyDescent="0.25">
      <c r="A231">
        <v>11207</v>
      </c>
      <c r="B231" t="s">
        <v>729</v>
      </c>
      <c r="C231" t="s">
        <v>194</v>
      </c>
      <c r="D231" s="34">
        <v>118231.86</v>
      </c>
      <c r="E231">
        <v>1246074301</v>
      </c>
      <c r="F231" s="30">
        <v>45412</v>
      </c>
      <c r="G231" s="30"/>
      <c r="H231" t="s">
        <v>173</v>
      </c>
      <c r="I231" t="s">
        <v>174</v>
      </c>
      <c r="J231">
        <v>21005</v>
      </c>
      <c r="K231" s="30">
        <v>45015</v>
      </c>
      <c r="L231">
        <v>1010100</v>
      </c>
      <c r="M231" t="s">
        <v>35</v>
      </c>
      <c r="N231">
        <v>161</v>
      </c>
      <c r="O231" t="s">
        <v>161</v>
      </c>
      <c r="P231" t="s">
        <v>429</v>
      </c>
      <c r="Q231">
        <f t="shared" si="4"/>
        <v>699</v>
      </c>
      <c r="R231">
        <f>_xlfn.XLOOKUP(E231,'Data Additive'!E:E,'Data Additive'!E:E,0)</f>
        <v>0</v>
      </c>
    </row>
    <row r="232" spans="1:18" x14ac:dyDescent="0.25">
      <c r="A232">
        <v>11207</v>
      </c>
      <c r="B232" t="s">
        <v>729</v>
      </c>
      <c r="C232" t="s">
        <v>194</v>
      </c>
      <c r="D232" s="34">
        <v>91167.15</v>
      </c>
      <c r="E232">
        <v>1246075550</v>
      </c>
      <c r="F232" s="30">
        <v>45412</v>
      </c>
      <c r="G232" s="30"/>
      <c r="H232" t="s">
        <v>173</v>
      </c>
      <c r="I232" t="s">
        <v>174</v>
      </c>
      <c r="J232">
        <v>21053</v>
      </c>
      <c r="K232" s="30">
        <v>45022</v>
      </c>
      <c r="L232">
        <v>1010100</v>
      </c>
      <c r="M232" t="s">
        <v>35</v>
      </c>
      <c r="N232">
        <v>161</v>
      </c>
      <c r="O232" t="s">
        <v>161</v>
      </c>
      <c r="P232" t="s">
        <v>429</v>
      </c>
      <c r="Q232">
        <f t="shared" si="4"/>
        <v>699</v>
      </c>
      <c r="R232">
        <f>_xlfn.XLOOKUP(E232,'Data Additive'!E:E,'Data Additive'!E:E,0)</f>
        <v>0</v>
      </c>
    </row>
    <row r="233" spans="1:18" x14ac:dyDescent="0.25">
      <c r="A233">
        <v>11207</v>
      </c>
      <c r="B233" t="s">
        <v>729</v>
      </c>
      <c r="C233" t="s">
        <v>194</v>
      </c>
      <c r="D233" s="34">
        <v>43771.16</v>
      </c>
      <c r="E233">
        <v>1246094423</v>
      </c>
      <c r="F233" s="30">
        <v>45423</v>
      </c>
      <c r="G233" s="30"/>
      <c r="H233" t="s">
        <v>173</v>
      </c>
      <c r="I233" t="s">
        <v>174</v>
      </c>
      <c r="J233">
        <v>356</v>
      </c>
      <c r="K233" s="30">
        <v>45133</v>
      </c>
      <c r="L233">
        <v>1010100</v>
      </c>
      <c r="M233" t="s">
        <v>35</v>
      </c>
      <c r="N233">
        <v>161</v>
      </c>
      <c r="O233" t="s">
        <v>161</v>
      </c>
      <c r="P233" t="s">
        <v>429</v>
      </c>
      <c r="Q233">
        <f t="shared" si="4"/>
        <v>688</v>
      </c>
      <c r="R233">
        <f>_xlfn.XLOOKUP(E233,'Data Additive'!E:E,'Data Additive'!E:E,0)</f>
        <v>0</v>
      </c>
    </row>
    <row r="234" spans="1:18" x14ac:dyDescent="0.25">
      <c r="A234">
        <v>11207</v>
      </c>
      <c r="B234" t="s">
        <v>729</v>
      </c>
      <c r="C234" t="s">
        <v>194</v>
      </c>
      <c r="D234" s="34">
        <v>44760.26</v>
      </c>
      <c r="E234">
        <v>1246092027</v>
      </c>
      <c r="F234" s="30">
        <v>45504</v>
      </c>
      <c r="G234" s="30"/>
      <c r="H234" t="s">
        <v>173</v>
      </c>
      <c r="I234" t="s">
        <v>174</v>
      </c>
      <c r="J234">
        <v>138</v>
      </c>
      <c r="K234" s="30">
        <v>45119</v>
      </c>
      <c r="L234">
        <v>1010100</v>
      </c>
      <c r="M234" t="s">
        <v>35</v>
      </c>
      <c r="N234">
        <v>161</v>
      </c>
      <c r="O234" t="s">
        <v>161</v>
      </c>
      <c r="P234" t="s">
        <v>429</v>
      </c>
      <c r="Q234">
        <f t="shared" si="4"/>
        <v>607</v>
      </c>
      <c r="R234">
        <f>_xlfn.XLOOKUP(E234,'Data Additive'!E:E,'Data Additive'!E:E,0)</f>
        <v>0</v>
      </c>
    </row>
    <row r="235" spans="1:18" x14ac:dyDescent="0.25">
      <c r="A235">
        <v>11207</v>
      </c>
      <c r="B235" t="s">
        <v>729</v>
      </c>
      <c r="C235" t="s">
        <v>194</v>
      </c>
      <c r="D235" s="34">
        <v>43771.16</v>
      </c>
      <c r="E235">
        <v>1246093362</v>
      </c>
      <c r="F235" s="30">
        <v>45417</v>
      </c>
      <c r="G235" s="30"/>
      <c r="H235" t="s">
        <v>173</v>
      </c>
      <c r="I235" t="s">
        <v>174</v>
      </c>
      <c r="J235">
        <v>253</v>
      </c>
      <c r="K235" s="30">
        <v>45127</v>
      </c>
      <c r="L235">
        <v>1010100</v>
      </c>
      <c r="M235" t="s">
        <v>35</v>
      </c>
      <c r="N235">
        <v>161</v>
      </c>
      <c r="O235" t="s">
        <v>161</v>
      </c>
      <c r="P235" t="s">
        <v>429</v>
      </c>
      <c r="Q235">
        <f t="shared" si="4"/>
        <v>694</v>
      </c>
      <c r="R235">
        <f>_xlfn.XLOOKUP(E235,'Data Additive'!E:E,'Data Additive'!E:E,0)</f>
        <v>0</v>
      </c>
    </row>
    <row r="236" spans="1:18" x14ac:dyDescent="0.25">
      <c r="A236">
        <v>11207</v>
      </c>
      <c r="B236" t="s">
        <v>729</v>
      </c>
      <c r="C236" t="s">
        <v>194</v>
      </c>
      <c r="D236" s="34">
        <v>47925.4</v>
      </c>
      <c r="E236">
        <v>1246094864</v>
      </c>
      <c r="F236" s="30">
        <v>45544</v>
      </c>
      <c r="G236" s="30"/>
      <c r="H236" t="s">
        <v>173</v>
      </c>
      <c r="I236" t="s">
        <v>174</v>
      </c>
      <c r="J236">
        <v>407</v>
      </c>
      <c r="K236" s="30">
        <v>45135</v>
      </c>
      <c r="L236">
        <v>1010100</v>
      </c>
      <c r="M236" t="s">
        <v>35</v>
      </c>
      <c r="N236">
        <v>161</v>
      </c>
      <c r="O236" t="s">
        <v>161</v>
      </c>
      <c r="P236" t="s">
        <v>429</v>
      </c>
      <c r="Q236">
        <f t="shared" si="4"/>
        <v>567</v>
      </c>
      <c r="R236">
        <f>_xlfn.XLOOKUP(E236,'Data Additive'!E:E,'Data Additive'!E:E,0)</f>
        <v>0</v>
      </c>
    </row>
    <row r="237" spans="1:18" x14ac:dyDescent="0.25">
      <c r="A237">
        <v>11207</v>
      </c>
      <c r="B237" t="s">
        <v>729</v>
      </c>
      <c r="C237" t="s">
        <v>194</v>
      </c>
      <c r="D237" s="34">
        <v>106301.38</v>
      </c>
      <c r="E237">
        <v>1246094863</v>
      </c>
      <c r="F237" s="30">
        <v>45425</v>
      </c>
      <c r="G237" s="30"/>
      <c r="H237" t="s">
        <v>173</v>
      </c>
      <c r="I237" t="s">
        <v>174</v>
      </c>
      <c r="J237">
        <v>406</v>
      </c>
      <c r="K237" s="30">
        <v>45135</v>
      </c>
      <c r="L237">
        <v>1010100</v>
      </c>
      <c r="M237" t="s">
        <v>35</v>
      </c>
      <c r="N237">
        <v>161</v>
      </c>
      <c r="O237" t="s">
        <v>161</v>
      </c>
      <c r="P237" t="s">
        <v>429</v>
      </c>
      <c r="Q237">
        <f t="shared" si="4"/>
        <v>686</v>
      </c>
      <c r="R237">
        <f>_xlfn.XLOOKUP(E237,'Data Additive'!E:E,'Data Additive'!E:E,0)</f>
        <v>0</v>
      </c>
    </row>
    <row r="238" spans="1:18" x14ac:dyDescent="0.25">
      <c r="A238">
        <v>11207</v>
      </c>
      <c r="B238" t="s">
        <v>729</v>
      </c>
      <c r="C238" t="s">
        <v>194</v>
      </c>
      <c r="D238" s="34">
        <v>150072.54</v>
      </c>
      <c r="E238">
        <v>1246095554</v>
      </c>
      <c r="F238" s="30">
        <v>45415</v>
      </c>
      <c r="G238" s="30"/>
      <c r="H238" t="s">
        <v>173</v>
      </c>
      <c r="I238" t="s">
        <v>174</v>
      </c>
      <c r="J238">
        <v>485</v>
      </c>
      <c r="K238" s="30">
        <v>45140</v>
      </c>
      <c r="L238">
        <v>1010100</v>
      </c>
      <c r="M238" t="s">
        <v>35</v>
      </c>
      <c r="N238">
        <v>161</v>
      </c>
      <c r="O238" t="s">
        <v>161</v>
      </c>
      <c r="P238" t="s">
        <v>429</v>
      </c>
      <c r="Q238">
        <f t="shared" si="4"/>
        <v>696</v>
      </c>
      <c r="R238">
        <f>_xlfn.XLOOKUP(E238,'Data Additive'!E:E,'Data Additive'!E:E,0)</f>
        <v>0</v>
      </c>
    </row>
    <row r="239" spans="1:18" x14ac:dyDescent="0.25">
      <c r="A239">
        <v>11207</v>
      </c>
      <c r="B239" t="s">
        <v>729</v>
      </c>
      <c r="C239" t="s">
        <v>194</v>
      </c>
      <c r="D239" s="34">
        <v>150072.54999999999</v>
      </c>
      <c r="E239">
        <v>1246098101</v>
      </c>
      <c r="F239" s="30">
        <v>45414</v>
      </c>
      <c r="G239" s="30"/>
      <c r="H239" t="s">
        <v>173</v>
      </c>
      <c r="I239" t="s">
        <v>174</v>
      </c>
      <c r="J239">
        <v>151</v>
      </c>
      <c r="K239" s="30">
        <v>45154</v>
      </c>
      <c r="L239">
        <v>1010100</v>
      </c>
      <c r="M239" t="s">
        <v>35</v>
      </c>
      <c r="N239">
        <v>161</v>
      </c>
      <c r="O239" t="s">
        <v>161</v>
      </c>
      <c r="P239" t="s">
        <v>429</v>
      </c>
      <c r="Q239">
        <f t="shared" si="4"/>
        <v>697</v>
      </c>
      <c r="R239">
        <f>_xlfn.XLOOKUP(E239,'Data Additive'!E:E,'Data Additive'!E:E,0)</f>
        <v>0</v>
      </c>
    </row>
    <row r="240" spans="1:18" x14ac:dyDescent="0.25">
      <c r="A240">
        <v>11207</v>
      </c>
      <c r="B240" t="s">
        <v>729</v>
      </c>
      <c r="C240" t="s">
        <v>194</v>
      </c>
      <c r="D240" s="34">
        <v>43771.16</v>
      </c>
      <c r="E240">
        <v>1246098102</v>
      </c>
      <c r="F240" s="30">
        <v>45414</v>
      </c>
      <c r="G240" s="30"/>
      <c r="H240" t="s">
        <v>173</v>
      </c>
      <c r="I240" t="s">
        <v>174</v>
      </c>
      <c r="J240">
        <v>152</v>
      </c>
      <c r="K240" s="30">
        <v>45154</v>
      </c>
      <c r="L240">
        <v>1010100</v>
      </c>
      <c r="M240" t="s">
        <v>35</v>
      </c>
      <c r="N240">
        <v>161</v>
      </c>
      <c r="O240" t="s">
        <v>161</v>
      </c>
      <c r="P240" t="s">
        <v>429</v>
      </c>
      <c r="Q240">
        <f t="shared" si="4"/>
        <v>697</v>
      </c>
      <c r="R240">
        <f>_xlfn.XLOOKUP(E240,'Data Additive'!E:E,'Data Additive'!E:E,0)</f>
        <v>0</v>
      </c>
    </row>
    <row r="241" spans="1:18" x14ac:dyDescent="0.25">
      <c r="A241">
        <v>11207</v>
      </c>
      <c r="B241" t="s">
        <v>729</v>
      </c>
      <c r="C241" t="s">
        <v>194</v>
      </c>
      <c r="D241" s="34">
        <v>150072.54</v>
      </c>
      <c r="E241">
        <v>1246096042</v>
      </c>
      <c r="F241" s="30">
        <v>45417</v>
      </c>
      <c r="G241" s="30"/>
      <c r="H241" t="s">
        <v>173</v>
      </c>
      <c r="I241" t="s">
        <v>174</v>
      </c>
      <c r="J241">
        <v>520</v>
      </c>
      <c r="K241" s="30">
        <v>45142</v>
      </c>
      <c r="L241">
        <v>1010100</v>
      </c>
      <c r="M241" t="s">
        <v>35</v>
      </c>
      <c r="N241">
        <v>161</v>
      </c>
      <c r="O241" t="s">
        <v>161</v>
      </c>
      <c r="P241" t="s">
        <v>429</v>
      </c>
      <c r="Q241">
        <f t="shared" si="4"/>
        <v>694</v>
      </c>
      <c r="R241">
        <f>_xlfn.XLOOKUP(E241,'Data Additive'!E:E,'Data Additive'!E:E,0)</f>
        <v>0</v>
      </c>
    </row>
    <row r="242" spans="1:18" x14ac:dyDescent="0.25">
      <c r="A242">
        <v>11207</v>
      </c>
      <c r="B242" t="s">
        <v>729</v>
      </c>
      <c r="C242" t="s">
        <v>194</v>
      </c>
      <c r="D242" s="34">
        <v>150072.54999999999</v>
      </c>
      <c r="E242">
        <v>1246098739</v>
      </c>
      <c r="F242" s="30">
        <v>45446</v>
      </c>
      <c r="G242" s="30"/>
      <c r="H242" t="s">
        <v>173</v>
      </c>
      <c r="I242" t="s">
        <v>174</v>
      </c>
      <c r="J242">
        <v>161</v>
      </c>
      <c r="K242" s="30">
        <v>45156</v>
      </c>
      <c r="L242">
        <v>1010100</v>
      </c>
      <c r="M242" t="s">
        <v>35</v>
      </c>
      <c r="N242">
        <v>161</v>
      </c>
      <c r="O242" t="s">
        <v>161</v>
      </c>
      <c r="P242" t="s">
        <v>429</v>
      </c>
      <c r="Q242">
        <f t="shared" si="4"/>
        <v>665</v>
      </c>
      <c r="R242">
        <f>_xlfn.XLOOKUP(E242,'Data Additive'!E:E,'Data Additive'!E:E,0)</f>
        <v>0</v>
      </c>
    </row>
    <row r="243" spans="1:18" x14ac:dyDescent="0.25">
      <c r="A243">
        <v>11207</v>
      </c>
      <c r="B243" t="s">
        <v>729</v>
      </c>
      <c r="C243" t="s">
        <v>194</v>
      </c>
      <c r="D243" s="34">
        <v>150072.54</v>
      </c>
      <c r="E243">
        <v>1246103409</v>
      </c>
      <c r="F243" s="30">
        <v>45421</v>
      </c>
      <c r="G243" s="30"/>
      <c r="H243" t="s">
        <v>173</v>
      </c>
      <c r="I243" t="s">
        <v>174</v>
      </c>
      <c r="J243">
        <v>231</v>
      </c>
      <c r="K243" s="30">
        <v>45181</v>
      </c>
      <c r="L243">
        <v>1010100</v>
      </c>
      <c r="M243" t="s">
        <v>35</v>
      </c>
      <c r="N243">
        <v>161</v>
      </c>
      <c r="O243" t="s">
        <v>161</v>
      </c>
      <c r="P243" t="s">
        <v>429</v>
      </c>
      <c r="Q243">
        <f t="shared" si="4"/>
        <v>690</v>
      </c>
      <c r="R243">
        <f>_xlfn.XLOOKUP(E243,'Data Additive'!E:E,'Data Additive'!E:E,0)</f>
        <v>0</v>
      </c>
    </row>
    <row r="244" spans="1:18" x14ac:dyDescent="0.25">
      <c r="A244">
        <v>11207</v>
      </c>
      <c r="B244" t="s">
        <v>729</v>
      </c>
      <c r="C244" t="s">
        <v>194</v>
      </c>
      <c r="D244" s="34">
        <v>150072.54999999999</v>
      </c>
      <c r="E244">
        <v>1246104480</v>
      </c>
      <c r="F244" s="30">
        <v>45427</v>
      </c>
      <c r="G244" s="30"/>
      <c r="H244" t="s">
        <v>173</v>
      </c>
      <c r="I244" t="s">
        <v>174</v>
      </c>
      <c r="J244">
        <v>1209</v>
      </c>
      <c r="K244" s="30">
        <v>45187</v>
      </c>
      <c r="L244">
        <v>1010100</v>
      </c>
      <c r="M244" t="s">
        <v>35</v>
      </c>
      <c r="N244">
        <v>161</v>
      </c>
      <c r="O244" t="s">
        <v>161</v>
      </c>
      <c r="P244" t="s">
        <v>429</v>
      </c>
      <c r="Q244">
        <f t="shared" si="4"/>
        <v>684</v>
      </c>
      <c r="R244">
        <f>_xlfn.XLOOKUP(E244,'Data Additive'!E:E,'Data Additive'!E:E,0)</f>
        <v>0</v>
      </c>
    </row>
    <row r="245" spans="1:18" x14ac:dyDescent="0.25">
      <c r="A245">
        <v>11207</v>
      </c>
      <c r="B245" t="s">
        <v>729</v>
      </c>
      <c r="C245" t="s">
        <v>194</v>
      </c>
      <c r="D245" s="34">
        <v>98152.42</v>
      </c>
      <c r="E245">
        <v>1246128194</v>
      </c>
      <c r="F245" s="30">
        <v>45595</v>
      </c>
      <c r="G245" s="30"/>
      <c r="H245" t="s">
        <v>173</v>
      </c>
      <c r="I245" t="s">
        <v>174</v>
      </c>
      <c r="J245">
        <v>2705</v>
      </c>
      <c r="K245" s="30">
        <v>45327</v>
      </c>
      <c r="L245">
        <v>1010100</v>
      </c>
      <c r="M245" t="s">
        <v>35</v>
      </c>
      <c r="N245">
        <v>161</v>
      </c>
      <c r="O245" t="s">
        <v>161</v>
      </c>
      <c r="P245" t="s">
        <v>429</v>
      </c>
      <c r="Q245">
        <f t="shared" si="4"/>
        <v>516</v>
      </c>
      <c r="R245">
        <f>_xlfn.XLOOKUP(E245,'Data Additive'!E:E,'Data Additive'!E:E,0)</f>
        <v>0</v>
      </c>
    </row>
    <row r="246" spans="1:18" x14ac:dyDescent="0.25">
      <c r="A246">
        <v>11207</v>
      </c>
      <c r="B246" t="s">
        <v>729</v>
      </c>
      <c r="C246" t="s">
        <v>194</v>
      </c>
      <c r="D246" s="34">
        <v>98152.43</v>
      </c>
      <c r="E246">
        <v>1246128212</v>
      </c>
      <c r="F246" s="30">
        <v>45595</v>
      </c>
      <c r="G246" s="30"/>
      <c r="H246" t="s">
        <v>173</v>
      </c>
      <c r="I246" t="s">
        <v>174</v>
      </c>
      <c r="J246">
        <v>2708</v>
      </c>
      <c r="K246" s="30">
        <v>45327</v>
      </c>
      <c r="L246">
        <v>1010100</v>
      </c>
      <c r="M246" t="s">
        <v>35</v>
      </c>
      <c r="N246">
        <v>161</v>
      </c>
      <c r="O246" t="s">
        <v>161</v>
      </c>
      <c r="P246" t="s">
        <v>429</v>
      </c>
      <c r="Q246">
        <f t="shared" si="4"/>
        <v>516</v>
      </c>
      <c r="R246">
        <f>_xlfn.XLOOKUP(E246,'Data Additive'!E:E,'Data Additive'!E:E,0)</f>
        <v>0</v>
      </c>
    </row>
    <row r="247" spans="1:18" x14ac:dyDescent="0.25">
      <c r="A247">
        <v>11207</v>
      </c>
      <c r="B247" t="s">
        <v>729</v>
      </c>
      <c r="C247" t="s">
        <v>194</v>
      </c>
      <c r="D247" s="34">
        <v>43771.16</v>
      </c>
      <c r="E247">
        <v>1246102312</v>
      </c>
      <c r="F247" s="30">
        <v>45414</v>
      </c>
      <c r="G247" s="30"/>
      <c r="H247" t="s">
        <v>173</v>
      </c>
      <c r="I247" t="s">
        <v>174</v>
      </c>
      <c r="J247">
        <v>1038</v>
      </c>
      <c r="K247" s="30">
        <v>45174</v>
      </c>
      <c r="L247">
        <v>1010100</v>
      </c>
      <c r="M247" t="s">
        <v>35</v>
      </c>
      <c r="N247">
        <v>161</v>
      </c>
      <c r="O247" t="s">
        <v>161</v>
      </c>
      <c r="P247" t="s">
        <v>429</v>
      </c>
      <c r="Q247">
        <f t="shared" si="4"/>
        <v>697</v>
      </c>
      <c r="R247">
        <f>_xlfn.XLOOKUP(E247,'Data Additive'!E:E,'Data Additive'!E:E,0)</f>
        <v>0</v>
      </c>
    </row>
    <row r="248" spans="1:18" x14ac:dyDescent="0.25">
      <c r="A248">
        <v>11207</v>
      </c>
      <c r="B248" t="s">
        <v>729</v>
      </c>
      <c r="C248" t="s">
        <v>194</v>
      </c>
      <c r="D248" s="34">
        <v>43771.16</v>
      </c>
      <c r="E248">
        <v>1246103425</v>
      </c>
      <c r="F248" s="30">
        <v>45421</v>
      </c>
      <c r="G248" s="30"/>
      <c r="H248" t="s">
        <v>173</v>
      </c>
      <c r="I248" t="s">
        <v>174</v>
      </c>
      <c r="J248">
        <v>232</v>
      </c>
      <c r="K248" s="30">
        <v>45181</v>
      </c>
      <c r="L248">
        <v>1010100</v>
      </c>
      <c r="M248" t="s">
        <v>35</v>
      </c>
      <c r="N248">
        <v>161</v>
      </c>
      <c r="O248" t="s">
        <v>161</v>
      </c>
      <c r="P248" t="s">
        <v>429</v>
      </c>
      <c r="Q248">
        <f t="shared" si="4"/>
        <v>690</v>
      </c>
      <c r="R248">
        <f>_xlfn.XLOOKUP(E248,'Data Additive'!E:E,'Data Additive'!E:E,0)</f>
        <v>0</v>
      </c>
    </row>
    <row r="249" spans="1:18" x14ac:dyDescent="0.25">
      <c r="A249">
        <v>11207</v>
      </c>
      <c r="B249" t="s">
        <v>729</v>
      </c>
      <c r="C249" t="s">
        <v>194</v>
      </c>
      <c r="D249" s="34">
        <v>85883.37</v>
      </c>
      <c r="E249">
        <v>1246128634</v>
      </c>
      <c r="F249" s="30">
        <v>45597</v>
      </c>
      <c r="G249" s="30"/>
      <c r="H249" t="s">
        <v>173</v>
      </c>
      <c r="I249" t="s">
        <v>174</v>
      </c>
      <c r="J249">
        <v>2731</v>
      </c>
      <c r="K249" s="30">
        <v>45329</v>
      </c>
      <c r="L249">
        <v>1010100</v>
      </c>
      <c r="M249" t="s">
        <v>35</v>
      </c>
      <c r="N249">
        <v>161</v>
      </c>
      <c r="O249" t="s">
        <v>161</v>
      </c>
      <c r="P249" t="s">
        <v>429</v>
      </c>
      <c r="Q249">
        <f t="shared" si="4"/>
        <v>514</v>
      </c>
      <c r="R249">
        <f>_xlfn.XLOOKUP(E249,'Data Additive'!E:E,'Data Additive'!E:E,0)</f>
        <v>0</v>
      </c>
    </row>
    <row r="250" spans="1:18" x14ac:dyDescent="0.25">
      <c r="A250">
        <v>11207</v>
      </c>
      <c r="B250" t="s">
        <v>729</v>
      </c>
      <c r="C250" t="s">
        <v>194</v>
      </c>
      <c r="D250" s="34">
        <v>150072.54</v>
      </c>
      <c r="E250">
        <v>1246106013</v>
      </c>
      <c r="F250" s="30">
        <v>45416</v>
      </c>
      <c r="G250" s="30"/>
      <c r="H250" t="s">
        <v>173</v>
      </c>
      <c r="I250" t="s">
        <v>174</v>
      </c>
      <c r="J250">
        <v>1329</v>
      </c>
      <c r="K250" s="30">
        <v>45194</v>
      </c>
      <c r="L250">
        <v>1010100</v>
      </c>
      <c r="M250" t="s">
        <v>35</v>
      </c>
      <c r="N250">
        <v>161</v>
      </c>
      <c r="O250" t="s">
        <v>161</v>
      </c>
      <c r="P250" t="s">
        <v>429</v>
      </c>
      <c r="Q250">
        <f t="shared" si="4"/>
        <v>695</v>
      </c>
      <c r="R250">
        <f>_xlfn.XLOOKUP(E250,'Data Additive'!E:E,'Data Additive'!E:E,0)</f>
        <v>0</v>
      </c>
    </row>
    <row r="251" spans="1:18" x14ac:dyDescent="0.25">
      <c r="A251">
        <v>11207</v>
      </c>
      <c r="B251" t="s">
        <v>729</v>
      </c>
      <c r="C251" t="s">
        <v>194</v>
      </c>
      <c r="D251" s="34">
        <v>150072.54</v>
      </c>
      <c r="E251">
        <v>1246102752</v>
      </c>
      <c r="F251" s="30">
        <v>45415</v>
      </c>
      <c r="G251" s="30"/>
      <c r="H251" t="s">
        <v>173</v>
      </c>
      <c r="I251" t="s">
        <v>174</v>
      </c>
      <c r="J251">
        <v>1071</v>
      </c>
      <c r="K251" s="30">
        <v>45175</v>
      </c>
      <c r="L251">
        <v>1010100</v>
      </c>
      <c r="M251" t="s">
        <v>35</v>
      </c>
      <c r="N251">
        <v>161</v>
      </c>
      <c r="O251" t="s">
        <v>161</v>
      </c>
      <c r="P251" t="s">
        <v>429</v>
      </c>
      <c r="Q251">
        <f t="shared" si="4"/>
        <v>696</v>
      </c>
      <c r="R251">
        <f>_xlfn.XLOOKUP(E251,'Data Additive'!E:E,'Data Additive'!E:E,0)</f>
        <v>0</v>
      </c>
    </row>
    <row r="252" spans="1:18" x14ac:dyDescent="0.25">
      <c r="A252">
        <v>11207</v>
      </c>
      <c r="B252" t="s">
        <v>729</v>
      </c>
      <c r="C252" t="s">
        <v>194</v>
      </c>
      <c r="D252" s="34">
        <v>43771.16</v>
      </c>
      <c r="E252">
        <v>1246103933</v>
      </c>
      <c r="F252" s="30">
        <v>45423</v>
      </c>
      <c r="G252" s="30"/>
      <c r="H252" t="s">
        <v>173</v>
      </c>
      <c r="I252" t="s">
        <v>174</v>
      </c>
      <c r="J252">
        <v>1167</v>
      </c>
      <c r="K252" s="30">
        <v>45183</v>
      </c>
      <c r="L252">
        <v>1010100</v>
      </c>
      <c r="M252" t="s">
        <v>35</v>
      </c>
      <c r="N252">
        <v>161</v>
      </c>
      <c r="O252" t="s">
        <v>161</v>
      </c>
      <c r="P252" t="s">
        <v>429</v>
      </c>
      <c r="Q252">
        <f t="shared" si="4"/>
        <v>688</v>
      </c>
      <c r="R252">
        <f>_xlfn.XLOOKUP(E252,'Data Additive'!E:E,'Data Additive'!E:E,0)</f>
        <v>0</v>
      </c>
    </row>
    <row r="253" spans="1:18" x14ac:dyDescent="0.25">
      <c r="A253">
        <v>11207</v>
      </c>
      <c r="B253" t="s">
        <v>729</v>
      </c>
      <c r="C253" t="s">
        <v>194</v>
      </c>
      <c r="D253" s="34">
        <v>150072.54</v>
      </c>
      <c r="E253">
        <v>1246105096</v>
      </c>
      <c r="F253" s="30">
        <v>45429</v>
      </c>
      <c r="G253" s="30"/>
      <c r="H253" t="s">
        <v>173</v>
      </c>
      <c r="I253" t="s">
        <v>174</v>
      </c>
      <c r="J253">
        <v>1263</v>
      </c>
      <c r="K253" s="30">
        <v>45189</v>
      </c>
      <c r="L253">
        <v>1010100</v>
      </c>
      <c r="M253" t="s">
        <v>35</v>
      </c>
      <c r="N253">
        <v>161</v>
      </c>
      <c r="O253" t="s">
        <v>161</v>
      </c>
      <c r="P253" t="s">
        <v>429</v>
      </c>
      <c r="Q253">
        <f t="shared" si="4"/>
        <v>682</v>
      </c>
      <c r="R253">
        <f>_xlfn.XLOOKUP(E253,'Data Additive'!E:E,'Data Additive'!E:E,0)</f>
        <v>0</v>
      </c>
    </row>
    <row r="254" spans="1:18" x14ac:dyDescent="0.25">
      <c r="A254">
        <v>11207</v>
      </c>
      <c r="B254" t="s">
        <v>729</v>
      </c>
      <c r="C254" t="s">
        <v>194</v>
      </c>
      <c r="D254" s="34">
        <v>85883.37</v>
      </c>
      <c r="E254">
        <v>1246131973</v>
      </c>
      <c r="F254" s="30">
        <v>45595</v>
      </c>
      <c r="G254" s="30"/>
      <c r="H254" t="s">
        <v>173</v>
      </c>
      <c r="I254" t="s">
        <v>174</v>
      </c>
      <c r="J254">
        <v>2972</v>
      </c>
      <c r="K254" s="30">
        <v>45352</v>
      </c>
      <c r="L254">
        <v>1010100</v>
      </c>
      <c r="M254" t="s">
        <v>35</v>
      </c>
      <c r="N254">
        <v>161</v>
      </c>
      <c r="O254" t="s">
        <v>161</v>
      </c>
      <c r="P254" t="s">
        <v>429</v>
      </c>
      <c r="Q254">
        <f t="shared" si="4"/>
        <v>516</v>
      </c>
      <c r="R254">
        <f>_xlfn.XLOOKUP(E254,'Data Additive'!E:E,'Data Additive'!E:E,0)</f>
        <v>0</v>
      </c>
    </row>
    <row r="255" spans="1:18" x14ac:dyDescent="0.25">
      <c r="A255">
        <v>11456</v>
      </c>
      <c r="B255" t="s">
        <v>201</v>
      </c>
      <c r="C255" t="s">
        <v>202</v>
      </c>
      <c r="D255" s="34">
        <v>108608.88999999998</v>
      </c>
      <c r="E255">
        <v>1246074872</v>
      </c>
      <c r="F255" s="30">
        <v>45412</v>
      </c>
      <c r="G255" s="30"/>
      <c r="H255" t="s">
        <v>173</v>
      </c>
      <c r="I255" t="s">
        <v>174</v>
      </c>
      <c r="J255">
        <v>21029</v>
      </c>
      <c r="K255" s="30">
        <v>45019</v>
      </c>
      <c r="L255">
        <v>1010100</v>
      </c>
      <c r="M255" t="s">
        <v>35</v>
      </c>
      <c r="N255">
        <v>161</v>
      </c>
      <c r="O255" t="s">
        <v>161</v>
      </c>
      <c r="P255" t="s">
        <v>429</v>
      </c>
      <c r="Q255">
        <f t="shared" si="4"/>
        <v>699</v>
      </c>
      <c r="R255">
        <f>_xlfn.XLOOKUP(E255,'Data Additive'!E:E,'Data Additive'!E:E,0)</f>
        <v>0</v>
      </c>
    </row>
    <row r="256" spans="1:18" x14ac:dyDescent="0.25">
      <c r="A256">
        <v>11456</v>
      </c>
      <c r="B256" t="s">
        <v>201</v>
      </c>
      <c r="C256" t="s">
        <v>202</v>
      </c>
      <c r="D256" s="34">
        <v>136139</v>
      </c>
      <c r="E256">
        <v>1246074571</v>
      </c>
      <c r="F256" s="30">
        <v>45412</v>
      </c>
      <c r="G256" s="30"/>
      <c r="H256" t="s">
        <v>173</v>
      </c>
      <c r="I256" t="s">
        <v>174</v>
      </c>
      <c r="J256">
        <v>21023</v>
      </c>
      <c r="K256" s="30">
        <v>45017</v>
      </c>
      <c r="L256">
        <v>1010100</v>
      </c>
      <c r="M256" t="s">
        <v>35</v>
      </c>
      <c r="N256">
        <v>161</v>
      </c>
      <c r="O256" t="s">
        <v>161</v>
      </c>
      <c r="P256" t="s">
        <v>429</v>
      </c>
      <c r="Q256">
        <f t="shared" si="4"/>
        <v>699</v>
      </c>
      <c r="R256">
        <f>_xlfn.XLOOKUP(E256,'Data Additive'!E:E,'Data Additive'!E:E,0)</f>
        <v>0</v>
      </c>
    </row>
    <row r="257" spans="1:18" x14ac:dyDescent="0.25">
      <c r="A257">
        <v>11456</v>
      </c>
      <c r="B257" t="s">
        <v>201</v>
      </c>
      <c r="C257" t="s">
        <v>202</v>
      </c>
      <c r="D257" s="34">
        <v>150110.1</v>
      </c>
      <c r="E257">
        <v>1246127149</v>
      </c>
      <c r="F257" s="30">
        <v>45615</v>
      </c>
      <c r="G257" s="30"/>
      <c r="H257" t="s">
        <v>173</v>
      </c>
      <c r="I257" t="s">
        <v>174</v>
      </c>
      <c r="J257">
        <v>2634</v>
      </c>
      <c r="K257" s="30">
        <v>45320</v>
      </c>
      <c r="L257">
        <v>1010100</v>
      </c>
      <c r="M257" t="s">
        <v>35</v>
      </c>
      <c r="N257">
        <v>161</v>
      </c>
      <c r="O257" t="s">
        <v>161</v>
      </c>
      <c r="P257" t="s">
        <v>429</v>
      </c>
      <c r="Q257">
        <f t="shared" si="4"/>
        <v>496</v>
      </c>
      <c r="R257">
        <f>_xlfn.XLOOKUP(E257,'Data Additive'!E:E,'Data Additive'!E:E,0)</f>
        <v>0</v>
      </c>
    </row>
    <row r="258" spans="1:18" x14ac:dyDescent="0.25">
      <c r="A258">
        <v>11456</v>
      </c>
      <c r="B258" t="s">
        <v>201</v>
      </c>
      <c r="C258" t="s">
        <v>202</v>
      </c>
      <c r="D258" s="34">
        <v>150110.1</v>
      </c>
      <c r="E258">
        <v>1246128463</v>
      </c>
      <c r="F258" s="30">
        <v>45623</v>
      </c>
      <c r="G258" s="30"/>
      <c r="H258" t="s">
        <v>173</v>
      </c>
      <c r="I258" t="s">
        <v>174</v>
      </c>
      <c r="J258">
        <v>2720</v>
      </c>
      <c r="K258" s="30">
        <v>45328</v>
      </c>
      <c r="L258">
        <v>1010100</v>
      </c>
      <c r="M258" t="s">
        <v>35</v>
      </c>
      <c r="N258">
        <v>161</v>
      </c>
      <c r="O258" t="s">
        <v>161</v>
      </c>
      <c r="P258" t="s">
        <v>429</v>
      </c>
      <c r="Q258">
        <f t="shared" si="4"/>
        <v>488</v>
      </c>
      <c r="R258">
        <f>_xlfn.XLOOKUP(E258,'Data Additive'!E:E,'Data Additive'!E:E,0)</f>
        <v>0</v>
      </c>
    </row>
    <row r="259" spans="1:18" x14ac:dyDescent="0.25">
      <c r="A259">
        <v>10492</v>
      </c>
      <c r="B259" t="s">
        <v>112</v>
      </c>
      <c r="C259" t="s">
        <v>876</v>
      </c>
      <c r="D259" s="34">
        <v>352080</v>
      </c>
      <c r="E259">
        <v>1246269406</v>
      </c>
      <c r="F259" s="30">
        <v>46136</v>
      </c>
      <c r="G259" s="30"/>
      <c r="H259" t="s">
        <v>28</v>
      </c>
      <c r="I259" t="s">
        <v>29</v>
      </c>
      <c r="J259">
        <v>2845</v>
      </c>
      <c r="K259" s="30">
        <v>46108</v>
      </c>
      <c r="L259">
        <v>1010100</v>
      </c>
      <c r="M259" t="s">
        <v>35</v>
      </c>
      <c r="N259">
        <v>161</v>
      </c>
      <c r="O259" t="s">
        <v>161</v>
      </c>
      <c r="P259" t="s">
        <v>417</v>
      </c>
      <c r="Q259">
        <f t="shared" si="4"/>
        <v>-25</v>
      </c>
      <c r="R259">
        <f>_xlfn.XLOOKUP(E259,'Data Additive'!E:E,'Data Additive'!E:E,0)</f>
        <v>1246269406</v>
      </c>
    </row>
    <row r="260" spans="1:18" x14ac:dyDescent="0.25">
      <c r="A260">
        <v>13018</v>
      </c>
      <c r="B260" t="s">
        <v>685</v>
      </c>
      <c r="C260" t="s">
        <v>686</v>
      </c>
      <c r="D260" s="34">
        <v>65364.2</v>
      </c>
      <c r="E260">
        <v>1246251307</v>
      </c>
      <c r="F260" s="30">
        <v>46387</v>
      </c>
      <c r="G260" s="30"/>
      <c r="H260" t="s">
        <v>28</v>
      </c>
      <c r="I260" t="s">
        <v>29</v>
      </c>
      <c r="J260">
        <v>10138</v>
      </c>
      <c r="K260" s="30">
        <v>45988</v>
      </c>
      <c r="L260">
        <v>1010100</v>
      </c>
      <c r="M260" t="s">
        <v>35</v>
      </c>
      <c r="N260">
        <v>161</v>
      </c>
      <c r="O260" t="s">
        <v>161</v>
      </c>
      <c r="P260" t="s">
        <v>683</v>
      </c>
      <c r="Q260">
        <f t="shared" si="4"/>
        <v>-276</v>
      </c>
      <c r="R260">
        <f>_xlfn.XLOOKUP(E260,'Data Additive'!E:E,'Data Additive'!E:E,0)</f>
        <v>1246251307</v>
      </c>
    </row>
    <row r="261" spans="1:18" x14ac:dyDescent="0.25">
      <c r="A261">
        <v>13018</v>
      </c>
      <c r="B261" t="s">
        <v>685</v>
      </c>
      <c r="C261" t="s">
        <v>686</v>
      </c>
      <c r="D261" s="34">
        <v>49092.5</v>
      </c>
      <c r="E261">
        <v>1246237155</v>
      </c>
      <c r="F261" s="30">
        <v>46387</v>
      </c>
      <c r="G261" s="30"/>
      <c r="H261" t="s">
        <v>28</v>
      </c>
      <c r="I261" t="s">
        <v>29</v>
      </c>
      <c r="J261">
        <v>9357</v>
      </c>
      <c r="K261" s="30">
        <v>45917</v>
      </c>
      <c r="L261">
        <v>1010100</v>
      </c>
      <c r="M261" t="s">
        <v>35</v>
      </c>
      <c r="N261">
        <v>161</v>
      </c>
      <c r="O261" t="s">
        <v>161</v>
      </c>
      <c r="P261" t="s">
        <v>683</v>
      </c>
      <c r="Q261">
        <f t="shared" si="4"/>
        <v>-276</v>
      </c>
      <c r="R261">
        <f>_xlfn.XLOOKUP(E261,'Data Additive'!E:E,'Data Additive'!E:E,0)</f>
        <v>1246237155</v>
      </c>
    </row>
    <row r="262" spans="1:18" x14ac:dyDescent="0.25">
      <c r="A262">
        <v>13018</v>
      </c>
      <c r="B262" t="s">
        <v>685</v>
      </c>
      <c r="C262" t="s">
        <v>686</v>
      </c>
      <c r="D262" s="34">
        <v>71295.600000000006</v>
      </c>
      <c r="E262">
        <v>1246239405</v>
      </c>
      <c r="F262" s="30">
        <v>46387</v>
      </c>
      <c r="G262" s="30"/>
      <c r="H262" t="s">
        <v>28</v>
      </c>
      <c r="I262" t="s">
        <v>29</v>
      </c>
      <c r="J262">
        <v>9472</v>
      </c>
      <c r="K262" s="30">
        <v>45926</v>
      </c>
      <c r="L262">
        <v>1010100</v>
      </c>
      <c r="M262" t="s">
        <v>35</v>
      </c>
      <c r="N262">
        <v>161</v>
      </c>
      <c r="O262" t="s">
        <v>161</v>
      </c>
      <c r="P262" t="s">
        <v>683</v>
      </c>
      <c r="Q262">
        <f t="shared" si="4"/>
        <v>-276</v>
      </c>
      <c r="R262">
        <f>_xlfn.XLOOKUP(E262,'Data Additive'!E:E,'Data Additive'!E:E,0)</f>
        <v>1246239405</v>
      </c>
    </row>
    <row r="263" spans="1:18" x14ac:dyDescent="0.25">
      <c r="A263">
        <v>13018</v>
      </c>
      <c r="B263" t="s">
        <v>685</v>
      </c>
      <c r="C263" t="s">
        <v>686</v>
      </c>
      <c r="D263" s="34">
        <v>70705.600000000006</v>
      </c>
      <c r="E263">
        <v>1246239411</v>
      </c>
      <c r="F263" s="30">
        <v>46387</v>
      </c>
      <c r="G263" s="30"/>
      <c r="H263" t="s">
        <v>28</v>
      </c>
      <c r="I263" t="s">
        <v>29</v>
      </c>
      <c r="J263">
        <v>9474</v>
      </c>
      <c r="K263" s="30">
        <v>45926</v>
      </c>
      <c r="L263">
        <v>1010100</v>
      </c>
      <c r="M263" t="s">
        <v>35</v>
      </c>
      <c r="N263">
        <v>161</v>
      </c>
      <c r="O263" t="s">
        <v>161</v>
      </c>
      <c r="P263" t="s">
        <v>683</v>
      </c>
      <c r="Q263">
        <f t="shared" si="4"/>
        <v>-276</v>
      </c>
      <c r="R263">
        <f>_xlfn.XLOOKUP(E263,'Data Additive'!E:E,'Data Additive'!E:E,0)</f>
        <v>1246239411</v>
      </c>
    </row>
    <row r="264" spans="1:18" x14ac:dyDescent="0.25">
      <c r="A264">
        <v>13018</v>
      </c>
      <c r="B264" t="s">
        <v>685</v>
      </c>
      <c r="C264" t="s">
        <v>686</v>
      </c>
      <c r="D264" s="34">
        <v>70800</v>
      </c>
      <c r="E264">
        <v>1246239409</v>
      </c>
      <c r="F264" s="30">
        <v>46387</v>
      </c>
      <c r="G264" s="30"/>
      <c r="H264" t="s">
        <v>28</v>
      </c>
      <c r="I264" t="s">
        <v>29</v>
      </c>
      <c r="J264">
        <v>9473</v>
      </c>
      <c r="K264" s="30">
        <v>45926</v>
      </c>
      <c r="L264">
        <v>1010100</v>
      </c>
      <c r="M264" t="s">
        <v>35</v>
      </c>
      <c r="N264">
        <v>161</v>
      </c>
      <c r="O264" t="s">
        <v>161</v>
      </c>
      <c r="P264" t="s">
        <v>683</v>
      </c>
      <c r="Q264">
        <f t="shared" si="4"/>
        <v>-276</v>
      </c>
      <c r="R264">
        <f>_xlfn.XLOOKUP(E264,'Data Additive'!E:E,'Data Additive'!E:E,0)</f>
        <v>1246239409</v>
      </c>
    </row>
    <row r="265" spans="1:18" x14ac:dyDescent="0.25">
      <c r="A265">
        <v>12741</v>
      </c>
      <c r="B265" t="s">
        <v>307</v>
      </c>
      <c r="C265" t="s">
        <v>888</v>
      </c>
      <c r="D265" s="34">
        <v>137256</v>
      </c>
      <c r="E265">
        <v>1246268240</v>
      </c>
      <c r="F265" s="30">
        <v>46167</v>
      </c>
      <c r="G265" s="30"/>
      <c r="H265" t="s">
        <v>28</v>
      </c>
      <c r="I265" t="s">
        <v>29</v>
      </c>
      <c r="J265">
        <v>10917</v>
      </c>
      <c r="K265" s="30">
        <v>46099</v>
      </c>
      <c r="L265">
        <v>1010100</v>
      </c>
      <c r="M265" t="s">
        <v>35</v>
      </c>
      <c r="N265">
        <v>161</v>
      </c>
      <c r="O265" t="s">
        <v>161</v>
      </c>
      <c r="P265" t="s">
        <v>428</v>
      </c>
      <c r="Q265">
        <f t="shared" si="4"/>
        <v>-56</v>
      </c>
      <c r="R265">
        <f>_xlfn.XLOOKUP(E265,'Data Additive'!E:E,'Data Additive'!E:E,0)</f>
        <v>1246268240</v>
      </c>
    </row>
    <row r="266" spans="1:18" x14ac:dyDescent="0.25">
      <c r="A266">
        <v>13861</v>
      </c>
      <c r="B266" t="s">
        <v>267</v>
      </c>
      <c r="C266" t="s">
        <v>852</v>
      </c>
      <c r="D266" s="34">
        <v>29700</v>
      </c>
      <c r="E266">
        <v>1246264670</v>
      </c>
      <c r="F266" s="30">
        <v>46136</v>
      </c>
      <c r="G266" s="30"/>
      <c r="H266" t="s">
        <v>28</v>
      </c>
      <c r="I266" t="s">
        <v>29</v>
      </c>
      <c r="J266">
        <v>10750</v>
      </c>
      <c r="K266" s="30">
        <v>46076</v>
      </c>
      <c r="L266">
        <v>1010100</v>
      </c>
      <c r="M266" t="s">
        <v>35</v>
      </c>
      <c r="N266">
        <v>161</v>
      </c>
      <c r="O266" t="s">
        <v>161</v>
      </c>
      <c r="P266" t="s">
        <v>419</v>
      </c>
      <c r="Q266">
        <f t="shared" si="4"/>
        <v>-25</v>
      </c>
      <c r="R266">
        <f>_xlfn.XLOOKUP(E266,'Data Additive'!E:E,'Data Additive'!E:E,0)</f>
        <v>1246264670</v>
      </c>
    </row>
    <row r="267" spans="1:18" x14ac:dyDescent="0.25">
      <c r="A267">
        <v>13861</v>
      </c>
      <c r="B267" t="s">
        <v>267</v>
      </c>
      <c r="C267" t="s">
        <v>852</v>
      </c>
      <c r="D267" s="34">
        <v>51280</v>
      </c>
      <c r="E267">
        <v>1246264568</v>
      </c>
      <c r="F267" s="30">
        <v>46136</v>
      </c>
      <c r="G267" s="30"/>
      <c r="H267" t="s">
        <v>28</v>
      </c>
      <c r="I267" t="s">
        <v>29</v>
      </c>
      <c r="J267">
        <v>2764</v>
      </c>
      <c r="K267" s="30">
        <v>46076</v>
      </c>
      <c r="L267">
        <v>1010100</v>
      </c>
      <c r="M267" t="s">
        <v>35</v>
      </c>
      <c r="N267">
        <v>161</v>
      </c>
      <c r="O267" t="s">
        <v>161</v>
      </c>
      <c r="P267" t="s">
        <v>419</v>
      </c>
      <c r="Q267">
        <f t="shared" si="4"/>
        <v>-25</v>
      </c>
      <c r="R267">
        <f>_xlfn.XLOOKUP(E267,'Data Additive'!E:E,'Data Additive'!E:E,0)</f>
        <v>1246264568</v>
      </c>
    </row>
    <row r="268" spans="1:18" x14ac:dyDescent="0.25">
      <c r="A268">
        <v>14166</v>
      </c>
      <c r="B268" t="s">
        <v>123</v>
      </c>
      <c r="C268" t="s">
        <v>124</v>
      </c>
      <c r="D268" s="34">
        <v>82152</v>
      </c>
      <c r="E268">
        <v>1246231876</v>
      </c>
      <c r="F268" s="30">
        <v>46144</v>
      </c>
      <c r="G268" s="30"/>
      <c r="H268" t="s">
        <v>173</v>
      </c>
      <c r="I268" t="s">
        <v>174</v>
      </c>
      <c r="J268">
        <v>8933</v>
      </c>
      <c r="K268" s="30">
        <v>45888</v>
      </c>
      <c r="L268">
        <v>1010100</v>
      </c>
      <c r="M268" t="s">
        <v>35</v>
      </c>
      <c r="N268">
        <v>161</v>
      </c>
      <c r="O268" t="s">
        <v>161</v>
      </c>
      <c r="P268" t="s">
        <v>432</v>
      </c>
      <c r="Q268">
        <f t="shared" ref="Q268:Q318" si="5">$R$1-F268</f>
        <v>-33</v>
      </c>
      <c r="R268">
        <f>_xlfn.XLOOKUP(E268,'Data Additive'!E:E,'Data Additive'!E:E,0)</f>
        <v>0</v>
      </c>
    </row>
    <row r="269" spans="1:18" x14ac:dyDescent="0.25">
      <c r="A269">
        <v>14166</v>
      </c>
      <c r="B269" t="s">
        <v>123</v>
      </c>
      <c r="C269" t="s">
        <v>124</v>
      </c>
      <c r="D269" s="34">
        <v>93462.6</v>
      </c>
      <c r="E269">
        <v>1246231878</v>
      </c>
      <c r="F269" s="30">
        <v>46144</v>
      </c>
      <c r="G269" s="30"/>
      <c r="H269" t="s">
        <v>173</v>
      </c>
      <c r="I269" t="s">
        <v>174</v>
      </c>
      <c r="J269">
        <v>8934</v>
      </c>
      <c r="K269" s="30">
        <v>45888</v>
      </c>
      <c r="L269">
        <v>1010100</v>
      </c>
      <c r="M269" t="s">
        <v>35</v>
      </c>
      <c r="N269">
        <v>161</v>
      </c>
      <c r="O269" t="s">
        <v>161</v>
      </c>
      <c r="P269" t="s">
        <v>432</v>
      </c>
      <c r="Q269">
        <f t="shared" si="5"/>
        <v>-33</v>
      </c>
      <c r="R269">
        <f>_xlfn.XLOOKUP(E269,'Data Additive'!E:E,'Data Additive'!E:E,0)</f>
        <v>0</v>
      </c>
    </row>
    <row r="270" spans="1:18" x14ac:dyDescent="0.25">
      <c r="A270">
        <v>14166</v>
      </c>
      <c r="B270" t="s">
        <v>123</v>
      </c>
      <c r="C270" t="s">
        <v>124</v>
      </c>
      <c r="D270" s="34">
        <v>131112.51999999999</v>
      </c>
      <c r="E270">
        <v>1246231981</v>
      </c>
      <c r="F270" s="30">
        <v>46143</v>
      </c>
      <c r="G270" s="30"/>
      <c r="H270" t="s">
        <v>173</v>
      </c>
      <c r="I270" t="s">
        <v>174</v>
      </c>
      <c r="J270">
        <v>8941</v>
      </c>
      <c r="K270" s="30">
        <v>45889</v>
      </c>
      <c r="L270">
        <v>1010100</v>
      </c>
      <c r="M270" t="s">
        <v>35</v>
      </c>
      <c r="N270">
        <v>56</v>
      </c>
      <c r="O270" t="s">
        <v>162</v>
      </c>
      <c r="P270" t="s">
        <v>432</v>
      </c>
      <c r="Q270">
        <f t="shared" si="5"/>
        <v>-32</v>
      </c>
      <c r="R270">
        <f>_xlfn.XLOOKUP(E270,'Data Additive'!E:E,'Data Additive'!E:E,0)</f>
        <v>0</v>
      </c>
    </row>
    <row r="271" spans="1:18" x14ac:dyDescent="0.25">
      <c r="A271">
        <v>14166</v>
      </c>
      <c r="B271" t="s">
        <v>123</v>
      </c>
      <c r="C271" t="s">
        <v>124</v>
      </c>
      <c r="D271" s="34">
        <v>188705.92000000001</v>
      </c>
      <c r="E271">
        <v>1246224769</v>
      </c>
      <c r="F271" s="30">
        <v>46132</v>
      </c>
      <c r="G271" s="30"/>
      <c r="H271" t="s">
        <v>173</v>
      </c>
      <c r="I271" t="s">
        <v>174</v>
      </c>
      <c r="J271">
        <v>8477</v>
      </c>
      <c r="K271" s="30">
        <v>45852</v>
      </c>
      <c r="L271">
        <v>1010100</v>
      </c>
      <c r="M271" t="s">
        <v>35</v>
      </c>
      <c r="N271">
        <v>161</v>
      </c>
      <c r="O271" t="s">
        <v>161</v>
      </c>
      <c r="P271" t="s">
        <v>432</v>
      </c>
      <c r="Q271">
        <f t="shared" si="5"/>
        <v>-21</v>
      </c>
      <c r="R271">
        <f>_xlfn.XLOOKUP(E271,'Data Additive'!E:E,'Data Additive'!E:E,0)</f>
        <v>0</v>
      </c>
    </row>
    <row r="272" spans="1:18" x14ac:dyDescent="0.25">
      <c r="A272">
        <v>14166</v>
      </c>
      <c r="B272" t="s">
        <v>123</v>
      </c>
      <c r="C272" t="s">
        <v>124</v>
      </c>
      <c r="D272" s="34">
        <v>83930.4</v>
      </c>
      <c r="E272">
        <v>1246227452</v>
      </c>
      <c r="F272" s="30">
        <v>46131</v>
      </c>
      <c r="G272" s="30"/>
      <c r="H272" t="s">
        <v>173</v>
      </c>
      <c r="I272" t="s">
        <v>174</v>
      </c>
      <c r="J272">
        <v>8647</v>
      </c>
      <c r="K272" s="30">
        <v>45866</v>
      </c>
      <c r="L272">
        <v>1010100</v>
      </c>
      <c r="M272" t="s">
        <v>35</v>
      </c>
      <c r="N272">
        <v>161</v>
      </c>
      <c r="O272" t="s">
        <v>161</v>
      </c>
      <c r="P272" t="s">
        <v>432</v>
      </c>
      <c r="Q272">
        <f t="shared" si="5"/>
        <v>-20</v>
      </c>
      <c r="R272">
        <f>_xlfn.XLOOKUP(E272,'Data Additive'!E:E,'Data Additive'!E:E,0)</f>
        <v>0</v>
      </c>
    </row>
    <row r="273" spans="1:18" x14ac:dyDescent="0.25">
      <c r="A273">
        <v>14166</v>
      </c>
      <c r="B273" t="s">
        <v>123</v>
      </c>
      <c r="C273" t="s">
        <v>124</v>
      </c>
      <c r="D273" s="34">
        <v>191491.28</v>
      </c>
      <c r="E273">
        <v>1246221981</v>
      </c>
      <c r="F273" s="30">
        <v>46140</v>
      </c>
      <c r="G273" s="30"/>
      <c r="H273" t="s">
        <v>173</v>
      </c>
      <c r="I273" t="s">
        <v>174</v>
      </c>
      <c r="J273">
        <v>8305</v>
      </c>
      <c r="K273" s="30">
        <v>45838</v>
      </c>
      <c r="L273">
        <v>1010100</v>
      </c>
      <c r="M273" t="s">
        <v>35</v>
      </c>
      <c r="N273">
        <v>161</v>
      </c>
      <c r="O273" t="s">
        <v>161</v>
      </c>
      <c r="P273" t="s">
        <v>432</v>
      </c>
      <c r="Q273">
        <f t="shared" si="5"/>
        <v>-29</v>
      </c>
      <c r="R273">
        <f>_xlfn.XLOOKUP(E273,'Data Additive'!E:E,'Data Additive'!E:E,0)</f>
        <v>0</v>
      </c>
    </row>
    <row r="274" spans="1:18" x14ac:dyDescent="0.25">
      <c r="A274">
        <v>14849</v>
      </c>
      <c r="B274" t="s">
        <v>353</v>
      </c>
      <c r="C274" t="s">
        <v>619</v>
      </c>
      <c r="D274" s="34">
        <v>133718</v>
      </c>
      <c r="E274">
        <v>1246222953</v>
      </c>
      <c r="F274" s="30">
        <v>46143</v>
      </c>
      <c r="G274" s="30"/>
      <c r="H274" t="s">
        <v>173</v>
      </c>
      <c r="I274" t="s">
        <v>174</v>
      </c>
      <c r="J274">
        <v>8360</v>
      </c>
      <c r="K274" s="30">
        <v>45841</v>
      </c>
      <c r="L274">
        <v>1010100</v>
      </c>
      <c r="M274" t="s">
        <v>35</v>
      </c>
      <c r="N274">
        <v>161</v>
      </c>
      <c r="O274" t="s">
        <v>161</v>
      </c>
      <c r="P274" t="s">
        <v>433</v>
      </c>
      <c r="Q274">
        <f t="shared" si="5"/>
        <v>-32</v>
      </c>
      <c r="R274">
        <f>_xlfn.XLOOKUP(E274,'Data Additive'!E:E,'Data Additive'!E:E,0)</f>
        <v>0</v>
      </c>
    </row>
    <row r="275" spans="1:18" x14ac:dyDescent="0.25">
      <c r="A275">
        <v>15908</v>
      </c>
      <c r="B275" t="s">
        <v>899</v>
      </c>
      <c r="C275" t="s">
        <v>900</v>
      </c>
      <c r="D275" s="34">
        <v>152185.74</v>
      </c>
      <c r="E275">
        <v>1246268845</v>
      </c>
      <c r="F275" s="30">
        <v>46195</v>
      </c>
      <c r="G275" s="30"/>
      <c r="H275" t="s">
        <v>173</v>
      </c>
      <c r="I275" t="s">
        <v>174</v>
      </c>
      <c r="J275">
        <v>10968</v>
      </c>
      <c r="K275" s="30">
        <v>46105</v>
      </c>
      <c r="L275">
        <v>1010100</v>
      </c>
      <c r="M275" t="s">
        <v>35</v>
      </c>
      <c r="N275">
        <v>161</v>
      </c>
      <c r="O275" t="s">
        <v>161</v>
      </c>
      <c r="P275" t="s">
        <v>83</v>
      </c>
      <c r="Q275">
        <f t="shared" si="5"/>
        <v>-84</v>
      </c>
      <c r="R275">
        <f>_xlfn.XLOOKUP(E275,'Data Additive'!E:E,'Data Additive'!E:E,0)</f>
        <v>0</v>
      </c>
    </row>
    <row r="276" spans="1:18" x14ac:dyDescent="0.25">
      <c r="A276">
        <v>15908</v>
      </c>
      <c r="B276" t="s">
        <v>899</v>
      </c>
      <c r="C276" t="s">
        <v>900</v>
      </c>
      <c r="D276" s="34">
        <v>38698.71</v>
      </c>
      <c r="E276">
        <v>1246268455</v>
      </c>
      <c r="F276" s="30">
        <v>46190</v>
      </c>
      <c r="G276" s="30"/>
      <c r="H276" t="s">
        <v>173</v>
      </c>
      <c r="I276" t="s">
        <v>174</v>
      </c>
      <c r="J276">
        <v>10935</v>
      </c>
      <c r="K276" s="30">
        <v>46100</v>
      </c>
      <c r="L276">
        <v>1010100</v>
      </c>
      <c r="M276" t="s">
        <v>35</v>
      </c>
      <c r="N276">
        <v>161</v>
      </c>
      <c r="O276" t="s">
        <v>161</v>
      </c>
      <c r="P276" t="s">
        <v>83</v>
      </c>
      <c r="Q276">
        <f t="shared" si="5"/>
        <v>-79</v>
      </c>
      <c r="R276">
        <f>_xlfn.XLOOKUP(E276,'Data Additive'!E:E,'Data Additive'!E:E,0)</f>
        <v>0</v>
      </c>
    </row>
    <row r="277" spans="1:18" x14ac:dyDescent="0.25">
      <c r="A277">
        <v>15905</v>
      </c>
      <c r="B277" t="s">
        <v>901</v>
      </c>
      <c r="C277" t="s">
        <v>902</v>
      </c>
      <c r="D277" s="34">
        <v>51551.06</v>
      </c>
      <c r="E277">
        <v>1246268473</v>
      </c>
      <c r="F277" s="30">
        <v>46190</v>
      </c>
      <c r="G277" s="30"/>
      <c r="H277" t="s">
        <v>173</v>
      </c>
      <c r="I277" t="s">
        <v>174</v>
      </c>
      <c r="J277">
        <v>10938</v>
      </c>
      <c r="K277" s="30">
        <v>46100</v>
      </c>
      <c r="L277">
        <v>1010100</v>
      </c>
      <c r="M277" t="s">
        <v>35</v>
      </c>
      <c r="N277">
        <v>161</v>
      </c>
      <c r="O277" t="s">
        <v>161</v>
      </c>
      <c r="P277" t="s">
        <v>83</v>
      </c>
      <c r="Q277">
        <f t="shared" si="5"/>
        <v>-79</v>
      </c>
      <c r="R277">
        <f>_xlfn.XLOOKUP(E277,'Data Additive'!E:E,'Data Additive'!E:E,0)</f>
        <v>0</v>
      </c>
    </row>
    <row r="278" spans="1:18" x14ac:dyDescent="0.25">
      <c r="A278">
        <v>15905</v>
      </c>
      <c r="B278" t="s">
        <v>901</v>
      </c>
      <c r="C278" t="s">
        <v>902</v>
      </c>
      <c r="D278" s="34">
        <v>177522.26</v>
      </c>
      <c r="E278">
        <v>1246268967</v>
      </c>
      <c r="F278" s="30">
        <v>46196</v>
      </c>
      <c r="G278" s="30"/>
      <c r="H278" t="s">
        <v>173</v>
      </c>
      <c r="I278" t="s">
        <v>174</v>
      </c>
      <c r="J278">
        <v>10973</v>
      </c>
      <c r="K278" s="30">
        <v>46106</v>
      </c>
      <c r="L278">
        <v>1010100</v>
      </c>
      <c r="M278" t="s">
        <v>35</v>
      </c>
      <c r="N278">
        <v>161</v>
      </c>
      <c r="O278" t="s">
        <v>161</v>
      </c>
      <c r="P278" t="s">
        <v>83</v>
      </c>
      <c r="Q278">
        <f t="shared" si="5"/>
        <v>-85</v>
      </c>
      <c r="R278">
        <f>_xlfn.XLOOKUP(E278,'Data Additive'!E:E,'Data Additive'!E:E,0)</f>
        <v>0</v>
      </c>
    </row>
    <row r="279" spans="1:18" x14ac:dyDescent="0.25">
      <c r="A279">
        <v>16387</v>
      </c>
      <c r="B279" t="s">
        <v>746</v>
      </c>
      <c r="C279" t="s">
        <v>747</v>
      </c>
      <c r="D279" s="34">
        <v>5030.5</v>
      </c>
      <c r="E279">
        <v>1246250305</v>
      </c>
      <c r="F279" s="30">
        <v>46254</v>
      </c>
      <c r="G279" s="30"/>
      <c r="H279" t="s">
        <v>173</v>
      </c>
      <c r="I279" t="s">
        <v>174</v>
      </c>
      <c r="J279">
        <v>10088</v>
      </c>
      <c r="K279" s="30">
        <v>45982</v>
      </c>
      <c r="L279">
        <v>1010100</v>
      </c>
      <c r="M279" t="s">
        <v>35</v>
      </c>
      <c r="N279">
        <v>161</v>
      </c>
      <c r="O279" t="s">
        <v>161</v>
      </c>
      <c r="P279" t="s">
        <v>426</v>
      </c>
      <c r="Q279">
        <f t="shared" si="5"/>
        <v>-143</v>
      </c>
      <c r="R279">
        <f>_xlfn.XLOOKUP(E279,'Data Additive'!E:E,'Data Additive'!E:E,0)</f>
        <v>0</v>
      </c>
    </row>
    <row r="280" spans="1:18" x14ac:dyDescent="0.25">
      <c r="A280">
        <v>15906</v>
      </c>
      <c r="B280" t="s">
        <v>903</v>
      </c>
      <c r="C280" t="s">
        <v>904</v>
      </c>
      <c r="D280" s="34">
        <v>51551.06</v>
      </c>
      <c r="E280">
        <v>1246268468</v>
      </c>
      <c r="F280" s="30">
        <v>46190</v>
      </c>
      <c r="G280" s="30"/>
      <c r="H280" t="s">
        <v>173</v>
      </c>
      <c r="I280" t="s">
        <v>174</v>
      </c>
      <c r="J280">
        <v>10937</v>
      </c>
      <c r="K280" s="30">
        <v>46100</v>
      </c>
      <c r="L280">
        <v>1010100</v>
      </c>
      <c r="M280" t="s">
        <v>35</v>
      </c>
      <c r="N280">
        <v>161</v>
      </c>
      <c r="O280" t="s">
        <v>161</v>
      </c>
      <c r="P280" t="s">
        <v>83</v>
      </c>
      <c r="Q280">
        <f t="shared" si="5"/>
        <v>-79</v>
      </c>
      <c r="R280">
        <f>_xlfn.XLOOKUP(E280,'Data Additive'!E:E,'Data Additive'!E:E,0)</f>
        <v>0</v>
      </c>
    </row>
    <row r="281" spans="1:18" x14ac:dyDescent="0.25">
      <c r="A281">
        <v>16099</v>
      </c>
      <c r="B281" t="s">
        <v>857</v>
      </c>
      <c r="C281" t="s">
        <v>858</v>
      </c>
      <c r="D281" s="34">
        <v>429480</v>
      </c>
      <c r="E281">
        <v>1246264672</v>
      </c>
      <c r="F281" s="30">
        <v>46166</v>
      </c>
      <c r="G281" s="30"/>
      <c r="H281" t="s">
        <v>28</v>
      </c>
      <c r="I281" t="s">
        <v>29</v>
      </c>
      <c r="J281">
        <v>2767</v>
      </c>
      <c r="K281" s="30">
        <v>46076</v>
      </c>
      <c r="L281">
        <v>1010100</v>
      </c>
      <c r="M281" t="s">
        <v>35</v>
      </c>
      <c r="N281">
        <v>161</v>
      </c>
      <c r="O281" t="s">
        <v>161</v>
      </c>
      <c r="P281" t="s">
        <v>500</v>
      </c>
      <c r="Q281">
        <f t="shared" si="5"/>
        <v>-55</v>
      </c>
      <c r="R281">
        <f>_xlfn.XLOOKUP(E281,'Data Additive'!E:E,'Data Additive'!E:E,0)</f>
        <v>1246264672</v>
      </c>
    </row>
    <row r="282" spans="1:18" x14ac:dyDescent="0.25">
      <c r="A282">
        <v>15904</v>
      </c>
      <c r="B282" t="s">
        <v>905</v>
      </c>
      <c r="C282" t="s">
        <v>906</v>
      </c>
      <c r="D282" s="34">
        <v>38698.71</v>
      </c>
      <c r="E282">
        <v>1246268475</v>
      </c>
      <c r="F282" s="30">
        <v>46190</v>
      </c>
      <c r="G282" s="30"/>
      <c r="H282" t="s">
        <v>173</v>
      </c>
      <c r="I282" t="s">
        <v>174</v>
      </c>
      <c r="J282">
        <v>10939</v>
      </c>
      <c r="K282" s="30">
        <v>46100</v>
      </c>
      <c r="L282">
        <v>1010100</v>
      </c>
      <c r="M282" t="s">
        <v>35</v>
      </c>
      <c r="N282">
        <v>161</v>
      </c>
      <c r="O282" t="s">
        <v>161</v>
      </c>
      <c r="P282" t="s">
        <v>83</v>
      </c>
      <c r="Q282">
        <f t="shared" si="5"/>
        <v>-79</v>
      </c>
      <c r="R282">
        <f>_xlfn.XLOOKUP(E282,'Data Additive'!E:E,'Data Additive'!E:E,0)</f>
        <v>0</v>
      </c>
    </row>
    <row r="283" spans="1:18" x14ac:dyDescent="0.25">
      <c r="A283">
        <v>15904</v>
      </c>
      <c r="B283" t="s">
        <v>905</v>
      </c>
      <c r="C283" t="s">
        <v>906</v>
      </c>
      <c r="D283" s="34">
        <v>152158.14000000001</v>
      </c>
      <c r="E283">
        <v>1246269114</v>
      </c>
      <c r="F283" s="30">
        <v>46196</v>
      </c>
      <c r="G283" s="30"/>
      <c r="H283" t="s">
        <v>173</v>
      </c>
      <c r="I283" t="s">
        <v>174</v>
      </c>
      <c r="J283">
        <v>10978</v>
      </c>
      <c r="K283" s="30">
        <v>46106</v>
      </c>
      <c r="L283">
        <v>1010100</v>
      </c>
      <c r="M283" t="s">
        <v>35</v>
      </c>
      <c r="N283">
        <v>161</v>
      </c>
      <c r="O283" t="s">
        <v>161</v>
      </c>
      <c r="P283" t="s">
        <v>83</v>
      </c>
      <c r="Q283">
        <f t="shared" si="5"/>
        <v>-85</v>
      </c>
      <c r="R283">
        <f>_xlfn.XLOOKUP(E283,'Data Additive'!E:E,'Data Additive'!E:E,0)</f>
        <v>0</v>
      </c>
    </row>
    <row r="284" spans="1:18" x14ac:dyDescent="0.25">
      <c r="A284">
        <v>1891</v>
      </c>
      <c r="B284" t="s">
        <v>739</v>
      </c>
      <c r="C284" t="s">
        <v>740</v>
      </c>
      <c r="D284" s="34">
        <v>303.01</v>
      </c>
      <c r="E284">
        <v>1246250714</v>
      </c>
      <c r="F284" s="30">
        <v>46076</v>
      </c>
      <c r="G284" s="30"/>
      <c r="I284" t="s">
        <v>373</v>
      </c>
      <c r="J284">
        <v>10109</v>
      </c>
      <c r="K284" s="30">
        <v>45986</v>
      </c>
      <c r="L284">
        <v>4011600</v>
      </c>
      <c r="M284" t="s">
        <v>702</v>
      </c>
      <c r="N284">
        <v>124</v>
      </c>
      <c r="O284" t="s">
        <v>741</v>
      </c>
      <c r="P284" t="s">
        <v>739</v>
      </c>
      <c r="Q284">
        <f t="shared" si="5"/>
        <v>35</v>
      </c>
      <c r="R284">
        <f>_xlfn.XLOOKUP(E284,'Data Additive'!E:E,'Data Additive'!E:E,0)</f>
        <v>1246250714</v>
      </c>
    </row>
    <row r="285" spans="1:18" x14ac:dyDescent="0.25">
      <c r="A285">
        <v>707</v>
      </c>
      <c r="B285" t="s">
        <v>53</v>
      </c>
      <c r="C285" t="s">
        <v>54</v>
      </c>
      <c r="D285" s="34">
        <v>40320</v>
      </c>
      <c r="E285">
        <v>1246146706</v>
      </c>
      <c r="F285" s="30">
        <v>45461</v>
      </c>
      <c r="G285" s="30"/>
      <c r="H285" t="s">
        <v>28</v>
      </c>
      <c r="I285" t="s">
        <v>29</v>
      </c>
      <c r="J285">
        <v>3619</v>
      </c>
      <c r="K285" s="30">
        <v>45433</v>
      </c>
      <c r="L285">
        <v>1010100</v>
      </c>
      <c r="M285" t="s">
        <v>35</v>
      </c>
      <c r="N285">
        <v>161</v>
      </c>
      <c r="O285" t="s">
        <v>161</v>
      </c>
      <c r="P285" t="s">
        <v>53</v>
      </c>
      <c r="Q285">
        <f t="shared" si="5"/>
        <v>650</v>
      </c>
      <c r="R285">
        <f>_xlfn.XLOOKUP(E285,'Data Additive'!E:E,'Data Additive'!E:E,0)</f>
        <v>1246146706</v>
      </c>
    </row>
    <row r="286" spans="1:18" x14ac:dyDescent="0.25">
      <c r="A286">
        <v>707</v>
      </c>
      <c r="B286" t="s">
        <v>53</v>
      </c>
      <c r="C286" t="s">
        <v>54</v>
      </c>
      <c r="D286" s="34">
        <v>14640</v>
      </c>
      <c r="E286">
        <v>1246145696</v>
      </c>
      <c r="F286" s="30">
        <v>45454</v>
      </c>
      <c r="G286" s="30"/>
      <c r="H286" t="s">
        <v>28</v>
      </c>
      <c r="I286" t="s">
        <v>29</v>
      </c>
      <c r="J286">
        <v>3538</v>
      </c>
      <c r="K286" s="30">
        <v>45426</v>
      </c>
      <c r="L286">
        <v>1010100</v>
      </c>
      <c r="M286" t="s">
        <v>35</v>
      </c>
      <c r="N286">
        <v>161</v>
      </c>
      <c r="O286" t="s">
        <v>161</v>
      </c>
      <c r="P286" t="s">
        <v>53</v>
      </c>
      <c r="Q286">
        <f t="shared" si="5"/>
        <v>657</v>
      </c>
      <c r="R286">
        <f>_xlfn.XLOOKUP(E286,'Data Additive'!E:E,'Data Additive'!E:E,0)</f>
        <v>1246145696</v>
      </c>
    </row>
    <row r="287" spans="1:18" x14ac:dyDescent="0.25">
      <c r="A287">
        <v>707</v>
      </c>
      <c r="B287" t="s">
        <v>53</v>
      </c>
      <c r="C287" t="s">
        <v>54</v>
      </c>
      <c r="D287" s="34">
        <v>43920</v>
      </c>
      <c r="E287">
        <v>1246148035</v>
      </c>
      <c r="F287" s="30">
        <v>45469</v>
      </c>
      <c r="G287" s="30"/>
      <c r="H287" t="s">
        <v>28</v>
      </c>
      <c r="I287" t="s">
        <v>29</v>
      </c>
      <c r="J287">
        <v>3722</v>
      </c>
      <c r="K287" s="30">
        <v>45441</v>
      </c>
      <c r="L287">
        <v>1010100</v>
      </c>
      <c r="M287" t="s">
        <v>35</v>
      </c>
      <c r="N287">
        <v>161</v>
      </c>
      <c r="O287" t="s">
        <v>161</v>
      </c>
      <c r="P287" t="s">
        <v>53</v>
      </c>
      <c r="Q287">
        <f t="shared" si="5"/>
        <v>642</v>
      </c>
      <c r="R287">
        <f>_xlfn.XLOOKUP(E287,'Data Additive'!E:E,'Data Additive'!E:E,0)</f>
        <v>1246148035</v>
      </c>
    </row>
    <row r="288" spans="1:18" x14ac:dyDescent="0.25">
      <c r="A288">
        <v>707</v>
      </c>
      <c r="B288" t="s">
        <v>53</v>
      </c>
      <c r="C288" t="s">
        <v>54</v>
      </c>
      <c r="D288" s="34">
        <v>36600</v>
      </c>
      <c r="E288">
        <v>1246146938</v>
      </c>
      <c r="F288" s="30">
        <v>45462</v>
      </c>
      <c r="G288" s="30"/>
      <c r="H288" t="s">
        <v>28</v>
      </c>
      <c r="I288" t="s">
        <v>29</v>
      </c>
      <c r="J288">
        <v>3637</v>
      </c>
      <c r="K288" s="30">
        <v>45434</v>
      </c>
      <c r="L288">
        <v>1010100</v>
      </c>
      <c r="M288" t="s">
        <v>35</v>
      </c>
      <c r="N288">
        <v>161</v>
      </c>
      <c r="O288" t="s">
        <v>161</v>
      </c>
      <c r="P288" t="s">
        <v>53</v>
      </c>
      <c r="Q288">
        <f t="shared" si="5"/>
        <v>649</v>
      </c>
      <c r="R288">
        <f>_xlfn.XLOOKUP(E288,'Data Additive'!E:E,'Data Additive'!E:E,0)</f>
        <v>1246146938</v>
      </c>
    </row>
    <row r="289" spans="1:18" x14ac:dyDescent="0.25">
      <c r="A289">
        <v>707</v>
      </c>
      <c r="B289" t="s">
        <v>53</v>
      </c>
      <c r="C289" t="s">
        <v>54</v>
      </c>
      <c r="D289" s="34">
        <v>33600</v>
      </c>
      <c r="E289">
        <v>1246148036</v>
      </c>
      <c r="F289" s="30">
        <v>45469</v>
      </c>
      <c r="G289" s="30"/>
      <c r="H289" t="s">
        <v>28</v>
      </c>
      <c r="I289" t="s">
        <v>29</v>
      </c>
      <c r="J289">
        <v>3723</v>
      </c>
      <c r="K289" s="30">
        <v>45441</v>
      </c>
      <c r="L289">
        <v>1010100</v>
      </c>
      <c r="M289" t="s">
        <v>35</v>
      </c>
      <c r="N289">
        <v>161</v>
      </c>
      <c r="O289" t="s">
        <v>161</v>
      </c>
      <c r="P289" t="s">
        <v>53</v>
      </c>
      <c r="Q289">
        <f t="shared" si="5"/>
        <v>642</v>
      </c>
      <c r="R289">
        <f>_xlfn.XLOOKUP(E289,'Data Additive'!E:E,'Data Additive'!E:E,0)</f>
        <v>1246148036</v>
      </c>
    </row>
    <row r="290" spans="1:18" x14ac:dyDescent="0.25">
      <c r="A290">
        <v>707</v>
      </c>
      <c r="B290" t="s">
        <v>53</v>
      </c>
      <c r="C290" t="s">
        <v>54</v>
      </c>
      <c r="D290" s="34">
        <v>16800</v>
      </c>
      <c r="E290">
        <v>1246141445</v>
      </c>
      <c r="F290" s="30">
        <v>45433</v>
      </c>
      <c r="G290" s="30"/>
      <c r="H290" t="s">
        <v>28</v>
      </c>
      <c r="I290" t="s">
        <v>29</v>
      </c>
      <c r="J290">
        <v>3345</v>
      </c>
      <c r="K290" s="30">
        <v>45405</v>
      </c>
      <c r="L290">
        <v>1010100</v>
      </c>
      <c r="M290" t="s">
        <v>35</v>
      </c>
      <c r="N290">
        <v>161</v>
      </c>
      <c r="O290" t="s">
        <v>161</v>
      </c>
      <c r="P290" t="s">
        <v>53</v>
      </c>
      <c r="Q290">
        <f t="shared" si="5"/>
        <v>678</v>
      </c>
      <c r="R290">
        <f>_xlfn.XLOOKUP(E290,'Data Additive'!E:E,'Data Additive'!E:E,0)</f>
        <v>1246141445</v>
      </c>
    </row>
    <row r="291" spans="1:18" x14ac:dyDescent="0.25">
      <c r="A291">
        <v>707</v>
      </c>
      <c r="B291" t="s">
        <v>53</v>
      </c>
      <c r="C291" t="s">
        <v>54</v>
      </c>
      <c r="D291" s="34">
        <v>40353.599999999999</v>
      </c>
      <c r="E291">
        <v>1246143397</v>
      </c>
      <c r="F291" s="30">
        <v>45443</v>
      </c>
      <c r="G291" s="30"/>
      <c r="H291" t="s">
        <v>28</v>
      </c>
      <c r="I291" t="s">
        <v>29</v>
      </c>
      <c r="J291">
        <v>3448</v>
      </c>
      <c r="K291" s="30">
        <v>45415</v>
      </c>
      <c r="L291">
        <v>1010100</v>
      </c>
      <c r="M291" t="s">
        <v>35</v>
      </c>
      <c r="N291">
        <v>161</v>
      </c>
      <c r="O291" t="s">
        <v>161</v>
      </c>
      <c r="P291" t="s">
        <v>53</v>
      </c>
      <c r="Q291">
        <f t="shared" si="5"/>
        <v>668</v>
      </c>
      <c r="R291">
        <f>_xlfn.XLOOKUP(E291,'Data Additive'!E:E,'Data Additive'!E:E,0)</f>
        <v>1246143397</v>
      </c>
    </row>
    <row r="292" spans="1:18" x14ac:dyDescent="0.25">
      <c r="A292">
        <v>139</v>
      </c>
      <c r="B292" t="s">
        <v>40</v>
      </c>
      <c r="C292" t="s">
        <v>748</v>
      </c>
      <c r="D292" s="34">
        <v>391080</v>
      </c>
      <c r="E292">
        <v>1246268022</v>
      </c>
      <c r="F292" s="30">
        <v>46126</v>
      </c>
      <c r="G292" s="30"/>
      <c r="H292" t="s">
        <v>28</v>
      </c>
      <c r="I292" t="s">
        <v>29</v>
      </c>
      <c r="J292">
        <v>2819</v>
      </c>
      <c r="K292" s="30">
        <v>46098</v>
      </c>
      <c r="L292">
        <v>1010100</v>
      </c>
      <c r="M292" t="s">
        <v>35</v>
      </c>
      <c r="N292">
        <v>161</v>
      </c>
      <c r="O292" t="s">
        <v>161</v>
      </c>
      <c r="P292" t="s">
        <v>40</v>
      </c>
      <c r="Q292">
        <f t="shared" si="5"/>
        <v>-15</v>
      </c>
      <c r="R292">
        <f>_xlfn.XLOOKUP(E292,'Data Additive'!E:E,'Data Additive'!E:E,0)</f>
        <v>1246268022</v>
      </c>
    </row>
    <row r="293" spans="1:18" x14ac:dyDescent="0.25">
      <c r="A293">
        <v>1462</v>
      </c>
      <c r="B293" t="s">
        <v>65</v>
      </c>
      <c r="C293" t="s">
        <v>66</v>
      </c>
      <c r="D293" s="34">
        <v>37608.400000000001</v>
      </c>
      <c r="E293">
        <v>1246266894</v>
      </c>
      <c r="F293" s="30">
        <v>46147</v>
      </c>
      <c r="G293" s="30"/>
      <c r="H293" t="s">
        <v>28</v>
      </c>
      <c r="I293" t="s">
        <v>29</v>
      </c>
      <c r="J293">
        <v>10834</v>
      </c>
      <c r="K293" s="30">
        <v>46087</v>
      </c>
      <c r="L293">
        <v>1010100</v>
      </c>
      <c r="M293" t="s">
        <v>35</v>
      </c>
      <c r="N293">
        <v>161</v>
      </c>
      <c r="O293" t="s">
        <v>161</v>
      </c>
      <c r="P293" t="s">
        <v>65</v>
      </c>
      <c r="Q293">
        <f t="shared" si="5"/>
        <v>-36</v>
      </c>
      <c r="R293">
        <f>_xlfn.XLOOKUP(E293,'Data Additive'!E:E,'Data Additive'!E:E,0)</f>
        <v>1246266894</v>
      </c>
    </row>
    <row r="294" spans="1:18" x14ac:dyDescent="0.25">
      <c r="A294">
        <v>1462</v>
      </c>
      <c r="B294" t="s">
        <v>65</v>
      </c>
      <c r="C294" t="s">
        <v>66</v>
      </c>
      <c r="D294" s="34">
        <v>37608.400000000001</v>
      </c>
      <c r="E294">
        <v>1246266895</v>
      </c>
      <c r="F294" s="30">
        <v>46157</v>
      </c>
      <c r="G294" s="30"/>
      <c r="H294" t="s">
        <v>28</v>
      </c>
      <c r="I294" t="s">
        <v>29</v>
      </c>
      <c r="J294">
        <v>10834</v>
      </c>
      <c r="K294" s="30">
        <v>46087</v>
      </c>
      <c r="L294">
        <v>1010100</v>
      </c>
      <c r="M294" t="s">
        <v>35</v>
      </c>
      <c r="N294">
        <v>161</v>
      </c>
      <c r="O294" t="s">
        <v>161</v>
      </c>
      <c r="P294" t="s">
        <v>65</v>
      </c>
      <c r="Q294">
        <f t="shared" si="5"/>
        <v>-46</v>
      </c>
      <c r="R294">
        <f>_xlfn.XLOOKUP(E294,'Data Additive'!E:E,'Data Additive'!E:E,0)</f>
        <v>1246266895</v>
      </c>
    </row>
    <row r="295" spans="1:18" x14ac:dyDescent="0.25">
      <c r="A295">
        <v>1462</v>
      </c>
      <c r="B295" t="s">
        <v>65</v>
      </c>
      <c r="C295" t="s">
        <v>66</v>
      </c>
      <c r="D295" s="34">
        <v>37491.5</v>
      </c>
      <c r="E295">
        <v>1246262008</v>
      </c>
      <c r="F295" s="30">
        <v>46115</v>
      </c>
      <c r="G295" s="30"/>
      <c r="H295" t="s">
        <v>28</v>
      </c>
      <c r="I295" t="s">
        <v>29</v>
      </c>
      <c r="J295">
        <v>10624</v>
      </c>
      <c r="K295" s="30">
        <v>46055</v>
      </c>
      <c r="L295">
        <v>1010100</v>
      </c>
      <c r="M295" t="s">
        <v>35</v>
      </c>
      <c r="N295">
        <v>161</v>
      </c>
      <c r="O295" t="s">
        <v>161</v>
      </c>
      <c r="P295" t="s">
        <v>65</v>
      </c>
      <c r="Q295">
        <f t="shared" si="5"/>
        <v>-4</v>
      </c>
      <c r="R295">
        <f>_xlfn.XLOOKUP(E295,'Data Additive'!E:E,'Data Additive'!E:E,0)</f>
        <v>1246262008</v>
      </c>
    </row>
    <row r="296" spans="1:18" x14ac:dyDescent="0.25">
      <c r="A296">
        <v>1462</v>
      </c>
      <c r="B296" t="s">
        <v>65</v>
      </c>
      <c r="C296" t="s">
        <v>66</v>
      </c>
      <c r="D296" s="34">
        <v>37491.5</v>
      </c>
      <c r="E296">
        <v>1246262009</v>
      </c>
      <c r="F296" s="30">
        <v>46125</v>
      </c>
      <c r="G296" s="30"/>
      <c r="H296" t="s">
        <v>28</v>
      </c>
      <c r="I296" t="s">
        <v>29</v>
      </c>
      <c r="J296">
        <v>10624</v>
      </c>
      <c r="K296" s="30">
        <v>46055</v>
      </c>
      <c r="L296">
        <v>1010100</v>
      </c>
      <c r="M296" t="s">
        <v>35</v>
      </c>
      <c r="N296">
        <v>161</v>
      </c>
      <c r="O296" t="s">
        <v>161</v>
      </c>
      <c r="P296" t="s">
        <v>65</v>
      </c>
      <c r="Q296">
        <f t="shared" si="5"/>
        <v>-14</v>
      </c>
      <c r="R296">
        <f>_xlfn.XLOOKUP(E296,'Data Additive'!E:E,'Data Additive'!E:E,0)</f>
        <v>1246262009</v>
      </c>
    </row>
    <row r="297" spans="1:18" x14ac:dyDescent="0.25">
      <c r="A297">
        <v>2011</v>
      </c>
      <c r="B297" t="s">
        <v>726</v>
      </c>
      <c r="C297" t="s">
        <v>549</v>
      </c>
      <c r="D297" s="34">
        <v>80919</v>
      </c>
      <c r="E297">
        <v>1246267143</v>
      </c>
      <c r="F297" s="30">
        <v>46119</v>
      </c>
      <c r="G297" s="30"/>
      <c r="H297" t="s">
        <v>28</v>
      </c>
      <c r="I297" t="s">
        <v>29</v>
      </c>
      <c r="J297">
        <v>10852</v>
      </c>
      <c r="K297" s="30">
        <v>46091</v>
      </c>
      <c r="L297">
        <v>1010100</v>
      </c>
      <c r="M297" t="s">
        <v>35</v>
      </c>
      <c r="N297">
        <v>161</v>
      </c>
      <c r="O297" t="s">
        <v>161</v>
      </c>
      <c r="P297" t="s">
        <v>726</v>
      </c>
      <c r="Q297">
        <f t="shared" si="5"/>
        <v>-8</v>
      </c>
      <c r="R297">
        <f>_xlfn.XLOOKUP(E297,'Data Additive'!E:E,'Data Additive'!E:E,0)</f>
        <v>1246267143</v>
      </c>
    </row>
    <row r="298" spans="1:18" x14ac:dyDescent="0.25">
      <c r="A298">
        <v>2011</v>
      </c>
      <c r="B298" t="s">
        <v>726</v>
      </c>
      <c r="C298" t="s">
        <v>549</v>
      </c>
      <c r="D298" s="34">
        <v>80460</v>
      </c>
      <c r="E298">
        <v>1246268490</v>
      </c>
      <c r="F298" s="30">
        <v>46129</v>
      </c>
      <c r="G298" s="30"/>
      <c r="H298" t="s">
        <v>28</v>
      </c>
      <c r="I298" t="s">
        <v>29</v>
      </c>
      <c r="J298">
        <v>10940</v>
      </c>
      <c r="K298" s="30">
        <v>46101</v>
      </c>
      <c r="L298">
        <v>1010100</v>
      </c>
      <c r="M298" t="s">
        <v>35</v>
      </c>
      <c r="N298">
        <v>161</v>
      </c>
      <c r="O298" t="s">
        <v>161</v>
      </c>
      <c r="P298" t="s">
        <v>726</v>
      </c>
      <c r="Q298">
        <f t="shared" si="5"/>
        <v>-18</v>
      </c>
      <c r="R298">
        <f>_xlfn.XLOOKUP(E298,'Data Additive'!E:E,'Data Additive'!E:E,0)</f>
        <v>1246268490</v>
      </c>
    </row>
    <row r="299" spans="1:18" x14ac:dyDescent="0.25">
      <c r="A299">
        <v>505</v>
      </c>
      <c r="B299" t="s">
        <v>50</v>
      </c>
      <c r="C299" t="s">
        <v>814</v>
      </c>
      <c r="D299" s="34">
        <v>42240</v>
      </c>
      <c r="E299">
        <v>1246268415</v>
      </c>
      <c r="F299" s="30">
        <v>46128</v>
      </c>
      <c r="G299" s="30"/>
      <c r="H299" t="s">
        <v>28</v>
      </c>
      <c r="I299" t="s">
        <v>29</v>
      </c>
      <c r="J299">
        <v>10930</v>
      </c>
      <c r="K299" s="30">
        <v>46100</v>
      </c>
      <c r="L299">
        <v>1010100</v>
      </c>
      <c r="M299" t="s">
        <v>35</v>
      </c>
      <c r="N299">
        <v>161</v>
      </c>
      <c r="O299" t="s">
        <v>161</v>
      </c>
      <c r="P299" t="s">
        <v>50</v>
      </c>
      <c r="Q299">
        <f t="shared" si="5"/>
        <v>-17</v>
      </c>
      <c r="R299">
        <f>_xlfn.XLOOKUP(E299,'Data Additive'!E:E,'Data Additive'!E:E,0)</f>
        <v>1246268415</v>
      </c>
    </row>
    <row r="300" spans="1:18" x14ac:dyDescent="0.25">
      <c r="A300">
        <v>4222</v>
      </c>
      <c r="B300" t="s">
        <v>907</v>
      </c>
      <c r="C300" t="s">
        <v>31</v>
      </c>
      <c r="D300" s="34">
        <v>58715.6</v>
      </c>
      <c r="E300">
        <v>1246268732</v>
      </c>
      <c r="F300" s="30">
        <v>46122</v>
      </c>
      <c r="G300" s="30"/>
      <c r="I300" t="s">
        <v>373</v>
      </c>
      <c r="J300">
        <v>2836</v>
      </c>
      <c r="K300" s="30">
        <v>46105</v>
      </c>
      <c r="L300">
        <v>1010200</v>
      </c>
      <c r="M300" t="s">
        <v>125</v>
      </c>
      <c r="N300">
        <v>40</v>
      </c>
      <c r="O300" t="s">
        <v>171</v>
      </c>
      <c r="P300" t="s">
        <v>907</v>
      </c>
      <c r="Q300">
        <f t="shared" si="5"/>
        <v>-11</v>
      </c>
      <c r="R300">
        <f>_xlfn.XLOOKUP(E300,'Data Additive'!E:E,'Data Additive'!E:E,0)</f>
        <v>0</v>
      </c>
    </row>
    <row r="301" spans="1:18" x14ac:dyDescent="0.25">
      <c r="A301">
        <v>2680</v>
      </c>
      <c r="B301" t="s">
        <v>355</v>
      </c>
      <c r="C301" t="s">
        <v>31</v>
      </c>
      <c r="D301" s="34">
        <v>224812.61</v>
      </c>
      <c r="E301">
        <v>1246263810</v>
      </c>
      <c r="F301" s="30">
        <v>46129</v>
      </c>
      <c r="G301" s="30"/>
      <c r="H301" t="s">
        <v>28</v>
      </c>
      <c r="I301" t="s">
        <v>29</v>
      </c>
      <c r="J301">
        <v>2743</v>
      </c>
      <c r="K301" s="30">
        <v>46069</v>
      </c>
      <c r="L301">
        <v>1010200</v>
      </c>
      <c r="M301" t="s">
        <v>125</v>
      </c>
      <c r="N301">
        <v>40</v>
      </c>
      <c r="O301" t="s">
        <v>171</v>
      </c>
      <c r="P301" t="s">
        <v>355</v>
      </c>
      <c r="Q301">
        <f t="shared" si="5"/>
        <v>-18</v>
      </c>
      <c r="R301">
        <f>_xlfn.XLOOKUP(E301,'Data Additive'!E:E,'Data Additive'!E:E,0)</f>
        <v>0</v>
      </c>
    </row>
    <row r="302" spans="1:18" x14ac:dyDescent="0.25">
      <c r="A302">
        <v>3142</v>
      </c>
      <c r="B302" t="s">
        <v>89</v>
      </c>
      <c r="C302" t="s">
        <v>881</v>
      </c>
      <c r="D302" s="34">
        <v>83198.7</v>
      </c>
      <c r="E302">
        <v>1246266915</v>
      </c>
      <c r="F302" s="30">
        <v>46115</v>
      </c>
      <c r="G302" s="30"/>
      <c r="H302" t="s">
        <v>28</v>
      </c>
      <c r="I302" t="s">
        <v>29</v>
      </c>
      <c r="J302">
        <v>10836</v>
      </c>
      <c r="K302" s="30">
        <v>46087</v>
      </c>
      <c r="L302">
        <v>1010100</v>
      </c>
      <c r="M302" t="s">
        <v>35</v>
      </c>
      <c r="N302">
        <v>161</v>
      </c>
      <c r="O302" t="s">
        <v>161</v>
      </c>
      <c r="P302" t="s">
        <v>89</v>
      </c>
      <c r="Q302">
        <f t="shared" si="5"/>
        <v>-4</v>
      </c>
      <c r="R302">
        <f>_xlfn.XLOOKUP(E302,'Data Additive'!E:E,'Data Additive'!E:E,0)</f>
        <v>1246266915</v>
      </c>
    </row>
    <row r="303" spans="1:18" x14ac:dyDescent="0.25">
      <c r="A303">
        <v>2900</v>
      </c>
      <c r="B303" t="s">
        <v>550</v>
      </c>
      <c r="C303" t="s">
        <v>886</v>
      </c>
      <c r="D303" s="34">
        <v>17017.16</v>
      </c>
      <c r="E303">
        <v>1246267966</v>
      </c>
      <c r="F303" s="30">
        <v>46137</v>
      </c>
      <c r="G303" s="30"/>
      <c r="H303" t="s">
        <v>28</v>
      </c>
      <c r="I303" t="s">
        <v>29</v>
      </c>
      <c r="J303">
        <v>10901</v>
      </c>
      <c r="K303" s="30">
        <v>46097</v>
      </c>
      <c r="L303">
        <v>1010100</v>
      </c>
      <c r="M303" t="s">
        <v>35</v>
      </c>
      <c r="N303">
        <v>161</v>
      </c>
      <c r="O303" t="s">
        <v>161</v>
      </c>
      <c r="P303" t="s">
        <v>550</v>
      </c>
      <c r="Q303">
        <f t="shared" si="5"/>
        <v>-26</v>
      </c>
      <c r="R303">
        <f>_xlfn.XLOOKUP(E303,'Data Additive'!E:E,'Data Additive'!E:E,0)</f>
        <v>1246267966</v>
      </c>
    </row>
    <row r="304" spans="1:18" x14ac:dyDescent="0.25">
      <c r="A304">
        <v>2900</v>
      </c>
      <c r="B304" t="s">
        <v>550</v>
      </c>
      <c r="C304" t="s">
        <v>886</v>
      </c>
      <c r="D304" s="34">
        <v>17017.16</v>
      </c>
      <c r="E304">
        <v>1246267967</v>
      </c>
      <c r="F304" s="30">
        <v>46157</v>
      </c>
      <c r="G304" s="30"/>
      <c r="H304" t="s">
        <v>28</v>
      </c>
      <c r="I304" t="s">
        <v>29</v>
      </c>
      <c r="J304">
        <v>10901</v>
      </c>
      <c r="K304" s="30">
        <v>46097</v>
      </c>
      <c r="L304">
        <v>1010100</v>
      </c>
      <c r="M304" t="s">
        <v>35</v>
      </c>
      <c r="N304">
        <v>161</v>
      </c>
      <c r="O304" t="s">
        <v>161</v>
      </c>
      <c r="P304" t="s">
        <v>550</v>
      </c>
      <c r="Q304">
        <f t="shared" si="5"/>
        <v>-46</v>
      </c>
      <c r="R304">
        <f>_xlfn.XLOOKUP(E304,'Data Additive'!E:E,'Data Additive'!E:E,0)</f>
        <v>1246267967</v>
      </c>
    </row>
    <row r="305" spans="1:18" x14ac:dyDescent="0.25">
      <c r="A305">
        <v>2900</v>
      </c>
      <c r="B305" t="s">
        <v>550</v>
      </c>
      <c r="C305" t="s">
        <v>886</v>
      </c>
      <c r="D305" s="34">
        <v>17017.16</v>
      </c>
      <c r="E305">
        <v>1246267968</v>
      </c>
      <c r="F305" s="30">
        <v>46187</v>
      </c>
      <c r="G305" s="30"/>
      <c r="H305" t="s">
        <v>28</v>
      </c>
      <c r="I305" t="s">
        <v>29</v>
      </c>
      <c r="J305">
        <v>10901</v>
      </c>
      <c r="K305" s="30">
        <v>46097</v>
      </c>
      <c r="L305">
        <v>1010100</v>
      </c>
      <c r="M305" t="s">
        <v>35</v>
      </c>
      <c r="N305">
        <v>161</v>
      </c>
      <c r="O305" t="s">
        <v>161</v>
      </c>
      <c r="P305" t="s">
        <v>550</v>
      </c>
      <c r="Q305">
        <f t="shared" si="5"/>
        <v>-76</v>
      </c>
      <c r="R305">
        <f>_xlfn.XLOOKUP(E305,'Data Additive'!E:E,'Data Additive'!E:E,0)</f>
        <v>1246267968</v>
      </c>
    </row>
    <row r="306" spans="1:18" x14ac:dyDescent="0.25">
      <c r="A306">
        <v>2900</v>
      </c>
      <c r="B306" t="s">
        <v>550</v>
      </c>
      <c r="C306" t="s">
        <v>886</v>
      </c>
      <c r="D306" s="34">
        <v>32495.81</v>
      </c>
      <c r="E306">
        <v>1246267971</v>
      </c>
      <c r="F306" s="30">
        <v>46137</v>
      </c>
      <c r="G306" s="30"/>
      <c r="H306" t="s">
        <v>28</v>
      </c>
      <c r="I306" t="s">
        <v>29</v>
      </c>
      <c r="J306">
        <v>10902</v>
      </c>
      <c r="K306" s="30">
        <v>46097</v>
      </c>
      <c r="L306">
        <v>1010100</v>
      </c>
      <c r="M306" t="s">
        <v>35</v>
      </c>
      <c r="N306">
        <v>161</v>
      </c>
      <c r="O306" t="s">
        <v>161</v>
      </c>
      <c r="P306" t="s">
        <v>550</v>
      </c>
      <c r="Q306">
        <f t="shared" si="5"/>
        <v>-26</v>
      </c>
      <c r="R306">
        <f>_xlfn.XLOOKUP(E306,'Data Additive'!E:E,'Data Additive'!E:E,0)</f>
        <v>1246267971</v>
      </c>
    </row>
    <row r="307" spans="1:18" x14ac:dyDescent="0.25">
      <c r="A307">
        <v>2900</v>
      </c>
      <c r="B307" t="s">
        <v>550</v>
      </c>
      <c r="C307" t="s">
        <v>886</v>
      </c>
      <c r="D307" s="34">
        <v>32495.81</v>
      </c>
      <c r="E307">
        <v>1246267972</v>
      </c>
      <c r="F307" s="30">
        <v>46157</v>
      </c>
      <c r="G307" s="30"/>
      <c r="H307" t="s">
        <v>28</v>
      </c>
      <c r="I307" t="s">
        <v>29</v>
      </c>
      <c r="J307">
        <v>10902</v>
      </c>
      <c r="K307" s="30">
        <v>46097</v>
      </c>
      <c r="L307">
        <v>1010100</v>
      </c>
      <c r="M307" t="s">
        <v>35</v>
      </c>
      <c r="N307">
        <v>161</v>
      </c>
      <c r="O307" t="s">
        <v>161</v>
      </c>
      <c r="P307" t="s">
        <v>550</v>
      </c>
      <c r="Q307">
        <f t="shared" si="5"/>
        <v>-46</v>
      </c>
      <c r="R307">
        <f>_xlfn.XLOOKUP(E307,'Data Additive'!E:E,'Data Additive'!E:E,0)</f>
        <v>1246267972</v>
      </c>
    </row>
    <row r="308" spans="1:18" x14ac:dyDescent="0.25">
      <c r="A308">
        <v>2900</v>
      </c>
      <c r="B308" t="s">
        <v>550</v>
      </c>
      <c r="C308" t="s">
        <v>886</v>
      </c>
      <c r="D308" s="34">
        <v>32495.82</v>
      </c>
      <c r="E308">
        <v>1246267973</v>
      </c>
      <c r="F308" s="30">
        <v>46187</v>
      </c>
      <c r="G308" s="30"/>
      <c r="H308" t="s">
        <v>28</v>
      </c>
      <c r="I308" t="s">
        <v>29</v>
      </c>
      <c r="J308">
        <v>10902</v>
      </c>
      <c r="K308" s="30">
        <v>46097</v>
      </c>
      <c r="L308">
        <v>1010100</v>
      </c>
      <c r="M308" t="s">
        <v>35</v>
      </c>
      <c r="N308">
        <v>161</v>
      </c>
      <c r="O308" t="s">
        <v>161</v>
      </c>
      <c r="P308" t="s">
        <v>550</v>
      </c>
      <c r="Q308">
        <f t="shared" si="5"/>
        <v>-76</v>
      </c>
      <c r="R308">
        <f>_xlfn.XLOOKUP(E308,'Data Additive'!E:E,'Data Additive'!E:E,0)</f>
        <v>1246267973</v>
      </c>
    </row>
    <row r="309" spans="1:18" x14ac:dyDescent="0.25">
      <c r="A309">
        <v>2696</v>
      </c>
      <c r="B309" t="s">
        <v>131</v>
      </c>
      <c r="C309" t="s">
        <v>31</v>
      </c>
      <c r="D309" s="34">
        <v>119098.19</v>
      </c>
      <c r="E309">
        <v>1246265986</v>
      </c>
      <c r="F309" s="30">
        <v>46143</v>
      </c>
      <c r="G309" s="30"/>
      <c r="H309" t="s">
        <v>28</v>
      </c>
      <c r="I309" t="s">
        <v>29</v>
      </c>
      <c r="J309">
        <v>10797</v>
      </c>
      <c r="K309" s="30">
        <v>46083</v>
      </c>
      <c r="L309">
        <v>1010200</v>
      </c>
      <c r="M309" t="s">
        <v>125</v>
      </c>
      <c r="N309">
        <v>40</v>
      </c>
      <c r="O309" t="s">
        <v>171</v>
      </c>
      <c r="P309" t="s">
        <v>131</v>
      </c>
      <c r="Q309">
        <f t="shared" si="5"/>
        <v>-32</v>
      </c>
      <c r="R309">
        <f>_xlfn.XLOOKUP(E309,'Data Additive'!E:E,'Data Additive'!E:E,0)</f>
        <v>0</v>
      </c>
    </row>
    <row r="310" spans="1:18" x14ac:dyDescent="0.25">
      <c r="A310">
        <v>2696</v>
      </c>
      <c r="B310" t="s">
        <v>131</v>
      </c>
      <c r="C310" t="s">
        <v>31</v>
      </c>
      <c r="D310" s="34">
        <v>94619.53</v>
      </c>
      <c r="E310">
        <v>1246262122</v>
      </c>
      <c r="F310" s="30">
        <v>46116</v>
      </c>
      <c r="G310" s="30"/>
      <c r="H310" t="s">
        <v>28</v>
      </c>
      <c r="I310" t="s">
        <v>29</v>
      </c>
      <c r="J310">
        <v>10630</v>
      </c>
      <c r="K310" s="30">
        <v>46056</v>
      </c>
      <c r="L310">
        <v>1010200</v>
      </c>
      <c r="M310" t="s">
        <v>125</v>
      </c>
      <c r="N310">
        <v>40</v>
      </c>
      <c r="O310" t="s">
        <v>171</v>
      </c>
      <c r="P310" t="s">
        <v>131</v>
      </c>
      <c r="Q310">
        <f t="shared" si="5"/>
        <v>-5</v>
      </c>
      <c r="R310">
        <f>_xlfn.XLOOKUP(E310,'Data Additive'!E:E,'Data Additive'!E:E,0)</f>
        <v>0</v>
      </c>
    </row>
    <row r="311" spans="1:18" x14ac:dyDescent="0.25">
      <c r="A311">
        <v>2622</v>
      </c>
      <c r="B311" t="s">
        <v>83</v>
      </c>
      <c r="C311" t="s">
        <v>565</v>
      </c>
      <c r="D311" s="34">
        <v>410856.52</v>
      </c>
      <c r="E311">
        <v>1246268936</v>
      </c>
      <c r="F311" s="30">
        <v>46196</v>
      </c>
      <c r="G311" s="30"/>
      <c r="H311" t="s">
        <v>28</v>
      </c>
      <c r="I311" t="s">
        <v>29</v>
      </c>
      <c r="J311">
        <v>2842</v>
      </c>
      <c r="K311" s="30">
        <v>46106</v>
      </c>
      <c r="L311">
        <v>1010100</v>
      </c>
      <c r="M311" t="s">
        <v>35</v>
      </c>
      <c r="N311">
        <v>161</v>
      </c>
      <c r="O311" t="s">
        <v>161</v>
      </c>
      <c r="P311" t="s">
        <v>83</v>
      </c>
      <c r="Q311">
        <f t="shared" si="5"/>
        <v>-85</v>
      </c>
      <c r="R311">
        <f>_xlfn.XLOOKUP(E311,'Data Additive'!E:E,'Data Additive'!E:E,0)</f>
        <v>1246268936</v>
      </c>
    </row>
    <row r="312" spans="1:18" x14ac:dyDescent="0.25">
      <c r="A312">
        <v>2622</v>
      </c>
      <c r="B312" t="s">
        <v>83</v>
      </c>
      <c r="C312" t="s">
        <v>565</v>
      </c>
      <c r="D312" s="34">
        <v>420160.61</v>
      </c>
      <c r="E312">
        <v>1246260238</v>
      </c>
      <c r="F312" s="30">
        <v>46133</v>
      </c>
      <c r="G312" s="30"/>
      <c r="H312" t="s">
        <v>28</v>
      </c>
      <c r="I312" t="s">
        <v>29</v>
      </c>
      <c r="J312">
        <v>2688</v>
      </c>
      <c r="K312" s="30">
        <v>46043</v>
      </c>
      <c r="L312">
        <v>1010100</v>
      </c>
      <c r="M312" t="s">
        <v>35</v>
      </c>
      <c r="N312">
        <v>161</v>
      </c>
      <c r="O312" t="s">
        <v>161</v>
      </c>
      <c r="P312" t="s">
        <v>83</v>
      </c>
      <c r="Q312">
        <f t="shared" si="5"/>
        <v>-22</v>
      </c>
      <c r="R312">
        <f>_xlfn.XLOOKUP(E312,'Data Additive'!E:E,'Data Additive'!E:E,0)</f>
        <v>1246260238</v>
      </c>
    </row>
    <row r="313" spans="1:18" x14ac:dyDescent="0.25">
      <c r="A313">
        <v>2975</v>
      </c>
      <c r="B313" t="s">
        <v>488</v>
      </c>
      <c r="C313" t="s">
        <v>86</v>
      </c>
      <c r="D313" s="34">
        <v>58920</v>
      </c>
      <c r="E313">
        <v>1246269447</v>
      </c>
      <c r="F313" s="30">
        <v>46136</v>
      </c>
      <c r="G313" s="30"/>
      <c r="H313" t="s">
        <v>28</v>
      </c>
      <c r="I313" t="s">
        <v>29</v>
      </c>
      <c r="J313">
        <v>2851</v>
      </c>
      <c r="K313" s="30">
        <v>46108</v>
      </c>
      <c r="L313">
        <v>1010100</v>
      </c>
      <c r="M313" t="s">
        <v>35</v>
      </c>
      <c r="N313">
        <v>161</v>
      </c>
      <c r="O313" t="s">
        <v>161</v>
      </c>
      <c r="P313" t="s">
        <v>488</v>
      </c>
      <c r="Q313">
        <f t="shared" si="5"/>
        <v>-25</v>
      </c>
      <c r="R313">
        <f>_xlfn.XLOOKUP(E313,'Data Additive'!E:E,'Data Additive'!E:E,0)</f>
        <v>1246269447</v>
      </c>
    </row>
    <row r="314" spans="1:18" x14ac:dyDescent="0.25">
      <c r="A314">
        <v>2975</v>
      </c>
      <c r="B314" t="s">
        <v>488</v>
      </c>
      <c r="C314" t="s">
        <v>86</v>
      </c>
      <c r="D314" s="34">
        <v>78164.100000000006</v>
      </c>
      <c r="E314">
        <v>1246267719</v>
      </c>
      <c r="F314" s="30">
        <v>46122</v>
      </c>
      <c r="G314" s="30"/>
      <c r="H314" t="s">
        <v>28</v>
      </c>
      <c r="I314" t="s">
        <v>29</v>
      </c>
      <c r="J314">
        <v>10878</v>
      </c>
      <c r="K314" s="30">
        <v>46094</v>
      </c>
      <c r="L314">
        <v>1010100</v>
      </c>
      <c r="M314" t="s">
        <v>35</v>
      </c>
      <c r="N314">
        <v>161</v>
      </c>
      <c r="O314" t="s">
        <v>161</v>
      </c>
      <c r="P314" t="s">
        <v>488</v>
      </c>
      <c r="Q314">
        <f t="shared" si="5"/>
        <v>-11</v>
      </c>
      <c r="R314">
        <f>_xlfn.XLOOKUP(E314,'Data Additive'!E:E,'Data Additive'!E:E,0)</f>
        <v>1246267719</v>
      </c>
    </row>
    <row r="315" spans="1:18" x14ac:dyDescent="0.25">
      <c r="A315">
        <v>2346</v>
      </c>
      <c r="B315" t="s">
        <v>535</v>
      </c>
      <c r="C315" t="s">
        <v>812</v>
      </c>
      <c r="D315" s="34">
        <v>103419.88999999998</v>
      </c>
      <c r="E315">
        <v>1246265843</v>
      </c>
      <c r="F315" s="30">
        <v>46170</v>
      </c>
      <c r="G315" s="30"/>
      <c r="H315" t="s">
        <v>28</v>
      </c>
      <c r="I315" t="s">
        <v>29</v>
      </c>
      <c r="J315">
        <v>2789</v>
      </c>
      <c r="K315" s="30">
        <v>46080</v>
      </c>
      <c r="L315">
        <v>1010200</v>
      </c>
      <c r="M315" t="s">
        <v>125</v>
      </c>
      <c r="N315">
        <v>40</v>
      </c>
      <c r="O315" t="s">
        <v>171</v>
      </c>
      <c r="P315" t="s">
        <v>535</v>
      </c>
      <c r="Q315">
        <f t="shared" si="5"/>
        <v>-59</v>
      </c>
      <c r="R315">
        <f>_xlfn.XLOOKUP(E315,'Data Additive'!E:E,'Data Additive'!E:E,0)</f>
        <v>0</v>
      </c>
    </row>
    <row r="316" spans="1:18" x14ac:dyDescent="0.25">
      <c r="A316">
        <v>2651</v>
      </c>
      <c r="B316" t="s">
        <v>128</v>
      </c>
      <c r="C316" t="s">
        <v>31</v>
      </c>
      <c r="D316" s="34">
        <v>252226.12</v>
      </c>
      <c r="E316">
        <v>1246223341</v>
      </c>
      <c r="F316" s="30">
        <v>45935</v>
      </c>
      <c r="G316" s="30"/>
      <c r="H316" t="s">
        <v>28</v>
      </c>
      <c r="I316" t="s">
        <v>29</v>
      </c>
      <c r="J316">
        <v>8388</v>
      </c>
      <c r="K316" s="30">
        <v>45845</v>
      </c>
      <c r="L316">
        <v>1010200</v>
      </c>
      <c r="M316" t="s">
        <v>125</v>
      </c>
      <c r="N316">
        <v>40</v>
      </c>
      <c r="O316" t="s">
        <v>171</v>
      </c>
      <c r="P316" t="s">
        <v>128</v>
      </c>
      <c r="Q316">
        <f t="shared" si="5"/>
        <v>176</v>
      </c>
      <c r="R316">
        <f>_xlfn.XLOOKUP(E316,'Data Additive'!E:E,'Data Additive'!E:E,0)</f>
        <v>0</v>
      </c>
    </row>
    <row r="317" spans="1:18" x14ac:dyDescent="0.25">
      <c r="A317">
        <v>2651</v>
      </c>
      <c r="B317" t="s">
        <v>128</v>
      </c>
      <c r="C317" t="s">
        <v>31</v>
      </c>
      <c r="D317" s="34">
        <v>197281.56999999998</v>
      </c>
      <c r="E317">
        <v>1246213269</v>
      </c>
      <c r="F317" s="30">
        <v>45849</v>
      </c>
      <c r="G317" s="30"/>
      <c r="H317" t="s">
        <v>28</v>
      </c>
      <c r="I317" t="s">
        <v>29</v>
      </c>
      <c r="J317">
        <v>1965</v>
      </c>
      <c r="K317" s="30">
        <v>45789</v>
      </c>
      <c r="L317">
        <v>1010200</v>
      </c>
      <c r="M317" t="s">
        <v>125</v>
      </c>
      <c r="N317">
        <v>40</v>
      </c>
      <c r="O317" t="s">
        <v>171</v>
      </c>
      <c r="P317" t="s">
        <v>128</v>
      </c>
      <c r="Q317">
        <f t="shared" si="5"/>
        <v>262</v>
      </c>
      <c r="R317">
        <f>_xlfn.XLOOKUP(E317,'Data Additive'!E:E,'Data Additive'!E:E,0)</f>
        <v>0</v>
      </c>
    </row>
    <row r="318" spans="1:18" x14ac:dyDescent="0.25">
      <c r="A318">
        <v>2287</v>
      </c>
      <c r="B318" t="s">
        <v>126</v>
      </c>
      <c r="C318" t="s">
        <v>127</v>
      </c>
      <c r="D318" s="34">
        <v>157607.13</v>
      </c>
      <c r="E318">
        <v>1246268026</v>
      </c>
      <c r="F318" s="30">
        <v>46128</v>
      </c>
      <c r="G318" s="30"/>
      <c r="H318" t="s">
        <v>28</v>
      </c>
      <c r="I318" t="s">
        <v>29</v>
      </c>
      <c r="J318">
        <v>10909</v>
      </c>
      <c r="K318" s="30">
        <v>46098</v>
      </c>
      <c r="L318">
        <v>1010200</v>
      </c>
      <c r="M318" t="s">
        <v>125</v>
      </c>
      <c r="N318">
        <v>40</v>
      </c>
      <c r="O318" t="s">
        <v>171</v>
      </c>
      <c r="P318" t="s">
        <v>126</v>
      </c>
      <c r="Q318">
        <f t="shared" si="5"/>
        <v>-17</v>
      </c>
      <c r="R318">
        <f>_xlfn.XLOOKUP(E318,'Data Additive'!E:E,'Data Additive'!E:E,0)</f>
        <v>0</v>
      </c>
    </row>
    <row r="319" spans="1:18" x14ac:dyDescent="0.25">
      <c r="A319">
        <v>2655</v>
      </c>
      <c r="B319" t="s">
        <v>360</v>
      </c>
      <c r="C319" t="s">
        <v>31</v>
      </c>
      <c r="D319" s="34">
        <v>40017.64</v>
      </c>
      <c r="E319">
        <v>1246268741</v>
      </c>
      <c r="F319" s="30">
        <v>46165</v>
      </c>
      <c r="G319" s="30"/>
      <c r="H319" t="s">
        <v>28</v>
      </c>
      <c r="I319" t="s">
        <v>29</v>
      </c>
      <c r="J319">
        <v>10964</v>
      </c>
      <c r="K319" s="30">
        <v>46105</v>
      </c>
      <c r="L319">
        <v>1010200</v>
      </c>
      <c r="M319" t="s">
        <v>125</v>
      </c>
      <c r="N319">
        <v>40</v>
      </c>
      <c r="O319" t="s">
        <v>171</v>
      </c>
      <c r="P319" t="s">
        <v>360</v>
      </c>
      <c r="Q319">
        <f t="shared" ref="Q319:Q375" si="6">$R$1-F319</f>
        <v>-54</v>
      </c>
      <c r="R319">
        <f>_xlfn.XLOOKUP(E319,'Data Additive'!E:E,'Data Additive'!E:E,0)</f>
        <v>0</v>
      </c>
    </row>
    <row r="320" spans="1:18" x14ac:dyDescent="0.25">
      <c r="A320">
        <v>2656</v>
      </c>
      <c r="B320" t="s">
        <v>130</v>
      </c>
      <c r="C320" t="s">
        <v>31</v>
      </c>
      <c r="D320" s="34">
        <v>145895</v>
      </c>
      <c r="E320">
        <v>1246267103</v>
      </c>
      <c r="F320" s="30">
        <v>46120</v>
      </c>
      <c r="G320" s="30"/>
      <c r="H320" t="s">
        <v>28</v>
      </c>
      <c r="I320" t="s">
        <v>29</v>
      </c>
      <c r="J320">
        <v>10850</v>
      </c>
      <c r="K320" s="30">
        <v>46090</v>
      </c>
      <c r="L320">
        <v>1010200</v>
      </c>
      <c r="M320" t="s">
        <v>125</v>
      </c>
      <c r="N320">
        <v>40</v>
      </c>
      <c r="O320" t="s">
        <v>171</v>
      </c>
      <c r="P320" t="s">
        <v>130</v>
      </c>
      <c r="Q320">
        <f t="shared" si="6"/>
        <v>-9</v>
      </c>
      <c r="R320">
        <f>_xlfn.XLOOKUP(E320,'Data Additive'!E:E,'Data Additive'!E:E,0)</f>
        <v>0</v>
      </c>
    </row>
    <row r="321" spans="1:18" x14ac:dyDescent="0.25">
      <c r="A321">
        <v>6132</v>
      </c>
      <c r="B321" t="s">
        <v>177</v>
      </c>
      <c r="C321" t="s">
        <v>178</v>
      </c>
      <c r="D321" s="34">
        <v>131993.79999999999</v>
      </c>
      <c r="E321">
        <v>1246090615</v>
      </c>
      <c r="F321" s="30">
        <v>45471</v>
      </c>
      <c r="G321" s="30"/>
      <c r="H321" t="s">
        <v>173</v>
      </c>
      <c r="I321" t="s">
        <v>174</v>
      </c>
      <c r="J321">
        <v>33</v>
      </c>
      <c r="K321" s="30">
        <v>45111</v>
      </c>
      <c r="L321">
        <v>1010100</v>
      </c>
      <c r="M321" t="s">
        <v>35</v>
      </c>
      <c r="N321">
        <v>161</v>
      </c>
      <c r="O321" t="s">
        <v>161</v>
      </c>
      <c r="P321" t="s">
        <v>177</v>
      </c>
      <c r="Q321">
        <f t="shared" si="6"/>
        <v>640</v>
      </c>
      <c r="R321">
        <f>_xlfn.XLOOKUP(E321,'Data Additive'!E:E,'Data Additive'!E:E,0)</f>
        <v>0</v>
      </c>
    </row>
    <row r="322" spans="1:18" x14ac:dyDescent="0.25">
      <c r="A322">
        <v>6132</v>
      </c>
      <c r="B322" t="s">
        <v>177</v>
      </c>
      <c r="C322" t="s">
        <v>178</v>
      </c>
      <c r="D322" s="34">
        <v>178370</v>
      </c>
      <c r="E322">
        <v>1246091907</v>
      </c>
      <c r="F322" s="30">
        <v>45437</v>
      </c>
      <c r="G322" s="30"/>
      <c r="H322" t="s">
        <v>173</v>
      </c>
      <c r="I322" t="s">
        <v>174</v>
      </c>
      <c r="J322">
        <v>129</v>
      </c>
      <c r="K322" s="30">
        <v>45119</v>
      </c>
      <c r="L322">
        <v>1010100</v>
      </c>
      <c r="M322" t="s">
        <v>35</v>
      </c>
      <c r="N322">
        <v>161</v>
      </c>
      <c r="O322" t="s">
        <v>161</v>
      </c>
      <c r="P322" t="s">
        <v>177</v>
      </c>
      <c r="Q322">
        <f t="shared" si="6"/>
        <v>674</v>
      </c>
      <c r="R322">
        <f>_xlfn.XLOOKUP(E322,'Data Additive'!E:E,'Data Additive'!E:E,0)</f>
        <v>0</v>
      </c>
    </row>
    <row r="323" spans="1:18" x14ac:dyDescent="0.25">
      <c r="A323">
        <v>6132</v>
      </c>
      <c r="B323" t="s">
        <v>177</v>
      </c>
      <c r="C323" t="s">
        <v>178</v>
      </c>
      <c r="D323" s="34">
        <v>178370</v>
      </c>
      <c r="E323">
        <v>1246090579</v>
      </c>
      <c r="F323" s="30">
        <v>45470</v>
      </c>
      <c r="G323" s="30"/>
      <c r="H323" t="s">
        <v>173</v>
      </c>
      <c r="I323" t="s">
        <v>174</v>
      </c>
      <c r="J323">
        <v>28</v>
      </c>
      <c r="K323" s="30">
        <v>45110</v>
      </c>
      <c r="L323">
        <v>1010100</v>
      </c>
      <c r="M323" t="s">
        <v>35</v>
      </c>
      <c r="N323">
        <v>161</v>
      </c>
      <c r="O323" t="s">
        <v>161</v>
      </c>
      <c r="P323" t="s">
        <v>177</v>
      </c>
      <c r="Q323">
        <f t="shared" si="6"/>
        <v>641</v>
      </c>
      <c r="R323">
        <f>_xlfn.XLOOKUP(E323,'Data Additive'!E:E,'Data Additive'!E:E,0)</f>
        <v>0</v>
      </c>
    </row>
    <row r="324" spans="1:18" x14ac:dyDescent="0.25">
      <c r="A324">
        <v>6132</v>
      </c>
      <c r="B324" t="s">
        <v>177</v>
      </c>
      <c r="C324" t="s">
        <v>178</v>
      </c>
      <c r="D324" s="34">
        <v>142696</v>
      </c>
      <c r="E324">
        <v>1246091833</v>
      </c>
      <c r="F324" s="30">
        <v>45436</v>
      </c>
      <c r="G324" s="30"/>
      <c r="H324" t="s">
        <v>173</v>
      </c>
      <c r="I324" t="s">
        <v>174</v>
      </c>
      <c r="J324">
        <v>116</v>
      </c>
      <c r="K324" s="30">
        <v>45118</v>
      </c>
      <c r="L324">
        <v>1010100</v>
      </c>
      <c r="M324" t="s">
        <v>35</v>
      </c>
      <c r="N324">
        <v>161</v>
      </c>
      <c r="O324" t="s">
        <v>161</v>
      </c>
      <c r="P324" t="s">
        <v>177</v>
      </c>
      <c r="Q324">
        <f t="shared" si="6"/>
        <v>675</v>
      </c>
      <c r="R324">
        <f>_xlfn.XLOOKUP(E324,'Data Additive'!E:E,'Data Additive'!E:E,0)</f>
        <v>0</v>
      </c>
    </row>
    <row r="325" spans="1:18" x14ac:dyDescent="0.25">
      <c r="A325">
        <v>6132</v>
      </c>
      <c r="B325" t="s">
        <v>177</v>
      </c>
      <c r="C325" t="s">
        <v>178</v>
      </c>
      <c r="D325" s="34">
        <v>60766.2</v>
      </c>
      <c r="E325">
        <v>1246095119</v>
      </c>
      <c r="F325" s="30">
        <v>45447</v>
      </c>
      <c r="G325" s="30"/>
      <c r="H325" t="s">
        <v>173</v>
      </c>
      <c r="I325" t="s">
        <v>174</v>
      </c>
      <c r="J325">
        <v>93</v>
      </c>
      <c r="K325" s="30">
        <v>45138</v>
      </c>
      <c r="L325">
        <v>1010100</v>
      </c>
      <c r="M325" t="s">
        <v>35</v>
      </c>
      <c r="N325">
        <v>161</v>
      </c>
      <c r="O325" t="s">
        <v>161</v>
      </c>
      <c r="P325" t="s">
        <v>177</v>
      </c>
      <c r="Q325">
        <f t="shared" si="6"/>
        <v>664</v>
      </c>
      <c r="R325">
        <f>_xlfn.XLOOKUP(E325,'Data Additive'!E:E,'Data Additive'!E:E,0)</f>
        <v>0</v>
      </c>
    </row>
    <row r="326" spans="1:18" x14ac:dyDescent="0.25">
      <c r="A326">
        <v>6132</v>
      </c>
      <c r="B326" t="s">
        <v>177</v>
      </c>
      <c r="C326" t="s">
        <v>178</v>
      </c>
      <c r="D326" s="34">
        <v>178260</v>
      </c>
      <c r="E326">
        <v>1246091832</v>
      </c>
      <c r="F326" s="30">
        <v>45436</v>
      </c>
      <c r="G326" s="30"/>
      <c r="H326" t="s">
        <v>173</v>
      </c>
      <c r="I326" t="s">
        <v>174</v>
      </c>
      <c r="J326">
        <v>115</v>
      </c>
      <c r="K326" s="30">
        <v>45118</v>
      </c>
      <c r="L326">
        <v>1010100</v>
      </c>
      <c r="M326" t="s">
        <v>35</v>
      </c>
      <c r="N326">
        <v>161</v>
      </c>
      <c r="O326" t="s">
        <v>161</v>
      </c>
      <c r="P326" t="s">
        <v>177</v>
      </c>
      <c r="Q326">
        <f t="shared" si="6"/>
        <v>675</v>
      </c>
      <c r="R326">
        <f>_xlfn.XLOOKUP(E326,'Data Additive'!E:E,'Data Additive'!E:E,0)</f>
        <v>0</v>
      </c>
    </row>
    <row r="327" spans="1:18" x14ac:dyDescent="0.25">
      <c r="A327">
        <v>6132</v>
      </c>
      <c r="B327" t="s">
        <v>177</v>
      </c>
      <c r="C327" t="s">
        <v>178</v>
      </c>
      <c r="D327" s="34">
        <v>151915.50000000003</v>
      </c>
      <c r="E327">
        <v>1246095049</v>
      </c>
      <c r="F327" s="30">
        <v>45447</v>
      </c>
      <c r="G327" s="30"/>
      <c r="H327" t="s">
        <v>173</v>
      </c>
      <c r="I327" t="s">
        <v>174</v>
      </c>
      <c r="J327">
        <v>92</v>
      </c>
      <c r="K327" s="30">
        <v>45138</v>
      </c>
      <c r="L327">
        <v>1010100</v>
      </c>
      <c r="M327" t="s">
        <v>35</v>
      </c>
      <c r="N327">
        <v>161</v>
      </c>
      <c r="O327" t="s">
        <v>161</v>
      </c>
      <c r="P327" t="s">
        <v>177</v>
      </c>
      <c r="Q327">
        <f t="shared" si="6"/>
        <v>664</v>
      </c>
      <c r="R327">
        <f>_xlfn.XLOOKUP(E327,'Data Additive'!E:E,'Data Additive'!E:E,0)</f>
        <v>0</v>
      </c>
    </row>
    <row r="328" spans="1:18" x14ac:dyDescent="0.25">
      <c r="A328">
        <v>6132</v>
      </c>
      <c r="B328" t="s">
        <v>177</v>
      </c>
      <c r="C328" t="s">
        <v>178</v>
      </c>
      <c r="D328" s="34">
        <v>91149.3</v>
      </c>
      <c r="E328">
        <v>1246095124</v>
      </c>
      <c r="F328" s="30">
        <v>45447</v>
      </c>
      <c r="G328" s="30"/>
      <c r="H328" t="s">
        <v>173</v>
      </c>
      <c r="I328" t="s">
        <v>174</v>
      </c>
      <c r="J328">
        <v>94</v>
      </c>
      <c r="K328" s="30">
        <v>45138</v>
      </c>
      <c r="L328">
        <v>1010100</v>
      </c>
      <c r="M328" t="s">
        <v>35</v>
      </c>
      <c r="N328">
        <v>161</v>
      </c>
      <c r="O328" t="s">
        <v>161</v>
      </c>
      <c r="P328" t="s">
        <v>177</v>
      </c>
      <c r="Q328">
        <f t="shared" si="6"/>
        <v>664</v>
      </c>
      <c r="R328">
        <f>_xlfn.XLOOKUP(E328,'Data Additive'!E:E,'Data Additive'!E:E,0)</f>
        <v>0</v>
      </c>
    </row>
    <row r="329" spans="1:18" x14ac:dyDescent="0.25">
      <c r="A329">
        <v>6132</v>
      </c>
      <c r="B329" t="s">
        <v>177</v>
      </c>
      <c r="C329" t="s">
        <v>178</v>
      </c>
      <c r="D329" s="34">
        <v>85223.34</v>
      </c>
      <c r="E329">
        <v>1246097799</v>
      </c>
      <c r="F329" s="30">
        <v>45442</v>
      </c>
      <c r="G329" s="30"/>
      <c r="H329" t="s">
        <v>173</v>
      </c>
      <c r="I329" t="s">
        <v>174</v>
      </c>
      <c r="J329">
        <v>678</v>
      </c>
      <c r="K329" s="30">
        <v>45152</v>
      </c>
      <c r="L329">
        <v>1010100</v>
      </c>
      <c r="M329" t="s">
        <v>35</v>
      </c>
      <c r="N329">
        <v>161</v>
      </c>
      <c r="O329" t="s">
        <v>161</v>
      </c>
      <c r="P329" t="s">
        <v>177</v>
      </c>
      <c r="Q329">
        <f t="shared" si="6"/>
        <v>669</v>
      </c>
      <c r="R329">
        <f>_xlfn.XLOOKUP(E329,'Data Additive'!E:E,'Data Additive'!E:E,0)</f>
        <v>0</v>
      </c>
    </row>
    <row r="330" spans="1:18" x14ac:dyDescent="0.25">
      <c r="A330">
        <v>6132</v>
      </c>
      <c r="B330" t="s">
        <v>177</v>
      </c>
      <c r="C330" t="s">
        <v>178</v>
      </c>
      <c r="D330" s="34">
        <v>84323.41</v>
      </c>
      <c r="E330">
        <v>1246121990</v>
      </c>
      <c r="F330" s="30">
        <v>45557</v>
      </c>
      <c r="G330" s="30"/>
      <c r="H330" t="s">
        <v>173</v>
      </c>
      <c r="I330" t="s">
        <v>174</v>
      </c>
      <c r="J330">
        <v>2361</v>
      </c>
      <c r="K330" s="30">
        <v>45289</v>
      </c>
      <c r="L330">
        <v>1010100</v>
      </c>
      <c r="M330" t="s">
        <v>35</v>
      </c>
      <c r="N330">
        <v>161</v>
      </c>
      <c r="O330" t="s">
        <v>161</v>
      </c>
      <c r="P330" t="s">
        <v>177</v>
      </c>
      <c r="Q330">
        <f t="shared" si="6"/>
        <v>554</v>
      </c>
      <c r="R330">
        <f>_xlfn.XLOOKUP(E330,'Data Additive'!E:E,'Data Additive'!E:E,0)</f>
        <v>0</v>
      </c>
    </row>
    <row r="331" spans="1:18" x14ac:dyDescent="0.25">
      <c r="A331">
        <v>6132</v>
      </c>
      <c r="B331" t="s">
        <v>177</v>
      </c>
      <c r="C331" t="s">
        <v>178</v>
      </c>
      <c r="D331" s="34">
        <v>63251.12</v>
      </c>
      <c r="E331">
        <v>1246128996</v>
      </c>
      <c r="F331" s="30">
        <v>45571</v>
      </c>
      <c r="G331" s="30"/>
      <c r="H331" t="s">
        <v>173</v>
      </c>
      <c r="I331" t="s">
        <v>174</v>
      </c>
      <c r="J331">
        <v>2766</v>
      </c>
      <c r="K331" s="30">
        <v>45331</v>
      </c>
      <c r="L331">
        <v>1010100</v>
      </c>
      <c r="M331" t="s">
        <v>35</v>
      </c>
      <c r="N331">
        <v>161</v>
      </c>
      <c r="O331" t="s">
        <v>161</v>
      </c>
      <c r="P331" t="s">
        <v>177</v>
      </c>
      <c r="Q331">
        <f t="shared" si="6"/>
        <v>540</v>
      </c>
      <c r="R331">
        <f>_xlfn.XLOOKUP(E331,'Data Additive'!E:E,'Data Additive'!E:E,0)</f>
        <v>0</v>
      </c>
    </row>
    <row r="332" spans="1:18" x14ac:dyDescent="0.25">
      <c r="A332">
        <v>6132</v>
      </c>
      <c r="B332" t="s">
        <v>177</v>
      </c>
      <c r="C332" t="s">
        <v>178</v>
      </c>
      <c r="D332" s="34">
        <v>52062</v>
      </c>
      <c r="E332">
        <v>1246115169</v>
      </c>
      <c r="F332" s="30">
        <v>45466</v>
      </c>
      <c r="G332" s="30"/>
      <c r="H332" t="s">
        <v>173</v>
      </c>
      <c r="I332" t="s">
        <v>174</v>
      </c>
      <c r="J332">
        <v>1974</v>
      </c>
      <c r="K332" s="30">
        <v>45244</v>
      </c>
      <c r="L332">
        <v>1010100</v>
      </c>
      <c r="M332" t="s">
        <v>35</v>
      </c>
      <c r="N332">
        <v>161</v>
      </c>
      <c r="O332" t="s">
        <v>161</v>
      </c>
      <c r="P332" t="s">
        <v>177</v>
      </c>
      <c r="Q332">
        <f t="shared" si="6"/>
        <v>645</v>
      </c>
      <c r="R332">
        <f>_xlfn.XLOOKUP(E332,'Data Additive'!E:E,'Data Additive'!E:E,0)</f>
        <v>0</v>
      </c>
    </row>
    <row r="333" spans="1:18" x14ac:dyDescent="0.25">
      <c r="A333">
        <v>6132</v>
      </c>
      <c r="B333" t="s">
        <v>177</v>
      </c>
      <c r="C333" t="s">
        <v>178</v>
      </c>
      <c r="D333" s="34">
        <v>32002.66</v>
      </c>
      <c r="E333">
        <v>1246120211</v>
      </c>
      <c r="F333" s="30">
        <v>45518</v>
      </c>
      <c r="G333" s="30"/>
      <c r="H333" t="s">
        <v>173</v>
      </c>
      <c r="I333" t="s">
        <v>174</v>
      </c>
      <c r="J333">
        <v>2284</v>
      </c>
      <c r="K333" s="30">
        <v>45278</v>
      </c>
      <c r="L333">
        <v>1010100</v>
      </c>
      <c r="M333" t="s">
        <v>35</v>
      </c>
      <c r="N333">
        <v>161</v>
      </c>
      <c r="O333" t="s">
        <v>161</v>
      </c>
      <c r="P333" t="s">
        <v>177</v>
      </c>
      <c r="Q333">
        <f t="shared" si="6"/>
        <v>593</v>
      </c>
      <c r="R333">
        <f>_xlfn.XLOOKUP(E333,'Data Additive'!E:E,'Data Additive'!E:E,0)</f>
        <v>0</v>
      </c>
    </row>
    <row r="334" spans="1:18" x14ac:dyDescent="0.25">
      <c r="A334">
        <v>6132</v>
      </c>
      <c r="B334" t="s">
        <v>177</v>
      </c>
      <c r="C334" t="s">
        <v>178</v>
      </c>
      <c r="D334" s="34">
        <v>112435.2</v>
      </c>
      <c r="E334">
        <v>1246116054</v>
      </c>
      <c r="F334" s="30">
        <v>45491</v>
      </c>
      <c r="G334" s="30"/>
      <c r="H334" t="s">
        <v>173</v>
      </c>
      <c r="I334" t="s">
        <v>174</v>
      </c>
      <c r="J334">
        <v>2046</v>
      </c>
      <c r="K334" s="30">
        <v>45251</v>
      </c>
      <c r="L334">
        <v>1010100</v>
      </c>
      <c r="M334" t="s">
        <v>35</v>
      </c>
      <c r="N334">
        <v>161</v>
      </c>
      <c r="O334" t="s">
        <v>161</v>
      </c>
      <c r="P334" t="s">
        <v>177</v>
      </c>
      <c r="Q334">
        <f t="shared" si="6"/>
        <v>620</v>
      </c>
      <c r="R334">
        <f>_xlfn.XLOOKUP(E334,'Data Additive'!E:E,'Data Additive'!E:E,0)</f>
        <v>0</v>
      </c>
    </row>
    <row r="335" spans="1:18" x14ac:dyDescent="0.25">
      <c r="A335">
        <v>6132</v>
      </c>
      <c r="B335" t="s">
        <v>177</v>
      </c>
      <c r="C335" t="s">
        <v>178</v>
      </c>
      <c r="D335" s="34">
        <v>29450.6</v>
      </c>
      <c r="E335">
        <v>1246128801</v>
      </c>
      <c r="F335" s="30">
        <v>45605</v>
      </c>
      <c r="G335" s="30"/>
      <c r="H335" t="s">
        <v>173</v>
      </c>
      <c r="I335" t="s">
        <v>174</v>
      </c>
      <c r="J335">
        <v>2746</v>
      </c>
      <c r="K335" s="30">
        <v>45330</v>
      </c>
      <c r="L335">
        <v>1010100</v>
      </c>
      <c r="M335" t="s">
        <v>35</v>
      </c>
      <c r="N335">
        <v>161</v>
      </c>
      <c r="O335" t="s">
        <v>161</v>
      </c>
      <c r="P335" t="s">
        <v>177</v>
      </c>
      <c r="Q335">
        <f t="shared" si="6"/>
        <v>506</v>
      </c>
      <c r="R335">
        <f>_xlfn.XLOOKUP(E335,'Data Additive'!E:E,'Data Additive'!E:E,0)</f>
        <v>0</v>
      </c>
    </row>
    <row r="336" spans="1:18" x14ac:dyDescent="0.25">
      <c r="A336">
        <v>6132</v>
      </c>
      <c r="B336" t="s">
        <v>177</v>
      </c>
      <c r="C336" t="s">
        <v>178</v>
      </c>
      <c r="D336" s="34">
        <v>87840</v>
      </c>
      <c r="E336">
        <v>1246113431</v>
      </c>
      <c r="F336" s="30">
        <v>45476</v>
      </c>
      <c r="G336" s="30"/>
      <c r="H336" t="s">
        <v>173</v>
      </c>
      <c r="I336" t="s">
        <v>174</v>
      </c>
      <c r="J336">
        <v>1852</v>
      </c>
      <c r="K336" s="30">
        <v>45236</v>
      </c>
      <c r="L336">
        <v>1010100</v>
      </c>
      <c r="M336" t="s">
        <v>35</v>
      </c>
      <c r="N336">
        <v>161</v>
      </c>
      <c r="O336" t="s">
        <v>161</v>
      </c>
      <c r="P336" t="s">
        <v>177</v>
      </c>
      <c r="Q336">
        <f t="shared" si="6"/>
        <v>635</v>
      </c>
      <c r="R336">
        <f>_xlfn.XLOOKUP(E336,'Data Additive'!E:E,'Data Additive'!E:E,0)</f>
        <v>0</v>
      </c>
    </row>
    <row r="337" spans="1:18" x14ac:dyDescent="0.25">
      <c r="A337">
        <v>6132</v>
      </c>
      <c r="B337" t="s">
        <v>177</v>
      </c>
      <c r="C337" t="s">
        <v>178</v>
      </c>
      <c r="D337" s="34">
        <v>27201.1</v>
      </c>
      <c r="E337">
        <v>1246124199</v>
      </c>
      <c r="F337" s="30">
        <v>45557</v>
      </c>
      <c r="G337" s="30"/>
      <c r="H337" t="s">
        <v>173</v>
      </c>
      <c r="I337" t="s">
        <v>174</v>
      </c>
      <c r="J337">
        <v>2454</v>
      </c>
      <c r="K337" s="30">
        <v>45301</v>
      </c>
      <c r="L337">
        <v>1010100</v>
      </c>
      <c r="M337" t="s">
        <v>35</v>
      </c>
      <c r="N337">
        <v>161</v>
      </c>
      <c r="O337" t="s">
        <v>161</v>
      </c>
      <c r="P337" t="s">
        <v>177</v>
      </c>
      <c r="Q337">
        <f t="shared" si="6"/>
        <v>554</v>
      </c>
      <c r="R337">
        <f>_xlfn.XLOOKUP(E337,'Data Additive'!E:E,'Data Additive'!E:E,0)</f>
        <v>0</v>
      </c>
    </row>
    <row r="338" spans="1:18" x14ac:dyDescent="0.25">
      <c r="A338">
        <v>6132</v>
      </c>
      <c r="B338" t="s">
        <v>177</v>
      </c>
      <c r="C338" t="s">
        <v>178</v>
      </c>
      <c r="D338" s="34">
        <v>86529.600000000006</v>
      </c>
      <c r="E338">
        <v>1246116354</v>
      </c>
      <c r="F338" s="30">
        <v>45475</v>
      </c>
      <c r="G338" s="30"/>
      <c r="H338" t="s">
        <v>173</v>
      </c>
      <c r="I338" t="s">
        <v>174</v>
      </c>
      <c r="J338">
        <v>2068</v>
      </c>
      <c r="K338" s="30">
        <v>45253</v>
      </c>
      <c r="L338">
        <v>1010100</v>
      </c>
      <c r="M338" t="s">
        <v>35</v>
      </c>
      <c r="N338">
        <v>161</v>
      </c>
      <c r="O338" t="s">
        <v>161</v>
      </c>
      <c r="P338" t="s">
        <v>177</v>
      </c>
      <c r="Q338">
        <f t="shared" si="6"/>
        <v>636</v>
      </c>
      <c r="R338">
        <f>_xlfn.XLOOKUP(E338,'Data Additive'!E:E,'Data Additive'!E:E,0)</f>
        <v>0</v>
      </c>
    </row>
    <row r="339" spans="1:18" x14ac:dyDescent="0.25">
      <c r="A339">
        <v>6132</v>
      </c>
      <c r="B339" t="s">
        <v>177</v>
      </c>
      <c r="C339" t="s">
        <v>178</v>
      </c>
      <c r="D339" s="34">
        <v>171010</v>
      </c>
      <c r="E339">
        <v>1246117256</v>
      </c>
      <c r="F339" s="30">
        <v>45474</v>
      </c>
      <c r="G339" s="30"/>
      <c r="H339" t="s">
        <v>173</v>
      </c>
      <c r="I339" t="s">
        <v>174</v>
      </c>
      <c r="J339">
        <v>2130</v>
      </c>
      <c r="K339" s="30">
        <v>45260</v>
      </c>
      <c r="L339">
        <v>1010100</v>
      </c>
      <c r="M339" t="s">
        <v>35</v>
      </c>
      <c r="N339">
        <v>161</v>
      </c>
      <c r="O339" t="s">
        <v>161</v>
      </c>
      <c r="P339" t="s">
        <v>177</v>
      </c>
      <c r="Q339">
        <f t="shared" si="6"/>
        <v>637</v>
      </c>
      <c r="R339">
        <f>_xlfn.XLOOKUP(E339,'Data Additive'!E:E,'Data Additive'!E:E,0)</f>
        <v>0</v>
      </c>
    </row>
    <row r="340" spans="1:18" x14ac:dyDescent="0.25">
      <c r="A340">
        <v>6132</v>
      </c>
      <c r="B340" t="s">
        <v>177</v>
      </c>
      <c r="C340" t="s">
        <v>178</v>
      </c>
      <c r="D340" s="34">
        <v>94461</v>
      </c>
      <c r="E340">
        <v>1246125716</v>
      </c>
      <c r="F340" s="30">
        <v>45578</v>
      </c>
      <c r="G340" s="30"/>
      <c r="H340" t="s">
        <v>173</v>
      </c>
      <c r="I340" t="s">
        <v>174</v>
      </c>
      <c r="J340">
        <v>2541</v>
      </c>
      <c r="K340" s="30">
        <v>45310</v>
      </c>
      <c r="L340">
        <v>1010100</v>
      </c>
      <c r="M340" t="s">
        <v>35</v>
      </c>
      <c r="N340">
        <v>161</v>
      </c>
      <c r="O340" t="s">
        <v>161</v>
      </c>
      <c r="P340" t="s">
        <v>177</v>
      </c>
      <c r="Q340">
        <f t="shared" si="6"/>
        <v>533</v>
      </c>
      <c r="R340">
        <f>_xlfn.XLOOKUP(E340,'Data Additive'!E:E,'Data Additive'!E:E,0)</f>
        <v>0</v>
      </c>
    </row>
    <row r="341" spans="1:18" x14ac:dyDescent="0.25">
      <c r="A341">
        <v>6132</v>
      </c>
      <c r="B341" t="s">
        <v>177</v>
      </c>
      <c r="C341" t="s">
        <v>178</v>
      </c>
      <c r="D341" s="34">
        <v>67967</v>
      </c>
      <c r="E341">
        <v>1246128327</v>
      </c>
      <c r="F341" s="30">
        <v>45567</v>
      </c>
      <c r="G341" s="30"/>
      <c r="H341" t="s">
        <v>173</v>
      </c>
      <c r="I341" t="s">
        <v>174</v>
      </c>
      <c r="J341">
        <v>2712</v>
      </c>
      <c r="K341" s="30">
        <v>45327</v>
      </c>
      <c r="L341">
        <v>1010100</v>
      </c>
      <c r="M341" t="s">
        <v>35</v>
      </c>
      <c r="N341">
        <v>161</v>
      </c>
      <c r="O341" t="s">
        <v>161</v>
      </c>
      <c r="P341" t="s">
        <v>177</v>
      </c>
      <c r="Q341">
        <f t="shared" si="6"/>
        <v>544</v>
      </c>
      <c r="R341">
        <f>_xlfn.XLOOKUP(E341,'Data Additive'!E:E,'Data Additive'!E:E,0)</f>
        <v>0</v>
      </c>
    </row>
    <row r="342" spans="1:18" x14ac:dyDescent="0.25">
      <c r="A342">
        <v>6132</v>
      </c>
      <c r="B342" t="s">
        <v>177</v>
      </c>
      <c r="C342" t="s">
        <v>178</v>
      </c>
      <c r="D342" s="34">
        <v>77852.5</v>
      </c>
      <c r="E342">
        <v>1246128328</v>
      </c>
      <c r="F342" s="30">
        <v>45567</v>
      </c>
      <c r="G342" s="30"/>
      <c r="H342" t="s">
        <v>173</v>
      </c>
      <c r="I342" t="s">
        <v>174</v>
      </c>
      <c r="J342">
        <v>2713</v>
      </c>
      <c r="K342" s="30">
        <v>45327</v>
      </c>
      <c r="L342">
        <v>1010100</v>
      </c>
      <c r="M342" t="s">
        <v>35</v>
      </c>
      <c r="N342">
        <v>161</v>
      </c>
      <c r="O342" t="s">
        <v>161</v>
      </c>
      <c r="P342" t="s">
        <v>177</v>
      </c>
      <c r="Q342">
        <f t="shared" si="6"/>
        <v>544</v>
      </c>
      <c r="R342">
        <f>_xlfn.XLOOKUP(E342,'Data Additive'!E:E,'Data Additive'!E:E,0)</f>
        <v>0</v>
      </c>
    </row>
    <row r="343" spans="1:18" x14ac:dyDescent="0.25">
      <c r="A343">
        <v>6132</v>
      </c>
      <c r="B343" t="s">
        <v>177</v>
      </c>
      <c r="C343" t="s">
        <v>178</v>
      </c>
      <c r="D343" s="34">
        <v>41610.269999999997</v>
      </c>
      <c r="E343">
        <v>1246128682</v>
      </c>
      <c r="F343" s="30">
        <v>45604</v>
      </c>
      <c r="G343" s="30"/>
      <c r="H343" t="s">
        <v>173</v>
      </c>
      <c r="I343" t="s">
        <v>174</v>
      </c>
      <c r="J343">
        <v>2737</v>
      </c>
      <c r="K343" s="30">
        <v>45329</v>
      </c>
      <c r="L343">
        <v>1010100</v>
      </c>
      <c r="M343" t="s">
        <v>35</v>
      </c>
      <c r="N343">
        <v>161</v>
      </c>
      <c r="O343" t="s">
        <v>161</v>
      </c>
      <c r="P343" t="s">
        <v>177</v>
      </c>
      <c r="Q343">
        <f t="shared" si="6"/>
        <v>507</v>
      </c>
      <c r="R343">
        <f>_xlfn.XLOOKUP(E343,'Data Additive'!E:E,'Data Additive'!E:E,0)</f>
        <v>0</v>
      </c>
    </row>
    <row r="344" spans="1:18" x14ac:dyDescent="0.25">
      <c r="A344">
        <v>6132</v>
      </c>
      <c r="B344" t="s">
        <v>177</v>
      </c>
      <c r="C344" t="s">
        <v>178</v>
      </c>
      <c r="D344" s="34">
        <v>107254.39999999999</v>
      </c>
      <c r="E344">
        <v>1246126442</v>
      </c>
      <c r="F344" s="30">
        <v>45565</v>
      </c>
      <c r="G344" s="30"/>
      <c r="H344" t="s">
        <v>173</v>
      </c>
      <c r="I344" t="s">
        <v>174</v>
      </c>
      <c r="J344">
        <v>2587</v>
      </c>
      <c r="K344" s="30">
        <v>45315</v>
      </c>
      <c r="L344">
        <v>1010100</v>
      </c>
      <c r="M344" t="s">
        <v>35</v>
      </c>
      <c r="N344">
        <v>161</v>
      </c>
      <c r="O344" t="s">
        <v>161</v>
      </c>
      <c r="P344" t="s">
        <v>177</v>
      </c>
      <c r="Q344">
        <f t="shared" si="6"/>
        <v>546</v>
      </c>
      <c r="R344">
        <f>_xlfn.XLOOKUP(E344,'Data Additive'!E:E,'Data Additive'!E:E,0)</f>
        <v>0</v>
      </c>
    </row>
    <row r="345" spans="1:18" x14ac:dyDescent="0.25">
      <c r="A345">
        <v>6132</v>
      </c>
      <c r="B345" t="s">
        <v>177</v>
      </c>
      <c r="C345" t="s">
        <v>178</v>
      </c>
      <c r="D345" s="34">
        <v>56218.2</v>
      </c>
      <c r="E345">
        <v>1246128800</v>
      </c>
      <c r="F345" s="30">
        <v>45605</v>
      </c>
      <c r="G345" s="30"/>
      <c r="H345" t="s">
        <v>173</v>
      </c>
      <c r="I345" t="s">
        <v>174</v>
      </c>
      <c r="J345">
        <v>2745</v>
      </c>
      <c r="K345" s="30">
        <v>45330</v>
      </c>
      <c r="L345">
        <v>1010100</v>
      </c>
      <c r="M345" t="s">
        <v>35</v>
      </c>
      <c r="N345">
        <v>161</v>
      </c>
      <c r="O345" t="s">
        <v>161</v>
      </c>
      <c r="P345" t="s">
        <v>177</v>
      </c>
      <c r="Q345">
        <f t="shared" si="6"/>
        <v>506</v>
      </c>
      <c r="R345">
        <f>_xlfn.XLOOKUP(E345,'Data Additive'!E:E,'Data Additive'!E:E,0)</f>
        <v>0</v>
      </c>
    </row>
    <row r="346" spans="1:18" x14ac:dyDescent="0.25">
      <c r="A346">
        <v>6132</v>
      </c>
      <c r="B346" t="s">
        <v>177</v>
      </c>
      <c r="C346" t="s">
        <v>178</v>
      </c>
      <c r="D346" s="34">
        <v>24480.99</v>
      </c>
      <c r="E346">
        <v>1246127802</v>
      </c>
      <c r="F346" s="30">
        <v>45603</v>
      </c>
      <c r="G346" s="30"/>
      <c r="H346" t="s">
        <v>173</v>
      </c>
      <c r="I346" t="s">
        <v>174</v>
      </c>
      <c r="J346">
        <v>2674</v>
      </c>
      <c r="K346" s="30">
        <v>45323</v>
      </c>
      <c r="L346">
        <v>1010100</v>
      </c>
      <c r="M346" t="s">
        <v>35</v>
      </c>
      <c r="N346">
        <v>161</v>
      </c>
      <c r="O346" t="s">
        <v>161</v>
      </c>
      <c r="P346" t="s">
        <v>177</v>
      </c>
      <c r="Q346">
        <f t="shared" si="6"/>
        <v>508</v>
      </c>
      <c r="R346">
        <f>_xlfn.XLOOKUP(E346,'Data Additive'!E:E,'Data Additive'!E:E,0)</f>
        <v>0</v>
      </c>
    </row>
    <row r="347" spans="1:18" x14ac:dyDescent="0.25">
      <c r="A347">
        <v>6132</v>
      </c>
      <c r="B347" t="s">
        <v>177</v>
      </c>
      <c r="C347" t="s">
        <v>178</v>
      </c>
      <c r="D347" s="34">
        <v>87043.520000000004</v>
      </c>
      <c r="E347">
        <v>1246120531</v>
      </c>
      <c r="F347" s="30">
        <v>45559</v>
      </c>
      <c r="G347" s="30"/>
      <c r="H347" t="s">
        <v>173</v>
      </c>
      <c r="I347" t="s">
        <v>174</v>
      </c>
      <c r="J347">
        <v>2295</v>
      </c>
      <c r="K347" s="30">
        <v>45279</v>
      </c>
      <c r="L347">
        <v>1010100</v>
      </c>
      <c r="M347" t="s">
        <v>35</v>
      </c>
      <c r="N347">
        <v>161</v>
      </c>
      <c r="O347" t="s">
        <v>161</v>
      </c>
      <c r="P347" t="s">
        <v>177</v>
      </c>
      <c r="Q347">
        <f t="shared" si="6"/>
        <v>552</v>
      </c>
      <c r="R347">
        <f>_xlfn.XLOOKUP(E347,'Data Additive'!E:E,'Data Additive'!E:E,0)</f>
        <v>0</v>
      </c>
    </row>
    <row r="348" spans="1:18" x14ac:dyDescent="0.25">
      <c r="A348">
        <v>6132</v>
      </c>
      <c r="B348" t="s">
        <v>177</v>
      </c>
      <c r="C348" t="s">
        <v>178</v>
      </c>
      <c r="D348" s="34">
        <v>87504.97</v>
      </c>
      <c r="E348">
        <v>1246119910</v>
      </c>
      <c r="F348" s="30">
        <v>45555</v>
      </c>
      <c r="G348" s="30"/>
      <c r="H348" t="s">
        <v>173</v>
      </c>
      <c r="I348" t="s">
        <v>174</v>
      </c>
      <c r="J348">
        <v>2248</v>
      </c>
      <c r="K348" s="30">
        <v>45275</v>
      </c>
      <c r="L348">
        <v>1010100</v>
      </c>
      <c r="M348" t="s">
        <v>35</v>
      </c>
      <c r="N348">
        <v>161</v>
      </c>
      <c r="O348" t="s">
        <v>161</v>
      </c>
      <c r="P348" t="s">
        <v>177</v>
      </c>
      <c r="Q348">
        <f t="shared" si="6"/>
        <v>556</v>
      </c>
      <c r="R348">
        <f>_xlfn.XLOOKUP(E348,'Data Additive'!E:E,'Data Additive'!E:E,0)</f>
        <v>0</v>
      </c>
    </row>
    <row r="349" spans="1:18" x14ac:dyDescent="0.25">
      <c r="A349">
        <v>6132</v>
      </c>
      <c r="B349" t="s">
        <v>177</v>
      </c>
      <c r="C349" t="s">
        <v>178</v>
      </c>
      <c r="D349" s="34">
        <v>22997.32</v>
      </c>
      <c r="E349">
        <v>1246119982</v>
      </c>
      <c r="F349" s="30">
        <v>45515</v>
      </c>
      <c r="G349" s="30"/>
      <c r="H349" t="s">
        <v>173</v>
      </c>
      <c r="I349" t="s">
        <v>174</v>
      </c>
      <c r="J349">
        <v>2263</v>
      </c>
      <c r="K349" s="30">
        <v>45275</v>
      </c>
      <c r="L349">
        <v>1010100</v>
      </c>
      <c r="M349" t="s">
        <v>35</v>
      </c>
      <c r="N349">
        <v>161</v>
      </c>
      <c r="O349" t="s">
        <v>161</v>
      </c>
      <c r="P349" t="s">
        <v>177</v>
      </c>
      <c r="Q349">
        <f t="shared" si="6"/>
        <v>596</v>
      </c>
      <c r="R349">
        <f>_xlfn.XLOOKUP(E349,'Data Additive'!E:E,'Data Additive'!E:E,0)</f>
        <v>0</v>
      </c>
    </row>
    <row r="350" spans="1:18" x14ac:dyDescent="0.25">
      <c r="A350">
        <v>6132</v>
      </c>
      <c r="B350" t="s">
        <v>177</v>
      </c>
      <c r="C350" t="s">
        <v>178</v>
      </c>
      <c r="D350" s="34">
        <v>10860</v>
      </c>
      <c r="E350">
        <v>1246122169</v>
      </c>
      <c r="F350" s="30">
        <v>45469</v>
      </c>
      <c r="G350" s="30"/>
      <c r="H350" t="s">
        <v>173</v>
      </c>
      <c r="I350" t="s">
        <v>174</v>
      </c>
      <c r="J350">
        <v>2373</v>
      </c>
      <c r="K350" s="30">
        <v>45289</v>
      </c>
      <c r="L350">
        <v>1010100</v>
      </c>
      <c r="M350" t="s">
        <v>35</v>
      </c>
      <c r="N350">
        <v>161</v>
      </c>
      <c r="O350" t="s">
        <v>161</v>
      </c>
      <c r="P350" t="s">
        <v>177</v>
      </c>
      <c r="Q350">
        <f t="shared" si="6"/>
        <v>642</v>
      </c>
      <c r="R350">
        <f>_xlfn.XLOOKUP(E350,'Data Additive'!E:E,'Data Additive'!E:E,0)</f>
        <v>0</v>
      </c>
    </row>
    <row r="351" spans="1:18" x14ac:dyDescent="0.25">
      <c r="A351">
        <v>6132</v>
      </c>
      <c r="B351" t="s">
        <v>177</v>
      </c>
      <c r="C351" t="s">
        <v>178</v>
      </c>
      <c r="D351" s="34">
        <v>57205.5</v>
      </c>
      <c r="E351">
        <v>1246122168</v>
      </c>
      <c r="F351" s="30">
        <v>45557</v>
      </c>
      <c r="G351" s="30"/>
      <c r="H351" t="s">
        <v>173</v>
      </c>
      <c r="I351" t="s">
        <v>174</v>
      </c>
      <c r="J351">
        <v>2372</v>
      </c>
      <c r="K351" s="30">
        <v>45289</v>
      </c>
      <c r="L351">
        <v>1010100</v>
      </c>
      <c r="M351" t="s">
        <v>35</v>
      </c>
      <c r="N351">
        <v>161</v>
      </c>
      <c r="O351" t="s">
        <v>161</v>
      </c>
      <c r="P351" t="s">
        <v>177</v>
      </c>
      <c r="Q351">
        <f t="shared" si="6"/>
        <v>554</v>
      </c>
      <c r="R351">
        <f>_xlfn.XLOOKUP(E351,'Data Additive'!E:E,'Data Additive'!E:E,0)</f>
        <v>0</v>
      </c>
    </row>
    <row r="352" spans="1:18" x14ac:dyDescent="0.25">
      <c r="A352">
        <v>6132</v>
      </c>
      <c r="B352" t="s">
        <v>177</v>
      </c>
      <c r="C352" t="s">
        <v>178</v>
      </c>
      <c r="D352" s="34">
        <v>109750.39999999999</v>
      </c>
      <c r="E352">
        <v>1246117165</v>
      </c>
      <c r="F352" s="30">
        <v>45473</v>
      </c>
      <c r="G352" s="30"/>
      <c r="H352" t="s">
        <v>173</v>
      </c>
      <c r="I352" t="s">
        <v>174</v>
      </c>
      <c r="J352">
        <v>2128</v>
      </c>
      <c r="K352" s="30">
        <v>45259</v>
      </c>
      <c r="L352">
        <v>1010100</v>
      </c>
      <c r="M352" t="s">
        <v>35</v>
      </c>
      <c r="N352">
        <v>161</v>
      </c>
      <c r="O352" t="s">
        <v>161</v>
      </c>
      <c r="P352" t="s">
        <v>177</v>
      </c>
      <c r="Q352">
        <f t="shared" si="6"/>
        <v>638</v>
      </c>
      <c r="R352">
        <f>_xlfn.XLOOKUP(E352,'Data Additive'!E:E,'Data Additive'!E:E,0)</f>
        <v>0</v>
      </c>
    </row>
    <row r="353" spans="1:18" x14ac:dyDescent="0.25">
      <c r="A353">
        <v>6132</v>
      </c>
      <c r="B353" t="s">
        <v>177</v>
      </c>
      <c r="C353" t="s">
        <v>178</v>
      </c>
      <c r="D353" s="34">
        <v>111644.8</v>
      </c>
      <c r="E353">
        <v>1246117516</v>
      </c>
      <c r="F353" s="30">
        <v>45536</v>
      </c>
      <c r="G353" s="30"/>
      <c r="H353" t="s">
        <v>173</v>
      </c>
      <c r="I353" t="s">
        <v>174</v>
      </c>
      <c r="J353">
        <v>2140</v>
      </c>
      <c r="K353" s="30">
        <v>45261</v>
      </c>
      <c r="L353">
        <v>1010100</v>
      </c>
      <c r="M353" t="s">
        <v>35</v>
      </c>
      <c r="N353">
        <v>161</v>
      </c>
      <c r="O353" t="s">
        <v>161</v>
      </c>
      <c r="P353" t="s">
        <v>177</v>
      </c>
      <c r="Q353">
        <f t="shared" si="6"/>
        <v>575</v>
      </c>
      <c r="R353">
        <f>_xlfn.XLOOKUP(E353,'Data Additive'!E:E,'Data Additive'!E:E,0)</f>
        <v>0</v>
      </c>
    </row>
    <row r="354" spans="1:18" x14ac:dyDescent="0.25">
      <c r="A354">
        <v>6132</v>
      </c>
      <c r="B354" t="s">
        <v>177</v>
      </c>
      <c r="C354" t="s">
        <v>178</v>
      </c>
      <c r="D354" s="34">
        <v>136005.5</v>
      </c>
      <c r="E354">
        <v>1246120768</v>
      </c>
      <c r="F354" s="30">
        <v>45560</v>
      </c>
      <c r="G354" s="30"/>
      <c r="H354" t="s">
        <v>173</v>
      </c>
      <c r="I354" t="s">
        <v>174</v>
      </c>
      <c r="J354">
        <v>2299</v>
      </c>
      <c r="K354" s="30">
        <v>45280</v>
      </c>
      <c r="L354">
        <v>1010100</v>
      </c>
      <c r="M354" t="s">
        <v>35</v>
      </c>
      <c r="N354">
        <v>161</v>
      </c>
      <c r="O354" t="s">
        <v>161</v>
      </c>
      <c r="P354" t="s">
        <v>177</v>
      </c>
      <c r="Q354">
        <f t="shared" si="6"/>
        <v>551</v>
      </c>
      <c r="R354">
        <f>_xlfn.XLOOKUP(E354,'Data Additive'!E:E,'Data Additive'!E:E,0)</f>
        <v>0</v>
      </c>
    </row>
    <row r="355" spans="1:18" x14ac:dyDescent="0.25">
      <c r="A355">
        <v>6132</v>
      </c>
      <c r="B355" t="s">
        <v>177</v>
      </c>
      <c r="C355" t="s">
        <v>178</v>
      </c>
      <c r="D355" s="34">
        <v>136005.5</v>
      </c>
      <c r="E355">
        <v>1246124946</v>
      </c>
      <c r="F355" s="30">
        <v>45566</v>
      </c>
      <c r="G355" s="30"/>
      <c r="H355" t="s">
        <v>173</v>
      </c>
      <c r="I355" t="s">
        <v>174</v>
      </c>
      <c r="J355">
        <v>2498</v>
      </c>
      <c r="K355" s="30">
        <v>45306</v>
      </c>
      <c r="L355">
        <v>1010100</v>
      </c>
      <c r="M355" t="s">
        <v>35</v>
      </c>
      <c r="N355">
        <v>161</v>
      </c>
      <c r="O355" t="s">
        <v>161</v>
      </c>
      <c r="P355" t="s">
        <v>177</v>
      </c>
      <c r="Q355">
        <f t="shared" si="6"/>
        <v>545</v>
      </c>
      <c r="R355">
        <f>_xlfn.XLOOKUP(E355,'Data Additive'!E:E,'Data Additive'!E:E,0)</f>
        <v>0</v>
      </c>
    </row>
    <row r="356" spans="1:18" x14ac:dyDescent="0.25">
      <c r="A356">
        <v>6132</v>
      </c>
      <c r="B356" t="s">
        <v>177</v>
      </c>
      <c r="C356" t="s">
        <v>178</v>
      </c>
      <c r="D356" s="34">
        <v>87043.520000000004</v>
      </c>
      <c r="E356">
        <v>1246120099</v>
      </c>
      <c r="F356" s="30">
        <v>45558</v>
      </c>
      <c r="G356" s="30"/>
      <c r="H356" t="s">
        <v>173</v>
      </c>
      <c r="I356" t="s">
        <v>174</v>
      </c>
      <c r="J356">
        <v>2279</v>
      </c>
      <c r="K356" s="30">
        <v>45278</v>
      </c>
      <c r="L356">
        <v>1010100</v>
      </c>
      <c r="M356" t="s">
        <v>35</v>
      </c>
      <c r="N356">
        <v>161</v>
      </c>
      <c r="O356" t="s">
        <v>161</v>
      </c>
      <c r="P356" t="s">
        <v>177</v>
      </c>
      <c r="Q356">
        <f t="shared" si="6"/>
        <v>553</v>
      </c>
      <c r="R356">
        <f>_xlfn.XLOOKUP(E356,'Data Additive'!E:E,'Data Additive'!E:E,0)</f>
        <v>0</v>
      </c>
    </row>
    <row r="357" spans="1:18" x14ac:dyDescent="0.25">
      <c r="A357">
        <v>6132</v>
      </c>
      <c r="B357" t="s">
        <v>177</v>
      </c>
      <c r="C357" t="s">
        <v>178</v>
      </c>
      <c r="D357" s="34">
        <v>111465.88</v>
      </c>
      <c r="E357">
        <v>1246127801</v>
      </c>
      <c r="F357" s="30">
        <v>45603</v>
      </c>
      <c r="G357" s="30"/>
      <c r="H357" t="s">
        <v>173</v>
      </c>
      <c r="I357" t="s">
        <v>174</v>
      </c>
      <c r="J357">
        <v>2673</v>
      </c>
      <c r="K357" s="30">
        <v>45323</v>
      </c>
      <c r="L357">
        <v>1010100</v>
      </c>
      <c r="M357" t="s">
        <v>35</v>
      </c>
      <c r="N357">
        <v>161</v>
      </c>
      <c r="O357" t="s">
        <v>161</v>
      </c>
      <c r="P357" t="s">
        <v>177</v>
      </c>
      <c r="Q357">
        <f t="shared" si="6"/>
        <v>508</v>
      </c>
      <c r="R357">
        <f>_xlfn.XLOOKUP(E357,'Data Additive'!E:E,'Data Additive'!E:E,0)</f>
        <v>0</v>
      </c>
    </row>
    <row r="358" spans="1:18" x14ac:dyDescent="0.25">
      <c r="A358">
        <v>6132</v>
      </c>
      <c r="B358" t="s">
        <v>177</v>
      </c>
      <c r="C358" t="s">
        <v>178</v>
      </c>
      <c r="D358" s="34">
        <v>47937.4</v>
      </c>
      <c r="E358">
        <v>1246118354</v>
      </c>
      <c r="F358" s="30">
        <v>45541</v>
      </c>
      <c r="G358" s="30"/>
      <c r="H358" t="s">
        <v>173</v>
      </c>
      <c r="I358" t="s">
        <v>174</v>
      </c>
      <c r="J358">
        <v>2184</v>
      </c>
      <c r="K358" s="30">
        <v>45266</v>
      </c>
      <c r="L358">
        <v>1010100</v>
      </c>
      <c r="M358" t="s">
        <v>35</v>
      </c>
      <c r="N358">
        <v>161</v>
      </c>
      <c r="O358" t="s">
        <v>161</v>
      </c>
      <c r="P358" t="s">
        <v>177</v>
      </c>
      <c r="Q358">
        <f t="shared" si="6"/>
        <v>570</v>
      </c>
      <c r="R358">
        <f>_xlfn.XLOOKUP(E358,'Data Additive'!E:E,'Data Additive'!E:E,0)</f>
        <v>0</v>
      </c>
    </row>
    <row r="359" spans="1:18" x14ac:dyDescent="0.25">
      <c r="A359">
        <v>6132</v>
      </c>
      <c r="B359" t="s">
        <v>177</v>
      </c>
      <c r="C359" t="s">
        <v>178</v>
      </c>
      <c r="D359" s="34">
        <v>155705</v>
      </c>
      <c r="E359">
        <v>1246129974</v>
      </c>
      <c r="F359" s="30">
        <v>45568</v>
      </c>
      <c r="G359" s="30"/>
      <c r="H359" t="s">
        <v>173</v>
      </c>
      <c r="I359" t="s">
        <v>174</v>
      </c>
      <c r="J359">
        <v>2839</v>
      </c>
      <c r="K359" s="30">
        <v>45341</v>
      </c>
      <c r="L359">
        <v>1010100</v>
      </c>
      <c r="M359" t="s">
        <v>35</v>
      </c>
      <c r="N359">
        <v>161</v>
      </c>
      <c r="O359" t="s">
        <v>161</v>
      </c>
      <c r="P359" t="s">
        <v>177</v>
      </c>
      <c r="Q359">
        <f t="shared" si="6"/>
        <v>543</v>
      </c>
      <c r="R359">
        <f>_xlfn.XLOOKUP(E359,'Data Additive'!E:E,'Data Additive'!E:E,0)</f>
        <v>0</v>
      </c>
    </row>
    <row r="360" spans="1:18" x14ac:dyDescent="0.25">
      <c r="A360">
        <v>6132</v>
      </c>
      <c r="B360" t="s">
        <v>177</v>
      </c>
      <c r="C360" t="s">
        <v>178</v>
      </c>
      <c r="D360" s="34">
        <v>42163.65</v>
      </c>
      <c r="E360">
        <v>1246124200</v>
      </c>
      <c r="F360" s="30">
        <v>45569</v>
      </c>
      <c r="G360" s="30"/>
      <c r="H360" t="s">
        <v>173</v>
      </c>
      <c r="I360" t="s">
        <v>174</v>
      </c>
      <c r="J360">
        <v>2455</v>
      </c>
      <c r="K360" s="30">
        <v>45301</v>
      </c>
      <c r="L360">
        <v>1010100</v>
      </c>
      <c r="M360" t="s">
        <v>35</v>
      </c>
      <c r="N360">
        <v>161</v>
      </c>
      <c r="O360" t="s">
        <v>161</v>
      </c>
      <c r="P360" t="s">
        <v>177</v>
      </c>
      <c r="Q360">
        <f t="shared" si="6"/>
        <v>542</v>
      </c>
      <c r="R360">
        <f>_xlfn.XLOOKUP(E360,'Data Additive'!E:E,'Data Additive'!E:E,0)</f>
        <v>0</v>
      </c>
    </row>
    <row r="361" spans="1:18" x14ac:dyDescent="0.25">
      <c r="A361">
        <v>6132</v>
      </c>
      <c r="B361" t="s">
        <v>177</v>
      </c>
      <c r="C361" t="s">
        <v>178</v>
      </c>
      <c r="D361" s="34">
        <v>111065.60000000001</v>
      </c>
      <c r="E361">
        <v>1246114703</v>
      </c>
      <c r="F361" s="30">
        <v>45463</v>
      </c>
      <c r="G361" s="30"/>
      <c r="H361" t="s">
        <v>173</v>
      </c>
      <c r="I361" t="s">
        <v>174</v>
      </c>
      <c r="J361">
        <v>1937</v>
      </c>
      <c r="K361" s="30">
        <v>45241</v>
      </c>
      <c r="L361">
        <v>1010100</v>
      </c>
      <c r="M361" t="s">
        <v>35</v>
      </c>
      <c r="N361">
        <v>161</v>
      </c>
      <c r="O361" t="s">
        <v>161</v>
      </c>
      <c r="P361" t="s">
        <v>177</v>
      </c>
      <c r="Q361">
        <f t="shared" si="6"/>
        <v>648</v>
      </c>
      <c r="R361">
        <f>_xlfn.XLOOKUP(E361,'Data Additive'!E:E,'Data Additive'!E:E,0)</f>
        <v>0</v>
      </c>
    </row>
    <row r="362" spans="1:18" x14ac:dyDescent="0.25">
      <c r="A362">
        <v>6132</v>
      </c>
      <c r="B362" t="s">
        <v>177</v>
      </c>
      <c r="C362" t="s">
        <v>178</v>
      </c>
      <c r="D362" s="34">
        <v>27201.1</v>
      </c>
      <c r="E362">
        <v>1246125717</v>
      </c>
      <c r="F362" s="30">
        <v>45566</v>
      </c>
      <c r="G362" s="30"/>
      <c r="H362" t="s">
        <v>173</v>
      </c>
      <c r="I362" t="s">
        <v>174</v>
      </c>
      <c r="J362">
        <v>2542</v>
      </c>
      <c r="K362" s="30">
        <v>45310</v>
      </c>
      <c r="L362">
        <v>1010100</v>
      </c>
      <c r="M362" t="s">
        <v>35</v>
      </c>
      <c r="N362">
        <v>161</v>
      </c>
      <c r="O362" t="s">
        <v>161</v>
      </c>
      <c r="P362" t="s">
        <v>177</v>
      </c>
      <c r="Q362">
        <f t="shared" si="6"/>
        <v>545</v>
      </c>
      <c r="R362">
        <f>_xlfn.XLOOKUP(E362,'Data Additive'!E:E,'Data Additive'!E:E,0)</f>
        <v>0</v>
      </c>
    </row>
    <row r="363" spans="1:18" x14ac:dyDescent="0.25">
      <c r="A363">
        <v>6132</v>
      </c>
      <c r="B363" t="s">
        <v>177</v>
      </c>
      <c r="C363" t="s">
        <v>178</v>
      </c>
      <c r="D363" s="34">
        <v>136005.5</v>
      </c>
      <c r="E363">
        <v>1246124718</v>
      </c>
      <c r="F363" s="30">
        <v>45563</v>
      </c>
      <c r="G363" s="30"/>
      <c r="H363" t="s">
        <v>173</v>
      </c>
      <c r="I363" t="s">
        <v>174</v>
      </c>
      <c r="J363">
        <v>2489</v>
      </c>
      <c r="K363" s="30">
        <v>45303</v>
      </c>
      <c r="L363">
        <v>1010100</v>
      </c>
      <c r="M363" t="s">
        <v>35</v>
      </c>
      <c r="N363">
        <v>161</v>
      </c>
      <c r="O363" t="s">
        <v>161</v>
      </c>
      <c r="P363" t="s">
        <v>177</v>
      </c>
      <c r="Q363">
        <f t="shared" si="6"/>
        <v>548</v>
      </c>
      <c r="R363">
        <f>_xlfn.XLOOKUP(E363,'Data Additive'!E:E,'Data Additive'!E:E,0)</f>
        <v>0</v>
      </c>
    </row>
    <row r="364" spans="1:18" x14ac:dyDescent="0.25">
      <c r="A364">
        <v>6132</v>
      </c>
      <c r="B364" t="s">
        <v>177</v>
      </c>
      <c r="C364" t="s">
        <v>178</v>
      </c>
      <c r="D364" s="34">
        <v>45093</v>
      </c>
      <c r="E364">
        <v>1246128683</v>
      </c>
      <c r="F364" s="30">
        <v>45604</v>
      </c>
      <c r="G364" s="30"/>
      <c r="H364" t="s">
        <v>173</v>
      </c>
      <c r="I364" t="s">
        <v>174</v>
      </c>
      <c r="J364">
        <v>2738</v>
      </c>
      <c r="K364" s="30">
        <v>45329</v>
      </c>
      <c r="L364">
        <v>1010100</v>
      </c>
      <c r="M364" t="s">
        <v>35</v>
      </c>
      <c r="N364">
        <v>161</v>
      </c>
      <c r="O364" t="s">
        <v>161</v>
      </c>
      <c r="P364" t="s">
        <v>177</v>
      </c>
      <c r="Q364">
        <f t="shared" si="6"/>
        <v>507</v>
      </c>
      <c r="R364">
        <f>_xlfn.XLOOKUP(E364,'Data Additive'!E:E,'Data Additive'!E:E,0)</f>
        <v>0</v>
      </c>
    </row>
    <row r="365" spans="1:18" x14ac:dyDescent="0.25">
      <c r="A365">
        <v>6132</v>
      </c>
      <c r="B365" t="s">
        <v>177</v>
      </c>
      <c r="C365" t="s">
        <v>178</v>
      </c>
      <c r="D365" s="34">
        <v>82986.649999999994</v>
      </c>
      <c r="E365">
        <v>1246113430</v>
      </c>
      <c r="F365" s="30">
        <v>45476</v>
      </c>
      <c r="G365" s="30"/>
      <c r="H365" t="s">
        <v>173</v>
      </c>
      <c r="I365" t="s">
        <v>174</v>
      </c>
      <c r="J365">
        <v>1851</v>
      </c>
      <c r="K365" s="30">
        <v>45236</v>
      </c>
      <c r="L365">
        <v>1010100</v>
      </c>
      <c r="M365" t="s">
        <v>35</v>
      </c>
      <c r="N365">
        <v>161</v>
      </c>
      <c r="O365" t="s">
        <v>161</v>
      </c>
      <c r="P365" t="s">
        <v>177</v>
      </c>
      <c r="Q365">
        <f t="shared" si="6"/>
        <v>635</v>
      </c>
      <c r="R365">
        <f>_xlfn.XLOOKUP(E365,'Data Additive'!E:E,'Data Additive'!E:E,0)</f>
        <v>0</v>
      </c>
    </row>
    <row r="366" spans="1:18" x14ac:dyDescent="0.25">
      <c r="A366">
        <v>6132</v>
      </c>
      <c r="B366" t="s">
        <v>177</v>
      </c>
      <c r="C366" t="s">
        <v>178</v>
      </c>
      <c r="D366" s="34">
        <v>174445</v>
      </c>
      <c r="E366">
        <v>1246116577</v>
      </c>
      <c r="F366" s="30">
        <v>45468</v>
      </c>
      <c r="G366" s="30"/>
      <c r="H366" t="s">
        <v>173</v>
      </c>
      <c r="I366" t="s">
        <v>174</v>
      </c>
      <c r="J366">
        <v>2091</v>
      </c>
      <c r="K366" s="30">
        <v>45254</v>
      </c>
      <c r="L366">
        <v>1010100</v>
      </c>
      <c r="M366" t="s">
        <v>35</v>
      </c>
      <c r="N366">
        <v>161</v>
      </c>
      <c r="O366" t="s">
        <v>161</v>
      </c>
      <c r="P366" t="s">
        <v>177</v>
      </c>
      <c r="Q366">
        <f t="shared" si="6"/>
        <v>643</v>
      </c>
      <c r="R366">
        <f>_xlfn.XLOOKUP(E366,'Data Additive'!E:E,'Data Additive'!E:E,0)</f>
        <v>0</v>
      </c>
    </row>
    <row r="367" spans="1:18" x14ac:dyDescent="0.25">
      <c r="A367">
        <v>6132</v>
      </c>
      <c r="B367" t="s">
        <v>177</v>
      </c>
      <c r="C367" t="s">
        <v>178</v>
      </c>
      <c r="D367" s="34">
        <v>158956.25</v>
      </c>
      <c r="E367">
        <v>1246104181</v>
      </c>
      <c r="F367" s="30">
        <v>45444</v>
      </c>
      <c r="G367" s="30"/>
      <c r="H367" t="s">
        <v>173</v>
      </c>
      <c r="I367" t="s">
        <v>174</v>
      </c>
      <c r="J367">
        <v>1180</v>
      </c>
      <c r="K367" s="30">
        <v>45184</v>
      </c>
      <c r="L367">
        <v>1010100</v>
      </c>
      <c r="M367" t="s">
        <v>35</v>
      </c>
      <c r="N367">
        <v>161</v>
      </c>
      <c r="O367" t="s">
        <v>161</v>
      </c>
      <c r="P367" t="s">
        <v>177</v>
      </c>
      <c r="Q367">
        <f t="shared" si="6"/>
        <v>667</v>
      </c>
      <c r="R367">
        <f>_xlfn.XLOOKUP(E367,'Data Additive'!E:E,'Data Additive'!E:E,0)</f>
        <v>0</v>
      </c>
    </row>
    <row r="368" spans="1:18" x14ac:dyDescent="0.25">
      <c r="A368">
        <v>6132</v>
      </c>
      <c r="B368" t="s">
        <v>177</v>
      </c>
      <c r="C368" t="s">
        <v>178</v>
      </c>
      <c r="D368" s="34">
        <v>171662.49999999997</v>
      </c>
      <c r="E368">
        <v>1246112815</v>
      </c>
      <c r="F368" s="30">
        <v>45471</v>
      </c>
      <c r="G368" s="30"/>
      <c r="H368" t="s">
        <v>173</v>
      </c>
      <c r="I368" t="s">
        <v>174</v>
      </c>
      <c r="J368">
        <v>1799</v>
      </c>
      <c r="K368" s="30">
        <v>45231</v>
      </c>
      <c r="L368">
        <v>1010100</v>
      </c>
      <c r="M368" t="s">
        <v>35</v>
      </c>
      <c r="N368">
        <v>161</v>
      </c>
      <c r="O368" t="s">
        <v>161</v>
      </c>
      <c r="P368" t="s">
        <v>177</v>
      </c>
      <c r="Q368">
        <f t="shared" si="6"/>
        <v>640</v>
      </c>
      <c r="R368">
        <f>_xlfn.XLOOKUP(E368,'Data Additive'!E:E,'Data Additive'!E:E,0)</f>
        <v>0</v>
      </c>
    </row>
    <row r="369" spans="1:18" x14ac:dyDescent="0.25">
      <c r="A369">
        <v>6132</v>
      </c>
      <c r="B369" t="s">
        <v>177</v>
      </c>
      <c r="C369" t="s">
        <v>178</v>
      </c>
      <c r="D369" s="34">
        <v>174610</v>
      </c>
      <c r="E369">
        <v>1246113736</v>
      </c>
      <c r="F369" s="30">
        <v>45478</v>
      </c>
      <c r="G369" s="30"/>
      <c r="H369" t="s">
        <v>173</v>
      </c>
      <c r="I369" t="s">
        <v>174</v>
      </c>
      <c r="J369">
        <v>1878</v>
      </c>
      <c r="K369" s="30">
        <v>45238</v>
      </c>
      <c r="L369">
        <v>1010100</v>
      </c>
      <c r="M369" t="s">
        <v>35</v>
      </c>
      <c r="N369">
        <v>161</v>
      </c>
      <c r="O369" t="s">
        <v>161</v>
      </c>
      <c r="P369" t="s">
        <v>177</v>
      </c>
      <c r="Q369">
        <f t="shared" si="6"/>
        <v>633</v>
      </c>
      <c r="R369">
        <f>_xlfn.XLOOKUP(E369,'Data Additive'!E:E,'Data Additive'!E:E,0)</f>
        <v>0</v>
      </c>
    </row>
    <row r="370" spans="1:18" x14ac:dyDescent="0.25">
      <c r="A370">
        <v>6132</v>
      </c>
      <c r="B370" t="s">
        <v>177</v>
      </c>
      <c r="C370" t="s">
        <v>178</v>
      </c>
      <c r="D370" s="34">
        <v>87840</v>
      </c>
      <c r="E370">
        <v>1246111212</v>
      </c>
      <c r="F370" s="30">
        <v>45464</v>
      </c>
      <c r="G370" s="30"/>
      <c r="H370" t="s">
        <v>173</v>
      </c>
      <c r="I370" t="s">
        <v>174</v>
      </c>
      <c r="J370">
        <v>1720</v>
      </c>
      <c r="K370" s="30">
        <v>45224</v>
      </c>
      <c r="L370">
        <v>1010100</v>
      </c>
      <c r="M370" t="s">
        <v>35</v>
      </c>
      <c r="N370">
        <v>161</v>
      </c>
      <c r="O370" t="s">
        <v>161</v>
      </c>
      <c r="P370" t="s">
        <v>177</v>
      </c>
      <c r="Q370">
        <f t="shared" si="6"/>
        <v>647</v>
      </c>
      <c r="R370">
        <f>_xlfn.XLOOKUP(E370,'Data Additive'!E:E,'Data Additive'!E:E,0)</f>
        <v>0</v>
      </c>
    </row>
    <row r="371" spans="1:18" x14ac:dyDescent="0.25">
      <c r="A371">
        <v>6132</v>
      </c>
      <c r="B371" t="s">
        <v>177</v>
      </c>
      <c r="C371" t="s">
        <v>178</v>
      </c>
      <c r="D371" s="34">
        <v>23787.68</v>
      </c>
      <c r="E371">
        <v>1246115170</v>
      </c>
      <c r="F371" s="30">
        <v>45466</v>
      </c>
      <c r="G371" s="30"/>
      <c r="H371" t="s">
        <v>173</v>
      </c>
      <c r="I371" t="s">
        <v>174</v>
      </c>
      <c r="J371">
        <v>1975</v>
      </c>
      <c r="K371" s="30">
        <v>45244</v>
      </c>
      <c r="L371">
        <v>1010100</v>
      </c>
      <c r="M371" t="s">
        <v>35</v>
      </c>
      <c r="N371">
        <v>161</v>
      </c>
      <c r="O371" t="s">
        <v>161</v>
      </c>
      <c r="P371" t="s">
        <v>177</v>
      </c>
      <c r="Q371">
        <f t="shared" si="6"/>
        <v>645</v>
      </c>
      <c r="R371">
        <f>_xlfn.XLOOKUP(E371,'Data Additive'!E:E,'Data Additive'!E:E,0)</f>
        <v>0</v>
      </c>
    </row>
    <row r="372" spans="1:18" x14ac:dyDescent="0.25">
      <c r="A372">
        <v>6132</v>
      </c>
      <c r="B372" t="s">
        <v>177</v>
      </c>
      <c r="C372" t="s">
        <v>178</v>
      </c>
      <c r="D372" s="34">
        <v>30381.599999999999</v>
      </c>
      <c r="E372">
        <v>1246115171</v>
      </c>
      <c r="F372" s="30">
        <v>45466</v>
      </c>
      <c r="G372" s="30"/>
      <c r="H372" t="s">
        <v>173</v>
      </c>
      <c r="I372" t="s">
        <v>174</v>
      </c>
      <c r="J372">
        <v>1976</v>
      </c>
      <c r="K372" s="30">
        <v>45244</v>
      </c>
      <c r="L372">
        <v>1010100</v>
      </c>
      <c r="M372" t="s">
        <v>35</v>
      </c>
      <c r="N372">
        <v>161</v>
      </c>
      <c r="O372" t="s">
        <v>161</v>
      </c>
      <c r="P372" t="s">
        <v>177</v>
      </c>
      <c r="Q372">
        <f t="shared" si="6"/>
        <v>645</v>
      </c>
      <c r="R372">
        <f>_xlfn.XLOOKUP(E372,'Data Additive'!E:E,'Data Additive'!E:E,0)</f>
        <v>0</v>
      </c>
    </row>
    <row r="373" spans="1:18" x14ac:dyDescent="0.25">
      <c r="A373">
        <v>6132</v>
      </c>
      <c r="B373" t="s">
        <v>177</v>
      </c>
      <c r="C373" t="s">
        <v>178</v>
      </c>
      <c r="D373" s="34">
        <v>107022</v>
      </c>
      <c r="E373">
        <v>1246110109</v>
      </c>
      <c r="F373" s="30">
        <v>45439</v>
      </c>
      <c r="G373" s="30"/>
      <c r="H373" t="s">
        <v>173</v>
      </c>
      <c r="I373" t="s">
        <v>174</v>
      </c>
      <c r="J373">
        <v>347</v>
      </c>
      <c r="K373" s="30">
        <v>45217</v>
      </c>
      <c r="L373">
        <v>1010100</v>
      </c>
      <c r="M373" t="s">
        <v>35</v>
      </c>
      <c r="N373">
        <v>161</v>
      </c>
      <c r="O373" t="s">
        <v>161</v>
      </c>
      <c r="P373" t="s">
        <v>177</v>
      </c>
      <c r="Q373">
        <f t="shared" si="6"/>
        <v>672</v>
      </c>
      <c r="R373">
        <f>_xlfn.XLOOKUP(E373,'Data Additive'!E:E,'Data Additive'!E:E,0)</f>
        <v>0</v>
      </c>
    </row>
    <row r="374" spans="1:18" x14ac:dyDescent="0.25">
      <c r="A374">
        <v>6132</v>
      </c>
      <c r="B374" t="s">
        <v>177</v>
      </c>
      <c r="C374" t="s">
        <v>178</v>
      </c>
      <c r="D374" s="34">
        <v>83822.5</v>
      </c>
      <c r="E374">
        <v>1246111211</v>
      </c>
      <c r="F374" s="30">
        <v>45464</v>
      </c>
      <c r="G374" s="30"/>
      <c r="H374" t="s">
        <v>173</v>
      </c>
      <c r="I374" t="s">
        <v>174</v>
      </c>
      <c r="J374">
        <v>1719</v>
      </c>
      <c r="K374" s="30">
        <v>45224</v>
      </c>
      <c r="L374">
        <v>1010100</v>
      </c>
      <c r="M374" t="s">
        <v>35</v>
      </c>
      <c r="N374">
        <v>161</v>
      </c>
      <c r="O374" t="s">
        <v>161</v>
      </c>
      <c r="P374" t="s">
        <v>177</v>
      </c>
      <c r="Q374">
        <f t="shared" si="6"/>
        <v>647</v>
      </c>
      <c r="R374">
        <f>_xlfn.XLOOKUP(E374,'Data Additive'!E:E,'Data Additive'!E:E,0)</f>
        <v>0</v>
      </c>
    </row>
    <row r="375" spans="1:18" x14ac:dyDescent="0.25">
      <c r="A375">
        <v>6132</v>
      </c>
      <c r="B375" t="s">
        <v>177</v>
      </c>
      <c r="C375" t="s">
        <v>178</v>
      </c>
      <c r="D375" s="34">
        <v>169458.49999999997</v>
      </c>
      <c r="E375">
        <v>1246110264</v>
      </c>
      <c r="F375" s="30">
        <v>45440</v>
      </c>
      <c r="G375" s="30"/>
      <c r="H375" t="s">
        <v>173</v>
      </c>
      <c r="I375" t="s">
        <v>174</v>
      </c>
      <c r="J375">
        <v>1662</v>
      </c>
      <c r="K375" s="30">
        <v>45218</v>
      </c>
      <c r="L375">
        <v>1010100</v>
      </c>
      <c r="M375" t="s">
        <v>35</v>
      </c>
      <c r="N375">
        <v>161</v>
      </c>
      <c r="O375" t="s">
        <v>161</v>
      </c>
      <c r="P375" t="s">
        <v>177</v>
      </c>
      <c r="Q375">
        <f t="shared" si="6"/>
        <v>671</v>
      </c>
      <c r="R375">
        <f>_xlfn.XLOOKUP(E375,'Data Additive'!E:E,'Data Additive'!E:E,0)</f>
        <v>0</v>
      </c>
    </row>
    <row r="376" spans="1:18" x14ac:dyDescent="0.25">
      <c r="A376">
        <v>6132</v>
      </c>
      <c r="B376" t="s">
        <v>177</v>
      </c>
      <c r="C376" t="s">
        <v>178</v>
      </c>
      <c r="D376" s="34">
        <v>135934</v>
      </c>
      <c r="E376">
        <v>1246131961</v>
      </c>
      <c r="F376" s="30">
        <v>45566</v>
      </c>
      <c r="G376" s="30"/>
      <c r="H376" t="s">
        <v>173</v>
      </c>
      <c r="I376" t="s">
        <v>174</v>
      </c>
      <c r="J376">
        <v>2969</v>
      </c>
      <c r="K376" s="30">
        <v>45352</v>
      </c>
      <c r="L376">
        <v>1010100</v>
      </c>
      <c r="M376" t="s">
        <v>35</v>
      </c>
      <c r="N376">
        <v>161</v>
      </c>
      <c r="O376" t="s">
        <v>161</v>
      </c>
      <c r="P376" t="s">
        <v>177</v>
      </c>
      <c r="Q376">
        <f t="shared" ref="Q376:Q409" si="7">$R$1-F376</f>
        <v>545</v>
      </c>
      <c r="R376">
        <f>_xlfn.XLOOKUP(E376,'Data Additive'!E:E,'Data Additive'!E:E,0)</f>
        <v>0</v>
      </c>
    </row>
    <row r="377" spans="1:18" x14ac:dyDescent="0.25">
      <c r="A377">
        <v>6132</v>
      </c>
      <c r="B377" t="s">
        <v>177</v>
      </c>
      <c r="C377" t="s">
        <v>178</v>
      </c>
      <c r="D377" s="34">
        <v>108747.2</v>
      </c>
      <c r="E377">
        <v>1246132951</v>
      </c>
      <c r="F377" s="30">
        <v>45572</v>
      </c>
      <c r="G377" s="30"/>
      <c r="H377" t="s">
        <v>173</v>
      </c>
      <c r="I377" t="s">
        <v>174</v>
      </c>
      <c r="J377">
        <v>3007</v>
      </c>
      <c r="K377" s="30">
        <v>45358</v>
      </c>
      <c r="L377">
        <v>1010100</v>
      </c>
      <c r="M377" t="s">
        <v>35</v>
      </c>
      <c r="N377">
        <v>161</v>
      </c>
      <c r="O377" t="s">
        <v>161</v>
      </c>
      <c r="P377" t="s">
        <v>177</v>
      </c>
      <c r="Q377">
        <f t="shared" si="7"/>
        <v>539</v>
      </c>
      <c r="R377">
        <f>_xlfn.XLOOKUP(E377,'Data Additive'!E:E,'Data Additive'!E:E,0)</f>
        <v>0</v>
      </c>
    </row>
    <row r="378" spans="1:18" x14ac:dyDescent="0.25">
      <c r="A378">
        <v>6132</v>
      </c>
      <c r="B378" t="s">
        <v>177</v>
      </c>
      <c r="C378" t="s">
        <v>178</v>
      </c>
      <c r="D378" s="34">
        <v>86997.759999999995</v>
      </c>
      <c r="E378">
        <v>1246131102</v>
      </c>
      <c r="F378" s="30">
        <v>45570</v>
      </c>
      <c r="G378" s="30"/>
      <c r="H378" t="s">
        <v>173</v>
      </c>
      <c r="I378" t="s">
        <v>174</v>
      </c>
      <c r="J378">
        <v>2917</v>
      </c>
      <c r="K378" s="30">
        <v>45348</v>
      </c>
      <c r="L378">
        <v>1010100</v>
      </c>
      <c r="M378" t="s">
        <v>35</v>
      </c>
      <c r="N378">
        <v>161</v>
      </c>
      <c r="O378" t="s">
        <v>161</v>
      </c>
      <c r="P378" t="s">
        <v>177</v>
      </c>
      <c r="Q378">
        <f t="shared" si="7"/>
        <v>541</v>
      </c>
      <c r="R378">
        <f>_xlfn.XLOOKUP(E378,'Data Additive'!E:E,'Data Additive'!E:E,0)</f>
        <v>0</v>
      </c>
    </row>
    <row r="379" spans="1:18" x14ac:dyDescent="0.25">
      <c r="A379">
        <v>6132</v>
      </c>
      <c r="B379" t="s">
        <v>177</v>
      </c>
      <c r="C379" t="s">
        <v>178</v>
      </c>
      <c r="D379" s="34">
        <v>29450.6</v>
      </c>
      <c r="E379">
        <v>1246146931</v>
      </c>
      <c r="F379" s="30">
        <v>45584</v>
      </c>
      <c r="G379" s="30"/>
      <c r="H379" t="s">
        <v>173</v>
      </c>
      <c r="I379" t="s">
        <v>174</v>
      </c>
      <c r="J379">
        <v>3632</v>
      </c>
      <c r="K379" s="30">
        <v>45434</v>
      </c>
      <c r="L379">
        <v>1010100</v>
      </c>
      <c r="M379" t="s">
        <v>35</v>
      </c>
      <c r="N379">
        <v>161</v>
      </c>
      <c r="O379" t="s">
        <v>161</v>
      </c>
      <c r="P379" t="s">
        <v>177</v>
      </c>
      <c r="Q379">
        <f t="shared" si="7"/>
        <v>527</v>
      </c>
      <c r="R379">
        <f>_xlfn.XLOOKUP(E379,'Data Additive'!E:E,'Data Additive'!E:E,0)</f>
        <v>0</v>
      </c>
    </row>
    <row r="380" spans="1:18" x14ac:dyDescent="0.25">
      <c r="A380">
        <v>6132</v>
      </c>
      <c r="B380" t="s">
        <v>177</v>
      </c>
      <c r="C380" t="s">
        <v>178</v>
      </c>
      <c r="D380" s="34">
        <v>38061.519999999997</v>
      </c>
      <c r="E380">
        <v>1246146932</v>
      </c>
      <c r="F380" s="30">
        <v>45569</v>
      </c>
      <c r="G380" s="30"/>
      <c r="H380" t="s">
        <v>173</v>
      </c>
      <c r="I380" t="s">
        <v>174</v>
      </c>
      <c r="J380">
        <v>3633</v>
      </c>
      <c r="K380" s="30">
        <v>45434</v>
      </c>
      <c r="L380">
        <v>1010100</v>
      </c>
      <c r="M380" t="s">
        <v>35</v>
      </c>
      <c r="N380">
        <v>161</v>
      </c>
      <c r="O380" t="s">
        <v>161</v>
      </c>
      <c r="P380" t="s">
        <v>177</v>
      </c>
      <c r="Q380">
        <f t="shared" si="7"/>
        <v>542</v>
      </c>
      <c r="R380">
        <f>_xlfn.XLOOKUP(E380,'Data Additive'!E:E,'Data Additive'!E:E,0)</f>
        <v>0</v>
      </c>
    </row>
    <row r="381" spans="1:18" x14ac:dyDescent="0.25">
      <c r="A381">
        <v>6132</v>
      </c>
      <c r="B381" t="s">
        <v>177</v>
      </c>
      <c r="C381" t="s">
        <v>178</v>
      </c>
      <c r="D381" s="34">
        <v>8760</v>
      </c>
      <c r="E381">
        <v>1246146933</v>
      </c>
      <c r="F381" s="30">
        <v>45462</v>
      </c>
      <c r="G381" s="30"/>
      <c r="H381" t="s">
        <v>173</v>
      </c>
      <c r="I381" t="s">
        <v>174</v>
      </c>
      <c r="J381">
        <v>3634</v>
      </c>
      <c r="K381" s="30">
        <v>45434</v>
      </c>
      <c r="L381">
        <v>1010100</v>
      </c>
      <c r="M381" t="s">
        <v>35</v>
      </c>
      <c r="N381">
        <v>161</v>
      </c>
      <c r="O381" t="s">
        <v>161</v>
      </c>
      <c r="P381" t="s">
        <v>177</v>
      </c>
      <c r="Q381">
        <f t="shared" si="7"/>
        <v>649</v>
      </c>
      <c r="R381">
        <f>_xlfn.XLOOKUP(E381,'Data Additive'!E:E,'Data Additive'!E:E,0)</f>
        <v>0</v>
      </c>
    </row>
    <row r="382" spans="1:18" x14ac:dyDescent="0.25">
      <c r="A382">
        <v>6132</v>
      </c>
      <c r="B382" t="s">
        <v>177</v>
      </c>
      <c r="C382" t="s">
        <v>178</v>
      </c>
      <c r="D382" s="34">
        <v>14851.85</v>
      </c>
      <c r="E382">
        <v>1246132474</v>
      </c>
      <c r="F382" s="30">
        <v>45570</v>
      </c>
      <c r="G382" s="30"/>
      <c r="H382" t="s">
        <v>173</v>
      </c>
      <c r="I382" t="s">
        <v>174</v>
      </c>
      <c r="J382">
        <v>2989</v>
      </c>
      <c r="K382" s="30">
        <v>45356</v>
      </c>
      <c r="L382">
        <v>1010100</v>
      </c>
      <c r="M382" t="s">
        <v>35</v>
      </c>
      <c r="N382">
        <v>161</v>
      </c>
      <c r="O382" t="s">
        <v>161</v>
      </c>
      <c r="P382" t="s">
        <v>177</v>
      </c>
      <c r="Q382">
        <f t="shared" si="7"/>
        <v>541</v>
      </c>
      <c r="R382">
        <f>_xlfn.XLOOKUP(E382,'Data Additive'!E:E,'Data Additive'!E:E,0)</f>
        <v>0</v>
      </c>
    </row>
    <row r="383" spans="1:18" x14ac:dyDescent="0.25">
      <c r="A383">
        <v>6132</v>
      </c>
      <c r="B383" t="s">
        <v>177</v>
      </c>
      <c r="C383" t="s">
        <v>178</v>
      </c>
      <c r="D383" s="34">
        <v>99200.52</v>
      </c>
      <c r="E383">
        <v>1246147269</v>
      </c>
      <c r="F383" s="30">
        <v>45571</v>
      </c>
      <c r="G383" s="30"/>
      <c r="H383" t="s">
        <v>173</v>
      </c>
      <c r="I383" t="s">
        <v>174</v>
      </c>
      <c r="J383">
        <v>3665</v>
      </c>
      <c r="K383" s="30">
        <v>45436</v>
      </c>
      <c r="L383">
        <v>1010100</v>
      </c>
      <c r="M383" t="s">
        <v>35</v>
      </c>
      <c r="N383">
        <v>161</v>
      </c>
      <c r="O383" t="s">
        <v>161</v>
      </c>
      <c r="P383" t="s">
        <v>177</v>
      </c>
      <c r="Q383">
        <f t="shared" si="7"/>
        <v>540</v>
      </c>
      <c r="R383">
        <f>_xlfn.XLOOKUP(E383,'Data Additive'!E:E,'Data Additive'!E:E,0)</f>
        <v>0</v>
      </c>
    </row>
    <row r="384" spans="1:18" x14ac:dyDescent="0.25">
      <c r="A384">
        <v>6132</v>
      </c>
      <c r="B384" t="s">
        <v>177</v>
      </c>
      <c r="C384" t="s">
        <v>178</v>
      </c>
      <c r="D384" s="34">
        <v>33509.519999999997</v>
      </c>
      <c r="E384">
        <v>1246148020</v>
      </c>
      <c r="F384" s="30">
        <v>45576</v>
      </c>
      <c r="G384" s="30"/>
      <c r="H384" t="s">
        <v>173</v>
      </c>
      <c r="I384" t="s">
        <v>174</v>
      </c>
      <c r="J384">
        <v>3714</v>
      </c>
      <c r="K384" s="30">
        <v>45441</v>
      </c>
      <c r="L384">
        <v>1010100</v>
      </c>
      <c r="M384" t="s">
        <v>35</v>
      </c>
      <c r="N384">
        <v>161</v>
      </c>
      <c r="O384" t="s">
        <v>161</v>
      </c>
      <c r="P384" t="s">
        <v>177</v>
      </c>
      <c r="Q384">
        <f t="shared" si="7"/>
        <v>535</v>
      </c>
      <c r="R384">
        <f>_xlfn.XLOOKUP(E384,'Data Additive'!E:E,'Data Additive'!E:E,0)</f>
        <v>0</v>
      </c>
    </row>
    <row r="385" spans="1:18" x14ac:dyDescent="0.25">
      <c r="A385">
        <v>6132</v>
      </c>
      <c r="B385" t="s">
        <v>177</v>
      </c>
      <c r="C385" t="s">
        <v>178</v>
      </c>
      <c r="D385" s="34">
        <v>56218.2</v>
      </c>
      <c r="E385">
        <v>1246148019</v>
      </c>
      <c r="F385" s="30">
        <v>45576</v>
      </c>
      <c r="G385" s="30"/>
      <c r="H385" t="s">
        <v>173</v>
      </c>
      <c r="I385" t="s">
        <v>174</v>
      </c>
      <c r="J385">
        <v>3713</v>
      </c>
      <c r="K385" s="30">
        <v>45441</v>
      </c>
      <c r="L385">
        <v>1010100</v>
      </c>
      <c r="M385" t="s">
        <v>35</v>
      </c>
      <c r="N385">
        <v>161</v>
      </c>
      <c r="O385" t="s">
        <v>161</v>
      </c>
      <c r="P385" t="s">
        <v>177</v>
      </c>
      <c r="Q385">
        <f t="shared" si="7"/>
        <v>535</v>
      </c>
      <c r="R385">
        <f>_xlfn.XLOOKUP(E385,'Data Additive'!E:E,'Data Additive'!E:E,0)</f>
        <v>0</v>
      </c>
    </row>
    <row r="386" spans="1:18" x14ac:dyDescent="0.25">
      <c r="A386">
        <v>6132</v>
      </c>
      <c r="B386" t="s">
        <v>177</v>
      </c>
      <c r="C386" t="s">
        <v>178</v>
      </c>
      <c r="D386" s="34">
        <v>95220.3</v>
      </c>
      <c r="E386">
        <v>1246135170</v>
      </c>
      <c r="F386" s="30">
        <v>45566</v>
      </c>
      <c r="G386" s="30"/>
      <c r="H386" t="s">
        <v>173</v>
      </c>
      <c r="I386" t="s">
        <v>174</v>
      </c>
      <c r="J386">
        <v>3136</v>
      </c>
      <c r="K386" s="30">
        <v>45372</v>
      </c>
      <c r="L386">
        <v>1010100</v>
      </c>
      <c r="M386" t="s">
        <v>35</v>
      </c>
      <c r="N386">
        <v>161</v>
      </c>
      <c r="O386" t="s">
        <v>161</v>
      </c>
      <c r="P386" t="s">
        <v>177</v>
      </c>
      <c r="Q386">
        <f t="shared" si="7"/>
        <v>545</v>
      </c>
      <c r="R386">
        <f>_xlfn.XLOOKUP(E386,'Data Additive'!E:E,'Data Additive'!E:E,0)</f>
        <v>0</v>
      </c>
    </row>
    <row r="387" spans="1:18" x14ac:dyDescent="0.25">
      <c r="A387">
        <v>6132</v>
      </c>
      <c r="B387" t="s">
        <v>177</v>
      </c>
      <c r="C387" t="s">
        <v>178</v>
      </c>
      <c r="D387" s="34">
        <v>29542.9</v>
      </c>
      <c r="E387">
        <v>1246135172</v>
      </c>
      <c r="F387" s="30">
        <v>45566</v>
      </c>
      <c r="G387" s="30"/>
      <c r="H387" t="s">
        <v>173</v>
      </c>
      <c r="I387" t="s">
        <v>174</v>
      </c>
      <c r="J387">
        <v>3137</v>
      </c>
      <c r="K387" s="30">
        <v>45372</v>
      </c>
      <c r="L387">
        <v>1010100</v>
      </c>
      <c r="M387" t="s">
        <v>35</v>
      </c>
      <c r="N387">
        <v>161</v>
      </c>
      <c r="O387" t="s">
        <v>161</v>
      </c>
      <c r="P387" t="s">
        <v>177</v>
      </c>
      <c r="Q387">
        <f t="shared" si="7"/>
        <v>545</v>
      </c>
      <c r="R387">
        <f>_xlfn.XLOOKUP(E387,'Data Additive'!E:E,'Data Additive'!E:E,0)</f>
        <v>0</v>
      </c>
    </row>
    <row r="388" spans="1:18" x14ac:dyDescent="0.25">
      <c r="A388">
        <v>6132</v>
      </c>
      <c r="B388" t="s">
        <v>177</v>
      </c>
      <c r="C388" t="s">
        <v>178</v>
      </c>
      <c r="D388" s="34">
        <v>92588.02</v>
      </c>
      <c r="E388">
        <v>1246138275</v>
      </c>
      <c r="F388" s="30">
        <v>45570</v>
      </c>
      <c r="G388" s="30"/>
      <c r="H388" t="s">
        <v>173</v>
      </c>
      <c r="I388" t="s">
        <v>174</v>
      </c>
      <c r="J388">
        <v>3249</v>
      </c>
      <c r="K388" s="30">
        <v>45390</v>
      </c>
      <c r="L388">
        <v>1010100</v>
      </c>
      <c r="M388" t="s">
        <v>35</v>
      </c>
      <c r="N388">
        <v>161</v>
      </c>
      <c r="O388" t="s">
        <v>161</v>
      </c>
      <c r="P388" t="s">
        <v>177</v>
      </c>
      <c r="Q388">
        <f t="shared" si="7"/>
        <v>541</v>
      </c>
      <c r="R388">
        <f>_xlfn.XLOOKUP(E388,'Data Additive'!E:E,'Data Additive'!E:E,0)</f>
        <v>0</v>
      </c>
    </row>
    <row r="389" spans="1:18" x14ac:dyDescent="0.25">
      <c r="A389">
        <v>6132</v>
      </c>
      <c r="B389" t="s">
        <v>177</v>
      </c>
      <c r="C389" t="s">
        <v>178</v>
      </c>
      <c r="D389" s="34">
        <v>97872.48</v>
      </c>
      <c r="E389">
        <v>1246135813</v>
      </c>
      <c r="F389" s="30">
        <v>45570</v>
      </c>
      <c r="G389" s="30"/>
      <c r="H389" t="s">
        <v>173</v>
      </c>
      <c r="I389" t="s">
        <v>174</v>
      </c>
      <c r="J389">
        <v>3160</v>
      </c>
      <c r="K389" s="30">
        <v>45376</v>
      </c>
      <c r="L389">
        <v>1010100</v>
      </c>
      <c r="M389" t="s">
        <v>35</v>
      </c>
      <c r="N389">
        <v>161</v>
      </c>
      <c r="O389" t="s">
        <v>161</v>
      </c>
      <c r="P389" t="s">
        <v>177</v>
      </c>
      <c r="Q389">
        <f t="shared" si="7"/>
        <v>541</v>
      </c>
      <c r="R389">
        <f>_xlfn.XLOOKUP(E389,'Data Additive'!E:E,'Data Additive'!E:E,0)</f>
        <v>0</v>
      </c>
    </row>
    <row r="390" spans="1:18" x14ac:dyDescent="0.25">
      <c r="A390">
        <v>6132</v>
      </c>
      <c r="B390" t="s">
        <v>177</v>
      </c>
      <c r="C390" t="s">
        <v>178</v>
      </c>
      <c r="D390" s="34">
        <v>155705</v>
      </c>
      <c r="E390">
        <v>1246130904</v>
      </c>
      <c r="F390" s="30">
        <v>45567</v>
      </c>
      <c r="G390" s="30"/>
      <c r="H390" t="s">
        <v>173</v>
      </c>
      <c r="I390" t="s">
        <v>174</v>
      </c>
      <c r="J390">
        <v>2906</v>
      </c>
      <c r="K390" s="30">
        <v>45345</v>
      </c>
      <c r="L390">
        <v>1010100</v>
      </c>
      <c r="M390" t="s">
        <v>35</v>
      </c>
      <c r="N390">
        <v>161</v>
      </c>
      <c r="O390" t="s">
        <v>161</v>
      </c>
      <c r="P390" t="s">
        <v>177</v>
      </c>
      <c r="Q390">
        <f t="shared" si="7"/>
        <v>544</v>
      </c>
      <c r="R390">
        <f>_xlfn.XLOOKUP(E390,'Data Additive'!E:E,'Data Additive'!E:E,0)</f>
        <v>0</v>
      </c>
    </row>
    <row r="391" spans="1:18" x14ac:dyDescent="0.25">
      <c r="A391">
        <v>6132</v>
      </c>
      <c r="B391" t="s">
        <v>177</v>
      </c>
      <c r="C391" t="s">
        <v>178</v>
      </c>
      <c r="D391" s="34">
        <v>86997.759999999995</v>
      </c>
      <c r="E391">
        <v>1246137598</v>
      </c>
      <c r="F391" s="30">
        <v>45566</v>
      </c>
      <c r="G391" s="30"/>
      <c r="H391" t="s">
        <v>173</v>
      </c>
      <c r="I391" t="s">
        <v>174</v>
      </c>
      <c r="J391">
        <v>3223</v>
      </c>
      <c r="K391" s="30">
        <v>45386</v>
      </c>
      <c r="L391">
        <v>1010100</v>
      </c>
      <c r="M391" t="s">
        <v>35</v>
      </c>
      <c r="N391">
        <v>161</v>
      </c>
      <c r="O391" t="s">
        <v>161</v>
      </c>
      <c r="P391" t="s">
        <v>177</v>
      </c>
      <c r="Q391">
        <f t="shared" si="7"/>
        <v>545</v>
      </c>
      <c r="R391">
        <f>_xlfn.XLOOKUP(E391,'Data Additive'!E:E,'Data Additive'!E:E,0)</f>
        <v>0</v>
      </c>
    </row>
    <row r="392" spans="1:18" x14ac:dyDescent="0.25">
      <c r="A392">
        <v>6132</v>
      </c>
      <c r="B392" t="s">
        <v>177</v>
      </c>
      <c r="C392" t="s">
        <v>178</v>
      </c>
      <c r="D392" s="34">
        <v>55849.2</v>
      </c>
      <c r="E392">
        <v>1246147270</v>
      </c>
      <c r="F392" s="30">
        <v>45571</v>
      </c>
      <c r="G392" s="30"/>
      <c r="H392" t="s">
        <v>173</v>
      </c>
      <c r="I392" t="s">
        <v>174</v>
      </c>
      <c r="J392">
        <v>3666</v>
      </c>
      <c r="K392" s="30">
        <v>45436</v>
      </c>
      <c r="L392">
        <v>1010100</v>
      </c>
      <c r="M392" t="s">
        <v>35</v>
      </c>
      <c r="N392">
        <v>161</v>
      </c>
      <c r="O392" t="s">
        <v>161</v>
      </c>
      <c r="P392" t="s">
        <v>177</v>
      </c>
      <c r="Q392">
        <f t="shared" si="7"/>
        <v>540</v>
      </c>
      <c r="R392">
        <f>_xlfn.XLOOKUP(E392,'Data Additive'!E:E,'Data Additive'!E:E,0)</f>
        <v>0</v>
      </c>
    </row>
    <row r="393" spans="1:18" x14ac:dyDescent="0.25">
      <c r="A393">
        <v>6132</v>
      </c>
      <c r="B393" t="s">
        <v>177</v>
      </c>
      <c r="C393" t="s">
        <v>178</v>
      </c>
      <c r="D393" s="34">
        <v>97872.48</v>
      </c>
      <c r="E393">
        <v>1246131241</v>
      </c>
      <c r="F393" s="30">
        <v>45571</v>
      </c>
      <c r="G393" s="30"/>
      <c r="H393" t="s">
        <v>173</v>
      </c>
      <c r="I393" t="s">
        <v>174</v>
      </c>
      <c r="J393">
        <v>2928</v>
      </c>
      <c r="K393" s="30">
        <v>45349</v>
      </c>
      <c r="L393">
        <v>1010100</v>
      </c>
      <c r="M393" t="s">
        <v>35</v>
      </c>
      <c r="N393">
        <v>161</v>
      </c>
      <c r="O393" t="s">
        <v>161</v>
      </c>
      <c r="P393" t="s">
        <v>177</v>
      </c>
      <c r="Q393">
        <f t="shared" si="7"/>
        <v>540</v>
      </c>
      <c r="R393">
        <f>_xlfn.XLOOKUP(E393,'Data Additive'!E:E,'Data Additive'!E:E,0)</f>
        <v>0</v>
      </c>
    </row>
    <row r="394" spans="1:18" x14ac:dyDescent="0.25">
      <c r="A394">
        <v>6132</v>
      </c>
      <c r="B394" t="s">
        <v>177</v>
      </c>
      <c r="C394" t="s">
        <v>178</v>
      </c>
      <c r="D394" s="34">
        <v>57092.28</v>
      </c>
      <c r="E394">
        <v>1246133070</v>
      </c>
      <c r="F394" s="30">
        <v>45573</v>
      </c>
      <c r="G394" s="30"/>
      <c r="H394" t="s">
        <v>173</v>
      </c>
      <c r="I394" t="s">
        <v>174</v>
      </c>
      <c r="J394">
        <v>3012</v>
      </c>
      <c r="K394" s="30">
        <v>45359</v>
      </c>
      <c r="L394">
        <v>1010100</v>
      </c>
      <c r="M394" t="s">
        <v>35</v>
      </c>
      <c r="N394">
        <v>161</v>
      </c>
      <c r="O394" t="s">
        <v>161</v>
      </c>
      <c r="P394" t="s">
        <v>177</v>
      </c>
      <c r="Q394">
        <f t="shared" si="7"/>
        <v>538</v>
      </c>
      <c r="R394">
        <f>_xlfn.XLOOKUP(E394,'Data Additive'!E:E,'Data Additive'!E:E,0)</f>
        <v>0</v>
      </c>
    </row>
    <row r="395" spans="1:18" x14ac:dyDescent="0.25">
      <c r="A395">
        <v>6132</v>
      </c>
      <c r="B395" t="s">
        <v>177</v>
      </c>
      <c r="C395" t="s">
        <v>178</v>
      </c>
      <c r="D395" s="34">
        <v>86997.759999999995</v>
      </c>
      <c r="E395">
        <v>1246131594</v>
      </c>
      <c r="F395" s="30">
        <v>45573</v>
      </c>
      <c r="G395" s="30"/>
      <c r="H395" t="s">
        <v>173</v>
      </c>
      <c r="I395" t="s">
        <v>174</v>
      </c>
      <c r="J395">
        <v>2956</v>
      </c>
      <c r="K395" s="30">
        <v>45351</v>
      </c>
      <c r="L395">
        <v>1010100</v>
      </c>
      <c r="M395" t="s">
        <v>35</v>
      </c>
      <c r="N395">
        <v>161</v>
      </c>
      <c r="O395" t="s">
        <v>161</v>
      </c>
      <c r="P395" t="s">
        <v>177</v>
      </c>
      <c r="Q395">
        <f t="shared" si="7"/>
        <v>538</v>
      </c>
      <c r="R395">
        <f>_xlfn.XLOOKUP(E395,'Data Additive'!E:E,'Data Additive'!E:E,0)</f>
        <v>0</v>
      </c>
    </row>
    <row r="396" spans="1:18" x14ac:dyDescent="0.25">
      <c r="A396">
        <v>6132</v>
      </c>
      <c r="B396" t="s">
        <v>177</v>
      </c>
      <c r="C396" t="s">
        <v>178</v>
      </c>
      <c r="D396" s="34">
        <v>86997.759999999995</v>
      </c>
      <c r="E396">
        <v>1246133332</v>
      </c>
      <c r="F396" s="30">
        <v>45576</v>
      </c>
      <c r="G396" s="30"/>
      <c r="H396" t="s">
        <v>173</v>
      </c>
      <c r="I396" t="s">
        <v>174</v>
      </c>
      <c r="J396">
        <v>3028</v>
      </c>
      <c r="K396" s="30">
        <v>45362</v>
      </c>
      <c r="L396">
        <v>1010100</v>
      </c>
      <c r="M396" t="s">
        <v>35</v>
      </c>
      <c r="N396">
        <v>161</v>
      </c>
      <c r="O396" t="s">
        <v>161</v>
      </c>
      <c r="P396" t="s">
        <v>177</v>
      </c>
      <c r="Q396">
        <f t="shared" si="7"/>
        <v>535</v>
      </c>
      <c r="R396">
        <f>_xlfn.XLOOKUP(E396,'Data Additive'!E:E,'Data Additive'!E:E,0)</f>
        <v>0</v>
      </c>
    </row>
    <row r="397" spans="1:18" x14ac:dyDescent="0.25">
      <c r="A397">
        <v>6132</v>
      </c>
      <c r="B397" t="s">
        <v>177</v>
      </c>
      <c r="C397" t="s">
        <v>178</v>
      </c>
      <c r="D397" s="34">
        <v>95153.8</v>
      </c>
      <c r="E397">
        <v>1246133718</v>
      </c>
      <c r="F397" s="30">
        <v>45578</v>
      </c>
      <c r="G397" s="30"/>
      <c r="H397" t="s">
        <v>173</v>
      </c>
      <c r="I397" t="s">
        <v>174</v>
      </c>
      <c r="J397">
        <v>3051</v>
      </c>
      <c r="K397" s="30">
        <v>45364</v>
      </c>
      <c r="L397">
        <v>1010100</v>
      </c>
      <c r="M397" t="s">
        <v>35</v>
      </c>
      <c r="N397">
        <v>161</v>
      </c>
      <c r="O397" t="s">
        <v>161</v>
      </c>
      <c r="P397" t="s">
        <v>177</v>
      </c>
      <c r="Q397">
        <f t="shared" si="7"/>
        <v>533</v>
      </c>
      <c r="R397">
        <f>_xlfn.XLOOKUP(E397,'Data Additive'!E:E,'Data Additive'!E:E,0)</f>
        <v>0</v>
      </c>
    </row>
    <row r="398" spans="1:18" x14ac:dyDescent="0.25">
      <c r="A398">
        <v>6132</v>
      </c>
      <c r="B398" t="s">
        <v>177</v>
      </c>
      <c r="C398" t="s">
        <v>178</v>
      </c>
      <c r="D398" s="34">
        <v>116501.9</v>
      </c>
      <c r="E398">
        <v>1246138114</v>
      </c>
      <c r="F398" s="30">
        <v>45570</v>
      </c>
      <c r="G398" s="30"/>
      <c r="H398" t="s">
        <v>173</v>
      </c>
      <c r="I398" t="s">
        <v>174</v>
      </c>
      <c r="J398">
        <v>3243</v>
      </c>
      <c r="K398" s="30">
        <v>45390</v>
      </c>
      <c r="L398">
        <v>1010100</v>
      </c>
      <c r="M398" t="s">
        <v>35</v>
      </c>
      <c r="N398">
        <v>161</v>
      </c>
      <c r="O398" t="s">
        <v>161</v>
      </c>
      <c r="P398" t="s">
        <v>177</v>
      </c>
      <c r="Q398">
        <f t="shared" si="7"/>
        <v>541</v>
      </c>
      <c r="R398">
        <f>_xlfn.XLOOKUP(E398,'Data Additive'!E:E,'Data Additive'!E:E,0)</f>
        <v>0</v>
      </c>
    </row>
    <row r="399" spans="1:18" x14ac:dyDescent="0.25">
      <c r="A399">
        <v>6132</v>
      </c>
      <c r="B399" t="s">
        <v>177</v>
      </c>
      <c r="C399" t="s">
        <v>178</v>
      </c>
      <c r="D399" s="34">
        <v>134954</v>
      </c>
      <c r="E399">
        <v>1246130651</v>
      </c>
      <c r="F399" s="30">
        <v>45566</v>
      </c>
      <c r="G399" s="30"/>
      <c r="H399" t="s">
        <v>173</v>
      </c>
      <c r="I399" t="s">
        <v>174</v>
      </c>
      <c r="J399">
        <v>2889</v>
      </c>
      <c r="K399" s="30">
        <v>45344</v>
      </c>
      <c r="L399">
        <v>1010100</v>
      </c>
      <c r="M399" t="s">
        <v>35</v>
      </c>
      <c r="N399">
        <v>161</v>
      </c>
      <c r="O399" t="s">
        <v>161</v>
      </c>
      <c r="P399" t="s">
        <v>177</v>
      </c>
      <c r="Q399">
        <f t="shared" si="7"/>
        <v>545</v>
      </c>
      <c r="R399">
        <f>_xlfn.XLOOKUP(E399,'Data Additive'!E:E,'Data Additive'!E:E,0)</f>
        <v>0</v>
      </c>
    </row>
    <row r="400" spans="1:18" x14ac:dyDescent="0.25">
      <c r="A400">
        <v>6132</v>
      </c>
      <c r="B400" t="s">
        <v>177</v>
      </c>
      <c r="C400" t="s">
        <v>178</v>
      </c>
      <c r="D400" s="34">
        <v>86997.759999999995</v>
      </c>
      <c r="E400">
        <v>1246131630</v>
      </c>
      <c r="F400" s="30">
        <v>45573</v>
      </c>
      <c r="G400" s="30"/>
      <c r="H400" t="s">
        <v>173</v>
      </c>
      <c r="I400" t="s">
        <v>174</v>
      </c>
      <c r="J400">
        <v>2958</v>
      </c>
      <c r="K400" s="30">
        <v>45351</v>
      </c>
      <c r="L400">
        <v>1010100</v>
      </c>
      <c r="M400" t="s">
        <v>35</v>
      </c>
      <c r="N400">
        <v>161</v>
      </c>
      <c r="O400" t="s">
        <v>161</v>
      </c>
      <c r="P400" t="s">
        <v>177</v>
      </c>
      <c r="Q400">
        <f t="shared" si="7"/>
        <v>538</v>
      </c>
      <c r="R400">
        <f>_xlfn.XLOOKUP(E400,'Data Additive'!E:E,'Data Additive'!E:E,0)</f>
        <v>0</v>
      </c>
    </row>
    <row r="401" spans="1:18" x14ac:dyDescent="0.25">
      <c r="A401">
        <v>6132</v>
      </c>
      <c r="B401" t="s">
        <v>177</v>
      </c>
      <c r="C401" t="s">
        <v>178</v>
      </c>
      <c r="D401" s="34">
        <v>29949.599999999999</v>
      </c>
      <c r="E401">
        <v>1246133071</v>
      </c>
      <c r="F401" s="30">
        <v>45573</v>
      </c>
      <c r="G401" s="30"/>
      <c r="H401" t="s">
        <v>173</v>
      </c>
      <c r="I401" t="s">
        <v>174</v>
      </c>
      <c r="J401">
        <v>3013</v>
      </c>
      <c r="K401" s="30">
        <v>45359</v>
      </c>
      <c r="L401">
        <v>1010100</v>
      </c>
      <c r="M401" t="s">
        <v>35</v>
      </c>
      <c r="N401">
        <v>161</v>
      </c>
      <c r="O401" t="s">
        <v>161</v>
      </c>
      <c r="P401" t="s">
        <v>177</v>
      </c>
      <c r="Q401">
        <f t="shared" si="7"/>
        <v>538</v>
      </c>
      <c r="R401">
        <f>_xlfn.XLOOKUP(E401,'Data Additive'!E:E,'Data Additive'!E:E,0)</f>
        <v>0</v>
      </c>
    </row>
    <row r="402" spans="1:18" x14ac:dyDescent="0.25">
      <c r="A402">
        <v>6132</v>
      </c>
      <c r="B402" t="s">
        <v>177</v>
      </c>
      <c r="C402" t="s">
        <v>178</v>
      </c>
      <c r="D402" s="34">
        <v>54275.6</v>
      </c>
      <c r="E402">
        <v>1246132475</v>
      </c>
      <c r="F402" s="30">
        <v>45570</v>
      </c>
      <c r="G402" s="30"/>
      <c r="H402" t="s">
        <v>173</v>
      </c>
      <c r="I402" t="s">
        <v>174</v>
      </c>
      <c r="J402">
        <v>2990</v>
      </c>
      <c r="K402" s="30">
        <v>45356</v>
      </c>
      <c r="L402">
        <v>1010100</v>
      </c>
      <c r="M402" t="s">
        <v>35</v>
      </c>
      <c r="N402">
        <v>161</v>
      </c>
      <c r="O402" t="s">
        <v>161</v>
      </c>
      <c r="P402" t="s">
        <v>177</v>
      </c>
      <c r="Q402">
        <f t="shared" si="7"/>
        <v>541</v>
      </c>
      <c r="R402">
        <f>_xlfn.XLOOKUP(E402,'Data Additive'!E:E,'Data Additive'!E:E,0)</f>
        <v>0</v>
      </c>
    </row>
    <row r="403" spans="1:18" x14ac:dyDescent="0.25">
      <c r="A403">
        <v>6132</v>
      </c>
      <c r="B403" t="s">
        <v>177</v>
      </c>
      <c r="C403" t="s">
        <v>178</v>
      </c>
      <c r="D403" s="34">
        <v>97872.48</v>
      </c>
      <c r="E403">
        <v>1246132869</v>
      </c>
      <c r="F403" s="30">
        <v>45572</v>
      </c>
      <c r="G403" s="30"/>
      <c r="H403" t="s">
        <v>173</v>
      </c>
      <c r="I403" t="s">
        <v>174</v>
      </c>
      <c r="J403">
        <v>3001</v>
      </c>
      <c r="K403" s="30">
        <v>45358</v>
      </c>
      <c r="L403">
        <v>1010100</v>
      </c>
      <c r="M403" t="s">
        <v>35</v>
      </c>
      <c r="N403">
        <v>161</v>
      </c>
      <c r="O403" t="s">
        <v>161</v>
      </c>
      <c r="P403" t="s">
        <v>177</v>
      </c>
      <c r="Q403">
        <f t="shared" si="7"/>
        <v>539</v>
      </c>
      <c r="R403">
        <f>_xlfn.XLOOKUP(E403,'Data Additive'!E:E,'Data Additive'!E:E,0)</f>
        <v>0</v>
      </c>
    </row>
    <row r="404" spans="1:18" x14ac:dyDescent="0.25">
      <c r="A404">
        <v>6132</v>
      </c>
      <c r="B404" t="s">
        <v>177</v>
      </c>
      <c r="C404" t="s">
        <v>178</v>
      </c>
      <c r="D404" s="34">
        <v>86997.759999999995</v>
      </c>
      <c r="E404">
        <v>1246147192</v>
      </c>
      <c r="F404" s="30">
        <v>45571</v>
      </c>
      <c r="G404" s="30"/>
      <c r="H404" t="s">
        <v>173</v>
      </c>
      <c r="I404" t="s">
        <v>174</v>
      </c>
      <c r="J404">
        <v>3654</v>
      </c>
      <c r="K404" s="30">
        <v>45436</v>
      </c>
      <c r="L404">
        <v>1010100</v>
      </c>
      <c r="M404" t="s">
        <v>35</v>
      </c>
      <c r="N404">
        <v>161</v>
      </c>
      <c r="O404" t="s">
        <v>161</v>
      </c>
      <c r="P404" t="s">
        <v>177</v>
      </c>
      <c r="Q404">
        <f t="shared" si="7"/>
        <v>540</v>
      </c>
      <c r="R404">
        <f>_xlfn.XLOOKUP(E404,'Data Additive'!E:E,'Data Additive'!E:E,0)</f>
        <v>0</v>
      </c>
    </row>
    <row r="405" spans="1:18" x14ac:dyDescent="0.25">
      <c r="A405">
        <v>6132</v>
      </c>
      <c r="B405" t="s">
        <v>177</v>
      </c>
      <c r="C405" t="s">
        <v>178</v>
      </c>
      <c r="D405" s="34">
        <v>101192.76</v>
      </c>
      <c r="E405">
        <v>1246148270</v>
      </c>
      <c r="F405" s="30">
        <v>45578</v>
      </c>
      <c r="G405" s="30"/>
      <c r="H405" t="s">
        <v>173</v>
      </c>
      <c r="I405" t="s">
        <v>174</v>
      </c>
      <c r="J405">
        <v>3731</v>
      </c>
      <c r="K405" s="30">
        <v>45443</v>
      </c>
      <c r="L405">
        <v>1010100</v>
      </c>
      <c r="M405" t="s">
        <v>35</v>
      </c>
      <c r="N405">
        <v>161</v>
      </c>
      <c r="O405" t="s">
        <v>161</v>
      </c>
      <c r="P405" t="s">
        <v>177</v>
      </c>
      <c r="Q405">
        <f t="shared" si="7"/>
        <v>533</v>
      </c>
      <c r="R405">
        <f>_xlfn.XLOOKUP(E405,'Data Additive'!E:E,'Data Additive'!E:E,0)</f>
        <v>0</v>
      </c>
    </row>
    <row r="406" spans="1:18" x14ac:dyDescent="0.25">
      <c r="A406">
        <v>5519</v>
      </c>
      <c r="B406" t="s">
        <v>303</v>
      </c>
      <c r="C406" t="s">
        <v>911</v>
      </c>
      <c r="D406" s="34">
        <v>43569.75</v>
      </c>
      <c r="E406">
        <v>1246269682</v>
      </c>
      <c r="F406" s="30">
        <v>46142</v>
      </c>
      <c r="G406" s="30"/>
      <c r="H406" t="s">
        <v>28</v>
      </c>
      <c r="I406" t="s">
        <v>29</v>
      </c>
      <c r="J406">
        <v>11012</v>
      </c>
      <c r="K406" s="30">
        <v>46112</v>
      </c>
      <c r="L406">
        <v>1010100</v>
      </c>
      <c r="M406" t="s">
        <v>35</v>
      </c>
      <c r="N406">
        <v>161</v>
      </c>
      <c r="O406" t="s">
        <v>161</v>
      </c>
      <c r="P406" t="s">
        <v>303</v>
      </c>
      <c r="Q406">
        <f t="shared" si="7"/>
        <v>-31</v>
      </c>
      <c r="R406">
        <f>_xlfn.XLOOKUP(E406,'Data Additive'!E:E,'Data Additive'!E:E,0)</f>
        <v>1246269682</v>
      </c>
    </row>
    <row r="407" spans="1:18" x14ac:dyDescent="0.25">
      <c r="A407">
        <v>5519</v>
      </c>
      <c r="B407" t="s">
        <v>303</v>
      </c>
      <c r="C407" t="s">
        <v>911</v>
      </c>
      <c r="D407" s="34">
        <v>43569.75</v>
      </c>
      <c r="E407">
        <v>1246269683</v>
      </c>
      <c r="F407" s="30">
        <v>46172</v>
      </c>
      <c r="G407" s="30"/>
      <c r="H407" t="s">
        <v>28</v>
      </c>
      <c r="I407" t="s">
        <v>29</v>
      </c>
      <c r="J407">
        <v>11012</v>
      </c>
      <c r="K407" s="30">
        <v>46112</v>
      </c>
      <c r="L407">
        <v>1010100</v>
      </c>
      <c r="M407" t="s">
        <v>35</v>
      </c>
      <c r="N407">
        <v>161</v>
      </c>
      <c r="O407" t="s">
        <v>161</v>
      </c>
      <c r="P407" t="s">
        <v>303</v>
      </c>
      <c r="Q407">
        <f t="shared" si="7"/>
        <v>-61</v>
      </c>
      <c r="R407">
        <f>_xlfn.XLOOKUP(E407,'Data Additive'!E:E,'Data Additive'!E:E,0)</f>
        <v>1246269683</v>
      </c>
    </row>
    <row r="408" spans="1:18" x14ac:dyDescent="0.25">
      <c r="A408">
        <v>5209</v>
      </c>
      <c r="B408" t="s">
        <v>94</v>
      </c>
      <c r="C408" t="s">
        <v>846</v>
      </c>
      <c r="D408" s="34">
        <v>28444.5</v>
      </c>
      <c r="E408">
        <v>1246266668</v>
      </c>
      <c r="F408" s="30">
        <v>46114</v>
      </c>
      <c r="G408" s="30">
        <v>46114</v>
      </c>
      <c r="H408" t="s">
        <v>28</v>
      </c>
      <c r="I408" t="s">
        <v>29</v>
      </c>
      <c r="J408">
        <v>10821</v>
      </c>
      <c r="K408" s="30">
        <v>46086</v>
      </c>
      <c r="L408">
        <v>1010100</v>
      </c>
      <c r="M408" t="s">
        <v>35</v>
      </c>
      <c r="N408">
        <v>161</v>
      </c>
      <c r="O408" t="s">
        <v>161</v>
      </c>
      <c r="P408" t="s">
        <v>94</v>
      </c>
      <c r="Q408">
        <f t="shared" si="7"/>
        <v>-3</v>
      </c>
      <c r="R408">
        <f>_xlfn.XLOOKUP(E408,'Data Additive'!E:E,'Data Additive'!E:E,0)</f>
        <v>1246266668</v>
      </c>
    </row>
    <row r="409" spans="1:18" x14ac:dyDescent="0.25">
      <c r="A409">
        <v>6177</v>
      </c>
      <c r="B409" t="s">
        <v>745</v>
      </c>
      <c r="C409" t="s">
        <v>822</v>
      </c>
      <c r="D409" s="34">
        <v>122918</v>
      </c>
      <c r="E409">
        <v>1246264685</v>
      </c>
      <c r="F409" s="30">
        <v>46136</v>
      </c>
      <c r="G409" s="30"/>
      <c r="H409" t="s">
        <v>28</v>
      </c>
      <c r="I409" t="s">
        <v>29</v>
      </c>
      <c r="J409">
        <v>10751</v>
      </c>
      <c r="K409" s="30">
        <v>46076</v>
      </c>
      <c r="L409">
        <v>1010100</v>
      </c>
      <c r="M409" t="s">
        <v>35</v>
      </c>
      <c r="N409">
        <v>161</v>
      </c>
      <c r="O409" t="s">
        <v>161</v>
      </c>
      <c r="P409" t="s">
        <v>745</v>
      </c>
      <c r="Q409">
        <f t="shared" si="7"/>
        <v>-25</v>
      </c>
      <c r="R409">
        <f>_xlfn.XLOOKUP(E409,'Data Additive'!E:E,'Data Additive'!E:E,0)</f>
        <v>1246264685</v>
      </c>
    </row>
    <row r="410" spans="1:18" x14ac:dyDescent="0.25">
      <c r="A410">
        <v>6177</v>
      </c>
      <c r="B410" t="s">
        <v>745</v>
      </c>
      <c r="C410" t="s">
        <v>822</v>
      </c>
      <c r="D410" s="34">
        <v>121852</v>
      </c>
      <c r="E410">
        <v>1246269467</v>
      </c>
      <c r="F410" s="30">
        <v>46168</v>
      </c>
      <c r="G410" s="30"/>
      <c r="H410" t="s">
        <v>28</v>
      </c>
      <c r="I410" t="s">
        <v>29</v>
      </c>
      <c r="J410">
        <v>10994</v>
      </c>
      <c r="K410" s="30">
        <v>46108</v>
      </c>
      <c r="L410">
        <v>1010100</v>
      </c>
      <c r="M410" t="s">
        <v>35</v>
      </c>
      <c r="N410">
        <v>161</v>
      </c>
      <c r="O410" t="s">
        <v>161</v>
      </c>
      <c r="P410" t="s">
        <v>745</v>
      </c>
      <c r="Q410">
        <f t="shared" ref="Q410:Q455" si="8">$R$1-F410</f>
        <v>-57</v>
      </c>
      <c r="R410">
        <f>_xlfn.XLOOKUP(E410,'Data Additive'!E:E,'Data Additive'!E:E,0)</f>
        <v>1246269467</v>
      </c>
    </row>
    <row r="411" spans="1:18" x14ac:dyDescent="0.25">
      <c r="A411">
        <v>5300</v>
      </c>
      <c r="B411" t="s">
        <v>30</v>
      </c>
      <c r="C411" t="s">
        <v>551</v>
      </c>
      <c r="D411" s="34">
        <v>175523.4</v>
      </c>
      <c r="E411">
        <v>1246267243</v>
      </c>
      <c r="F411" s="30">
        <v>46119</v>
      </c>
      <c r="G411" s="30"/>
      <c r="H411" t="s">
        <v>28</v>
      </c>
      <c r="I411" t="s">
        <v>29</v>
      </c>
      <c r="J411">
        <v>10859</v>
      </c>
      <c r="K411" s="30">
        <v>46091</v>
      </c>
      <c r="L411">
        <v>1010100</v>
      </c>
      <c r="M411" t="s">
        <v>35</v>
      </c>
      <c r="N411">
        <v>161</v>
      </c>
      <c r="O411" t="s">
        <v>161</v>
      </c>
      <c r="P411" t="s">
        <v>30</v>
      </c>
      <c r="Q411">
        <f t="shared" si="8"/>
        <v>-8</v>
      </c>
      <c r="R411">
        <f>_xlfn.XLOOKUP(E411,'Data Additive'!E:E,'Data Additive'!E:E,0)</f>
        <v>1246267243</v>
      </c>
    </row>
    <row r="412" spans="1:18" x14ac:dyDescent="0.25">
      <c r="A412">
        <v>5300</v>
      </c>
      <c r="B412" t="s">
        <v>30</v>
      </c>
      <c r="C412" t="s">
        <v>551</v>
      </c>
      <c r="D412" s="34">
        <v>175465.7</v>
      </c>
      <c r="E412">
        <v>1246269610</v>
      </c>
      <c r="F412" s="30">
        <v>46139</v>
      </c>
      <c r="G412" s="30"/>
      <c r="H412" t="s">
        <v>28</v>
      </c>
      <c r="I412" t="s">
        <v>29</v>
      </c>
      <c r="J412">
        <v>11007</v>
      </c>
      <c r="K412" s="30">
        <v>46111</v>
      </c>
      <c r="L412">
        <v>1010100</v>
      </c>
      <c r="M412" t="s">
        <v>35</v>
      </c>
      <c r="N412">
        <v>161</v>
      </c>
      <c r="O412" t="s">
        <v>161</v>
      </c>
      <c r="P412" t="s">
        <v>30</v>
      </c>
      <c r="Q412">
        <f t="shared" si="8"/>
        <v>-28</v>
      </c>
      <c r="R412">
        <f>_xlfn.XLOOKUP(E412,'Data Additive'!E:E,'Data Additive'!E:E,0)</f>
        <v>1246269610</v>
      </c>
    </row>
    <row r="413" spans="1:18" x14ac:dyDescent="0.25">
      <c r="A413">
        <v>4575</v>
      </c>
      <c r="B413" t="s">
        <v>91</v>
      </c>
      <c r="C413" t="s">
        <v>92</v>
      </c>
      <c r="D413" s="34">
        <v>20940</v>
      </c>
      <c r="E413">
        <v>1246113043</v>
      </c>
      <c r="F413" s="30">
        <v>45311</v>
      </c>
      <c r="G413" s="30"/>
      <c r="H413" t="s">
        <v>28</v>
      </c>
      <c r="I413" t="s">
        <v>29</v>
      </c>
      <c r="J413">
        <v>1821</v>
      </c>
      <c r="K413" s="30">
        <v>45233</v>
      </c>
      <c r="L413">
        <v>1010100</v>
      </c>
      <c r="M413" t="s">
        <v>35</v>
      </c>
      <c r="N413">
        <v>161</v>
      </c>
      <c r="O413" t="s">
        <v>161</v>
      </c>
      <c r="P413" t="s">
        <v>91</v>
      </c>
      <c r="Q413">
        <f t="shared" si="8"/>
        <v>800</v>
      </c>
      <c r="R413">
        <f>_xlfn.XLOOKUP(E413,'Data Additive'!E:E,'Data Additive'!E:E,0)</f>
        <v>1246113043</v>
      </c>
    </row>
    <row r="414" spans="1:18" x14ac:dyDescent="0.25">
      <c r="A414">
        <v>4577</v>
      </c>
      <c r="B414" t="s">
        <v>252</v>
      </c>
      <c r="C414" t="s">
        <v>882</v>
      </c>
      <c r="D414" s="34">
        <v>66308</v>
      </c>
      <c r="E414">
        <v>1246267216</v>
      </c>
      <c r="F414" s="30">
        <v>46119</v>
      </c>
      <c r="G414" s="30"/>
      <c r="H414" t="s">
        <v>28</v>
      </c>
      <c r="I414" t="s">
        <v>29</v>
      </c>
      <c r="J414">
        <v>10857</v>
      </c>
      <c r="K414" s="30">
        <v>46091</v>
      </c>
      <c r="L414">
        <v>1010100</v>
      </c>
      <c r="M414" t="s">
        <v>35</v>
      </c>
      <c r="N414">
        <v>161</v>
      </c>
      <c r="O414" t="s">
        <v>161</v>
      </c>
      <c r="P414" t="s">
        <v>252</v>
      </c>
      <c r="Q414">
        <f t="shared" si="8"/>
        <v>-8</v>
      </c>
      <c r="R414">
        <f>_xlfn.XLOOKUP(E414,'Data Additive'!E:E,'Data Additive'!E:E,0)</f>
        <v>1246267216</v>
      </c>
    </row>
    <row r="415" spans="1:18" ht="0.6" customHeight="1" x14ac:dyDescent="0.25">
      <c r="A415">
        <v>5657</v>
      </c>
      <c r="B415" t="s">
        <v>95</v>
      </c>
      <c r="C415" t="s">
        <v>912</v>
      </c>
      <c r="D415" s="34">
        <v>20520</v>
      </c>
      <c r="E415">
        <v>1246269700</v>
      </c>
      <c r="F415" s="30">
        <v>46140</v>
      </c>
      <c r="G415" s="30"/>
      <c r="H415" t="s">
        <v>28</v>
      </c>
      <c r="I415" t="s">
        <v>29</v>
      </c>
      <c r="J415">
        <v>11013</v>
      </c>
      <c r="K415" s="30">
        <v>46112</v>
      </c>
      <c r="L415">
        <v>1010100</v>
      </c>
      <c r="M415" t="s">
        <v>35</v>
      </c>
      <c r="N415">
        <v>161</v>
      </c>
      <c r="O415" t="s">
        <v>161</v>
      </c>
      <c r="P415" t="s">
        <v>95</v>
      </c>
      <c r="Q415">
        <f t="shared" si="8"/>
        <v>-29</v>
      </c>
      <c r="R415">
        <f>_xlfn.XLOOKUP(E415,'Data Additive'!E:E,'Data Additive'!E:E,0)</f>
        <v>1246269700</v>
      </c>
    </row>
    <row r="416" spans="1:18" x14ac:dyDescent="0.25">
      <c r="A416">
        <v>5657</v>
      </c>
      <c r="B416" t="s">
        <v>95</v>
      </c>
      <c r="C416" t="s">
        <v>912</v>
      </c>
      <c r="D416" s="34">
        <v>32320</v>
      </c>
      <c r="E416">
        <v>1246269757</v>
      </c>
      <c r="F416" s="30">
        <v>46140</v>
      </c>
      <c r="G416" s="30"/>
      <c r="H416" t="s">
        <v>28</v>
      </c>
      <c r="I416" t="s">
        <v>29</v>
      </c>
      <c r="J416">
        <v>2857</v>
      </c>
      <c r="K416" s="30">
        <v>46112</v>
      </c>
      <c r="L416">
        <v>1010100</v>
      </c>
      <c r="M416" t="s">
        <v>35</v>
      </c>
      <c r="N416">
        <v>161</v>
      </c>
      <c r="O416" t="s">
        <v>161</v>
      </c>
      <c r="P416" t="s">
        <v>95</v>
      </c>
      <c r="Q416">
        <f t="shared" si="8"/>
        <v>-29</v>
      </c>
      <c r="R416">
        <f>_xlfn.XLOOKUP(E416,'Data Additive'!E:E,'Data Additive'!E:E,0)</f>
        <v>1246269757</v>
      </c>
    </row>
    <row r="417" spans="1:18" x14ac:dyDescent="0.25">
      <c r="A417">
        <v>7022</v>
      </c>
      <c r="B417" t="s">
        <v>793</v>
      </c>
      <c r="C417" t="s">
        <v>101</v>
      </c>
      <c r="D417" s="34">
        <v>1800</v>
      </c>
      <c r="E417">
        <v>1246054442</v>
      </c>
      <c r="F417" s="30">
        <v>44897</v>
      </c>
      <c r="G417" s="30"/>
      <c r="H417" t="s">
        <v>28</v>
      </c>
      <c r="I417" t="s">
        <v>29</v>
      </c>
      <c r="J417">
        <v>1246054442</v>
      </c>
      <c r="K417" s="30">
        <v>44882</v>
      </c>
      <c r="L417">
        <v>3041000</v>
      </c>
      <c r="M417" t="s">
        <v>138</v>
      </c>
      <c r="N417">
        <v>46</v>
      </c>
      <c r="O417" t="s">
        <v>163</v>
      </c>
      <c r="P417" t="s">
        <v>793</v>
      </c>
      <c r="Q417">
        <f t="shared" si="8"/>
        <v>1214</v>
      </c>
      <c r="R417">
        <f>_xlfn.XLOOKUP(E417,'Data Additive'!E:E,'Data Additive'!E:E,0)</f>
        <v>0</v>
      </c>
    </row>
    <row r="418" spans="1:18" x14ac:dyDescent="0.25">
      <c r="A418">
        <v>7022</v>
      </c>
      <c r="B418" t="s">
        <v>793</v>
      </c>
      <c r="C418" t="s">
        <v>101</v>
      </c>
      <c r="D418" s="34">
        <v>70894.399999999994</v>
      </c>
      <c r="E418">
        <v>1246266057</v>
      </c>
      <c r="F418" s="30">
        <v>46143</v>
      </c>
      <c r="G418" s="30"/>
      <c r="H418" t="s">
        <v>28</v>
      </c>
      <c r="I418" t="s">
        <v>29</v>
      </c>
      <c r="J418">
        <v>10798</v>
      </c>
      <c r="K418" s="30">
        <v>46083</v>
      </c>
      <c r="L418">
        <v>1010100</v>
      </c>
      <c r="M418" t="s">
        <v>35</v>
      </c>
      <c r="N418">
        <v>161</v>
      </c>
      <c r="O418" t="s">
        <v>161</v>
      </c>
      <c r="P418" t="s">
        <v>793</v>
      </c>
      <c r="Q418">
        <f t="shared" si="8"/>
        <v>-32</v>
      </c>
      <c r="R418">
        <f>_xlfn.XLOOKUP(E418,'Data Additive'!E:E,'Data Additive'!E:E,0)</f>
        <v>1246266057</v>
      </c>
    </row>
    <row r="419" spans="1:18" x14ac:dyDescent="0.25">
      <c r="A419">
        <v>7022</v>
      </c>
      <c r="B419" t="s">
        <v>793</v>
      </c>
      <c r="C419" t="s">
        <v>101</v>
      </c>
      <c r="D419" s="34">
        <v>70918</v>
      </c>
      <c r="E419">
        <v>1246263794</v>
      </c>
      <c r="F419" s="30">
        <v>46129</v>
      </c>
      <c r="G419" s="30"/>
      <c r="H419" t="s">
        <v>28</v>
      </c>
      <c r="I419" t="s">
        <v>29</v>
      </c>
      <c r="J419">
        <v>10699</v>
      </c>
      <c r="K419" s="30">
        <v>46069</v>
      </c>
      <c r="L419">
        <v>1010100</v>
      </c>
      <c r="M419" t="s">
        <v>35</v>
      </c>
      <c r="N419">
        <v>161</v>
      </c>
      <c r="O419" t="s">
        <v>161</v>
      </c>
      <c r="P419" t="s">
        <v>793</v>
      </c>
      <c r="Q419">
        <f t="shared" si="8"/>
        <v>-18</v>
      </c>
      <c r="R419">
        <f>_xlfn.XLOOKUP(E419,'Data Additive'!E:E,'Data Additive'!E:E,0)</f>
        <v>1246263794</v>
      </c>
    </row>
    <row r="420" spans="1:18" x14ac:dyDescent="0.25">
      <c r="A420">
        <v>7022</v>
      </c>
      <c r="B420" t="s">
        <v>793</v>
      </c>
      <c r="C420" t="s">
        <v>101</v>
      </c>
      <c r="D420" s="34">
        <v>70894.399999999994</v>
      </c>
      <c r="E420">
        <v>1246269324</v>
      </c>
      <c r="F420" s="30">
        <v>46197</v>
      </c>
      <c r="G420" s="30"/>
      <c r="H420" t="s">
        <v>28</v>
      </c>
      <c r="I420" t="s">
        <v>29</v>
      </c>
      <c r="J420">
        <v>10982</v>
      </c>
      <c r="K420" s="30">
        <v>46107</v>
      </c>
      <c r="L420">
        <v>1010100</v>
      </c>
      <c r="M420" t="s">
        <v>35</v>
      </c>
      <c r="N420">
        <v>161</v>
      </c>
      <c r="O420" t="s">
        <v>161</v>
      </c>
      <c r="P420" t="s">
        <v>793</v>
      </c>
      <c r="Q420">
        <f t="shared" si="8"/>
        <v>-86</v>
      </c>
      <c r="R420">
        <f>_xlfn.XLOOKUP(E420,'Data Additive'!E:E,'Data Additive'!E:E,0)</f>
        <v>1246269324</v>
      </c>
    </row>
    <row r="421" spans="1:18" x14ac:dyDescent="0.25">
      <c r="A421">
        <v>7022</v>
      </c>
      <c r="B421" t="s">
        <v>793</v>
      </c>
      <c r="C421" t="s">
        <v>101</v>
      </c>
      <c r="D421" s="34">
        <v>71154</v>
      </c>
      <c r="E421">
        <v>1246265854</v>
      </c>
      <c r="F421" s="30">
        <v>46140</v>
      </c>
      <c r="G421" s="30"/>
      <c r="H421" t="s">
        <v>28</v>
      </c>
      <c r="I421" t="s">
        <v>29</v>
      </c>
      <c r="J421">
        <v>10789</v>
      </c>
      <c r="K421" s="30">
        <v>46080</v>
      </c>
      <c r="L421">
        <v>1010100</v>
      </c>
      <c r="M421" t="s">
        <v>35</v>
      </c>
      <c r="N421">
        <v>161</v>
      </c>
      <c r="O421" t="s">
        <v>161</v>
      </c>
      <c r="P421" t="s">
        <v>793</v>
      </c>
      <c r="Q421">
        <f t="shared" si="8"/>
        <v>-29</v>
      </c>
      <c r="R421">
        <f>_xlfn.XLOOKUP(E421,'Data Additive'!E:E,'Data Additive'!E:E,0)</f>
        <v>1246265854</v>
      </c>
    </row>
    <row r="422" spans="1:18" x14ac:dyDescent="0.25">
      <c r="A422">
        <v>7022</v>
      </c>
      <c r="B422" t="s">
        <v>793</v>
      </c>
      <c r="C422" t="s">
        <v>101</v>
      </c>
      <c r="D422" s="34">
        <v>72348.2</v>
      </c>
      <c r="E422">
        <v>1246261819</v>
      </c>
      <c r="F422" s="30">
        <v>46115</v>
      </c>
      <c r="G422" s="30"/>
      <c r="H422" t="s">
        <v>28</v>
      </c>
      <c r="I422" t="s">
        <v>29</v>
      </c>
      <c r="J422">
        <v>10619</v>
      </c>
      <c r="K422" s="30">
        <v>46055</v>
      </c>
      <c r="L422">
        <v>1010100</v>
      </c>
      <c r="M422" t="s">
        <v>35</v>
      </c>
      <c r="N422">
        <v>161</v>
      </c>
      <c r="O422" t="s">
        <v>161</v>
      </c>
      <c r="P422" t="s">
        <v>793</v>
      </c>
      <c r="Q422">
        <f t="shared" si="8"/>
        <v>-4</v>
      </c>
      <c r="R422">
        <f>_xlfn.XLOOKUP(E422,'Data Additive'!E:E,'Data Additive'!E:E,0)</f>
        <v>1246261819</v>
      </c>
    </row>
    <row r="423" spans="1:18" x14ac:dyDescent="0.25">
      <c r="A423">
        <v>7022</v>
      </c>
      <c r="B423" t="s">
        <v>793</v>
      </c>
      <c r="C423" t="s">
        <v>101</v>
      </c>
      <c r="D423" s="34">
        <v>70705.600000000006</v>
      </c>
      <c r="E423">
        <v>1246268533</v>
      </c>
      <c r="F423" s="30">
        <v>46191</v>
      </c>
      <c r="G423" s="30"/>
      <c r="H423" t="s">
        <v>28</v>
      </c>
      <c r="I423" t="s">
        <v>29</v>
      </c>
      <c r="J423">
        <v>10943</v>
      </c>
      <c r="K423" s="30">
        <v>46101</v>
      </c>
      <c r="L423">
        <v>1010100</v>
      </c>
      <c r="M423" t="s">
        <v>35</v>
      </c>
      <c r="N423">
        <v>161</v>
      </c>
      <c r="O423" t="s">
        <v>161</v>
      </c>
      <c r="P423" t="s">
        <v>793</v>
      </c>
      <c r="Q423">
        <f t="shared" si="8"/>
        <v>-80</v>
      </c>
      <c r="R423">
        <f>_xlfn.XLOOKUP(E423,'Data Additive'!E:E,'Data Additive'!E:E,0)</f>
        <v>1246268533</v>
      </c>
    </row>
    <row r="424" spans="1:18" x14ac:dyDescent="0.25">
      <c r="A424">
        <v>7022</v>
      </c>
      <c r="B424" t="s">
        <v>793</v>
      </c>
      <c r="C424" t="s">
        <v>101</v>
      </c>
      <c r="D424" s="34">
        <v>70988.800000000003</v>
      </c>
      <c r="E424">
        <v>1246266859</v>
      </c>
      <c r="F424" s="30">
        <v>46147</v>
      </c>
      <c r="G424" s="30"/>
      <c r="H424" t="s">
        <v>28</v>
      </c>
      <c r="I424" t="s">
        <v>29</v>
      </c>
      <c r="J424">
        <v>10829</v>
      </c>
      <c r="K424" s="30">
        <v>46087</v>
      </c>
      <c r="L424">
        <v>1010100</v>
      </c>
      <c r="M424" t="s">
        <v>35</v>
      </c>
      <c r="N424">
        <v>161</v>
      </c>
      <c r="O424" t="s">
        <v>161</v>
      </c>
      <c r="P424" t="s">
        <v>793</v>
      </c>
      <c r="Q424">
        <f t="shared" si="8"/>
        <v>-36</v>
      </c>
      <c r="R424">
        <f>_xlfn.XLOOKUP(E424,'Data Additive'!E:E,'Data Additive'!E:E,0)</f>
        <v>1246266859</v>
      </c>
    </row>
    <row r="425" spans="1:18" x14ac:dyDescent="0.25">
      <c r="A425">
        <v>7022</v>
      </c>
      <c r="B425" t="s">
        <v>793</v>
      </c>
      <c r="C425" t="s">
        <v>101</v>
      </c>
      <c r="D425" s="34">
        <v>70705.600000000006</v>
      </c>
      <c r="E425">
        <v>1246267824</v>
      </c>
      <c r="F425" s="30">
        <v>46157</v>
      </c>
      <c r="G425" s="30"/>
      <c r="H425" t="s">
        <v>28</v>
      </c>
      <c r="I425" t="s">
        <v>29</v>
      </c>
      <c r="J425">
        <v>10891</v>
      </c>
      <c r="K425" s="30">
        <v>46097</v>
      </c>
      <c r="L425">
        <v>1010100</v>
      </c>
      <c r="M425" t="s">
        <v>35</v>
      </c>
      <c r="N425">
        <v>161</v>
      </c>
      <c r="O425" t="s">
        <v>161</v>
      </c>
      <c r="P425" t="s">
        <v>793</v>
      </c>
      <c r="Q425">
        <f t="shared" si="8"/>
        <v>-46</v>
      </c>
      <c r="R425">
        <f>_xlfn.XLOOKUP(E425,'Data Additive'!E:E,'Data Additive'!E:E,0)</f>
        <v>1246267824</v>
      </c>
    </row>
    <row r="426" spans="1:18" x14ac:dyDescent="0.25">
      <c r="A426">
        <v>7022</v>
      </c>
      <c r="B426" t="s">
        <v>793</v>
      </c>
      <c r="C426" t="s">
        <v>101</v>
      </c>
      <c r="D426" s="34">
        <v>71508</v>
      </c>
      <c r="E426">
        <v>1246267571</v>
      </c>
      <c r="F426" s="30">
        <v>46153</v>
      </c>
      <c r="G426" s="30"/>
      <c r="H426" t="s">
        <v>28</v>
      </c>
      <c r="I426" t="s">
        <v>29</v>
      </c>
      <c r="J426">
        <v>10871</v>
      </c>
      <c r="K426" s="30">
        <v>46093</v>
      </c>
      <c r="L426">
        <v>1010100</v>
      </c>
      <c r="M426" t="s">
        <v>35</v>
      </c>
      <c r="N426">
        <v>161</v>
      </c>
      <c r="O426" t="s">
        <v>161</v>
      </c>
      <c r="P426" t="s">
        <v>793</v>
      </c>
      <c r="Q426">
        <f t="shared" si="8"/>
        <v>-42</v>
      </c>
      <c r="R426">
        <f>_xlfn.XLOOKUP(E426,'Data Additive'!E:E,'Data Additive'!E:E,0)</f>
        <v>1246267571</v>
      </c>
    </row>
    <row r="427" spans="1:18" x14ac:dyDescent="0.25">
      <c r="A427">
        <v>7022</v>
      </c>
      <c r="B427" t="s">
        <v>793</v>
      </c>
      <c r="C427" t="s">
        <v>101</v>
      </c>
      <c r="D427" s="34">
        <v>71980</v>
      </c>
      <c r="E427">
        <v>1246264219</v>
      </c>
      <c r="F427" s="30">
        <v>46133</v>
      </c>
      <c r="G427" s="30"/>
      <c r="H427" t="s">
        <v>28</v>
      </c>
      <c r="I427" t="s">
        <v>29</v>
      </c>
      <c r="J427">
        <v>10730</v>
      </c>
      <c r="K427" s="30">
        <v>46073</v>
      </c>
      <c r="L427">
        <v>1010100</v>
      </c>
      <c r="M427" t="s">
        <v>35</v>
      </c>
      <c r="N427">
        <v>161</v>
      </c>
      <c r="O427" t="s">
        <v>161</v>
      </c>
      <c r="P427" t="s">
        <v>793</v>
      </c>
      <c r="Q427">
        <f t="shared" si="8"/>
        <v>-22</v>
      </c>
      <c r="R427">
        <f>_xlfn.XLOOKUP(E427,'Data Additive'!E:E,'Data Additive'!E:E,0)</f>
        <v>1246264219</v>
      </c>
    </row>
    <row r="428" spans="1:18" x14ac:dyDescent="0.25">
      <c r="A428">
        <v>7022</v>
      </c>
      <c r="B428" t="s">
        <v>793</v>
      </c>
      <c r="C428" t="s">
        <v>101</v>
      </c>
      <c r="D428" s="34">
        <v>70752.800000000003</v>
      </c>
      <c r="E428">
        <v>1246265339</v>
      </c>
      <c r="F428" s="30">
        <v>46139</v>
      </c>
      <c r="G428" s="30"/>
      <c r="H428" t="s">
        <v>28</v>
      </c>
      <c r="I428" t="s">
        <v>29</v>
      </c>
      <c r="J428">
        <v>10774</v>
      </c>
      <c r="K428" s="30">
        <v>46079</v>
      </c>
      <c r="L428">
        <v>1010100</v>
      </c>
      <c r="M428" t="s">
        <v>35</v>
      </c>
      <c r="N428">
        <v>161</v>
      </c>
      <c r="O428" t="s">
        <v>161</v>
      </c>
      <c r="P428" t="s">
        <v>793</v>
      </c>
      <c r="Q428">
        <f t="shared" si="8"/>
        <v>-28</v>
      </c>
      <c r="R428">
        <f>_xlfn.XLOOKUP(E428,'Data Additive'!E:E,'Data Additive'!E:E,0)</f>
        <v>1246265339</v>
      </c>
    </row>
    <row r="429" spans="1:18" x14ac:dyDescent="0.25">
      <c r="A429">
        <v>7060</v>
      </c>
      <c r="B429" t="s">
        <v>182</v>
      </c>
      <c r="C429" t="s">
        <v>183</v>
      </c>
      <c r="D429" s="34">
        <v>5180.3999999999996</v>
      </c>
      <c r="E429">
        <v>1246254161</v>
      </c>
      <c r="F429" s="30">
        <v>46281</v>
      </c>
      <c r="G429" s="30"/>
      <c r="H429" t="s">
        <v>173</v>
      </c>
      <c r="I429" t="s">
        <v>174</v>
      </c>
      <c r="J429">
        <v>10278</v>
      </c>
      <c r="K429" s="30">
        <v>46006</v>
      </c>
      <c r="L429">
        <v>1010100</v>
      </c>
      <c r="M429" t="s">
        <v>35</v>
      </c>
      <c r="N429">
        <v>161</v>
      </c>
      <c r="O429" t="s">
        <v>161</v>
      </c>
      <c r="P429" t="s">
        <v>182</v>
      </c>
      <c r="Q429">
        <f t="shared" si="8"/>
        <v>-170</v>
      </c>
      <c r="R429">
        <f>_xlfn.XLOOKUP(E429,'Data Additive'!E:E,'Data Additive'!E:E,0)</f>
        <v>0</v>
      </c>
    </row>
    <row r="430" spans="1:18" x14ac:dyDescent="0.25">
      <c r="A430">
        <v>7060</v>
      </c>
      <c r="B430" t="s">
        <v>182</v>
      </c>
      <c r="C430" t="s">
        <v>183</v>
      </c>
      <c r="D430" s="34">
        <v>8288.64</v>
      </c>
      <c r="E430">
        <v>1246252321</v>
      </c>
      <c r="F430" s="30">
        <v>46269</v>
      </c>
      <c r="G430" s="30"/>
      <c r="H430" t="s">
        <v>173</v>
      </c>
      <c r="I430" t="s">
        <v>174</v>
      </c>
      <c r="J430">
        <v>10183</v>
      </c>
      <c r="K430" s="30">
        <v>45994</v>
      </c>
      <c r="L430">
        <v>1010100</v>
      </c>
      <c r="M430" t="s">
        <v>35</v>
      </c>
      <c r="N430">
        <v>161</v>
      </c>
      <c r="O430" t="s">
        <v>161</v>
      </c>
      <c r="P430" t="s">
        <v>182</v>
      </c>
      <c r="Q430">
        <f t="shared" si="8"/>
        <v>-158</v>
      </c>
      <c r="R430">
        <f>_xlfn.XLOOKUP(E430,'Data Additive'!E:E,'Data Additive'!E:E,0)</f>
        <v>0</v>
      </c>
    </row>
    <row r="431" spans="1:18" x14ac:dyDescent="0.25">
      <c r="A431">
        <v>7060</v>
      </c>
      <c r="B431" t="s">
        <v>182</v>
      </c>
      <c r="C431" t="s">
        <v>183</v>
      </c>
      <c r="D431" s="34">
        <v>67383.5</v>
      </c>
      <c r="E431">
        <v>1246254471</v>
      </c>
      <c r="F431" s="30">
        <v>46279</v>
      </c>
      <c r="G431" s="30"/>
      <c r="H431" t="s">
        <v>173</v>
      </c>
      <c r="I431" t="s">
        <v>174</v>
      </c>
      <c r="J431">
        <v>10301</v>
      </c>
      <c r="K431" s="30">
        <v>46007</v>
      </c>
      <c r="L431">
        <v>1010100</v>
      </c>
      <c r="M431" t="s">
        <v>35</v>
      </c>
      <c r="N431">
        <v>161</v>
      </c>
      <c r="O431" t="s">
        <v>161</v>
      </c>
      <c r="P431" t="s">
        <v>182</v>
      </c>
      <c r="Q431">
        <f t="shared" si="8"/>
        <v>-168</v>
      </c>
      <c r="R431">
        <f>_xlfn.XLOOKUP(E431,'Data Additive'!E:E,'Data Additive'!E:E,0)</f>
        <v>0</v>
      </c>
    </row>
    <row r="432" spans="1:18" x14ac:dyDescent="0.25">
      <c r="A432">
        <v>7060</v>
      </c>
      <c r="B432" t="s">
        <v>182</v>
      </c>
      <c r="C432" t="s">
        <v>183</v>
      </c>
      <c r="D432" s="34">
        <v>202489.44</v>
      </c>
      <c r="E432">
        <v>1246233024</v>
      </c>
      <c r="F432" s="30">
        <v>46264</v>
      </c>
      <c r="G432" s="30"/>
      <c r="H432" t="s">
        <v>173</v>
      </c>
      <c r="I432" t="s">
        <v>174</v>
      </c>
      <c r="J432">
        <v>9046</v>
      </c>
      <c r="K432" s="30">
        <v>45895</v>
      </c>
      <c r="L432">
        <v>1010100</v>
      </c>
      <c r="M432" t="s">
        <v>35</v>
      </c>
      <c r="N432">
        <v>56</v>
      </c>
      <c r="O432" t="s">
        <v>162</v>
      </c>
      <c r="P432" t="s">
        <v>182</v>
      </c>
      <c r="Q432">
        <f t="shared" si="8"/>
        <v>-153</v>
      </c>
      <c r="R432">
        <f>_xlfn.XLOOKUP(E432,'Data Additive'!E:E,'Data Additive'!E:E,0)</f>
        <v>0</v>
      </c>
    </row>
    <row r="433" spans="1:18" x14ac:dyDescent="0.25">
      <c r="A433">
        <v>7060</v>
      </c>
      <c r="B433" t="s">
        <v>182</v>
      </c>
      <c r="C433" t="s">
        <v>183</v>
      </c>
      <c r="D433" s="34">
        <v>210926.49999999997</v>
      </c>
      <c r="E433">
        <v>1246232491</v>
      </c>
      <c r="F433" s="30">
        <v>46264</v>
      </c>
      <c r="G433" s="30"/>
      <c r="H433" t="s">
        <v>173</v>
      </c>
      <c r="I433" t="s">
        <v>174</v>
      </c>
      <c r="J433">
        <v>9006</v>
      </c>
      <c r="K433" s="30">
        <v>45891</v>
      </c>
      <c r="L433">
        <v>1010100</v>
      </c>
      <c r="M433" t="s">
        <v>35</v>
      </c>
      <c r="N433">
        <v>56</v>
      </c>
      <c r="O433" t="s">
        <v>162</v>
      </c>
      <c r="P433" t="s">
        <v>182</v>
      </c>
      <c r="Q433">
        <f t="shared" si="8"/>
        <v>-153</v>
      </c>
      <c r="R433">
        <f>_xlfn.XLOOKUP(E433,'Data Additive'!E:E,'Data Additive'!E:E,0)</f>
        <v>0</v>
      </c>
    </row>
    <row r="434" spans="1:18" x14ac:dyDescent="0.25">
      <c r="A434">
        <v>7060</v>
      </c>
      <c r="B434" t="s">
        <v>182</v>
      </c>
      <c r="C434" t="s">
        <v>183</v>
      </c>
      <c r="D434" s="34">
        <v>130331.92</v>
      </c>
      <c r="E434">
        <v>1246232349</v>
      </c>
      <c r="F434" s="30">
        <v>46144</v>
      </c>
      <c r="G434" s="30"/>
      <c r="H434" t="s">
        <v>173</v>
      </c>
      <c r="I434" t="s">
        <v>174</v>
      </c>
      <c r="J434">
        <v>8975</v>
      </c>
      <c r="K434" s="30">
        <v>45890</v>
      </c>
      <c r="L434">
        <v>1010100</v>
      </c>
      <c r="M434" t="s">
        <v>35</v>
      </c>
      <c r="N434">
        <v>56</v>
      </c>
      <c r="O434" t="s">
        <v>162</v>
      </c>
      <c r="P434" t="s">
        <v>182</v>
      </c>
      <c r="Q434">
        <f t="shared" si="8"/>
        <v>-33</v>
      </c>
      <c r="R434">
        <f>_xlfn.XLOOKUP(E434,'Data Additive'!E:E,'Data Additive'!E:E,0)</f>
        <v>0</v>
      </c>
    </row>
    <row r="435" spans="1:18" x14ac:dyDescent="0.25">
      <c r="A435">
        <v>7060</v>
      </c>
      <c r="B435" t="s">
        <v>182</v>
      </c>
      <c r="C435" t="s">
        <v>183</v>
      </c>
      <c r="D435" s="34">
        <v>6817.24</v>
      </c>
      <c r="E435">
        <v>1246232336</v>
      </c>
      <c r="F435" s="30">
        <v>46144</v>
      </c>
      <c r="G435" s="30"/>
      <c r="H435" t="s">
        <v>173</v>
      </c>
      <c r="I435" t="s">
        <v>174</v>
      </c>
      <c r="J435">
        <v>8973</v>
      </c>
      <c r="K435" s="30">
        <v>45890</v>
      </c>
      <c r="L435">
        <v>1010100</v>
      </c>
      <c r="M435" t="s">
        <v>35</v>
      </c>
      <c r="N435">
        <v>56</v>
      </c>
      <c r="O435" t="s">
        <v>162</v>
      </c>
      <c r="P435" t="s">
        <v>182</v>
      </c>
      <c r="Q435">
        <f t="shared" si="8"/>
        <v>-33</v>
      </c>
      <c r="R435">
        <f>_xlfn.XLOOKUP(E435,'Data Additive'!E:E,'Data Additive'!E:E,0)</f>
        <v>0</v>
      </c>
    </row>
    <row r="436" spans="1:18" x14ac:dyDescent="0.25">
      <c r="A436">
        <v>7060</v>
      </c>
      <c r="B436" t="s">
        <v>182</v>
      </c>
      <c r="C436" t="s">
        <v>183</v>
      </c>
      <c r="D436" s="34">
        <v>135891.48000000001</v>
      </c>
      <c r="E436">
        <v>1246233319</v>
      </c>
      <c r="F436" s="30">
        <v>46266</v>
      </c>
      <c r="G436" s="30"/>
      <c r="H436" t="s">
        <v>173</v>
      </c>
      <c r="I436" t="s">
        <v>174</v>
      </c>
      <c r="J436">
        <v>9076</v>
      </c>
      <c r="K436" s="30">
        <v>45896</v>
      </c>
      <c r="L436">
        <v>1010100</v>
      </c>
      <c r="M436" t="s">
        <v>35</v>
      </c>
      <c r="N436">
        <v>56</v>
      </c>
      <c r="O436" t="s">
        <v>162</v>
      </c>
      <c r="P436" t="s">
        <v>182</v>
      </c>
      <c r="Q436">
        <f t="shared" si="8"/>
        <v>-155</v>
      </c>
      <c r="R436">
        <f>_xlfn.XLOOKUP(E436,'Data Additive'!E:E,'Data Additive'!E:E,0)</f>
        <v>0</v>
      </c>
    </row>
    <row r="437" spans="1:18" x14ac:dyDescent="0.25">
      <c r="A437">
        <v>7060</v>
      </c>
      <c r="B437" t="s">
        <v>182</v>
      </c>
      <c r="C437" t="s">
        <v>183</v>
      </c>
      <c r="D437" s="34">
        <v>137584.20000000001</v>
      </c>
      <c r="E437">
        <v>1246232316</v>
      </c>
      <c r="F437" s="30">
        <v>46144</v>
      </c>
      <c r="G437" s="30"/>
      <c r="H437" t="s">
        <v>173</v>
      </c>
      <c r="I437" t="s">
        <v>174</v>
      </c>
      <c r="J437">
        <v>8971</v>
      </c>
      <c r="K437" s="30">
        <v>45890</v>
      </c>
      <c r="L437">
        <v>1010100</v>
      </c>
      <c r="M437" t="s">
        <v>35</v>
      </c>
      <c r="N437">
        <v>56</v>
      </c>
      <c r="O437" t="s">
        <v>162</v>
      </c>
      <c r="P437" t="s">
        <v>182</v>
      </c>
      <c r="Q437">
        <f t="shared" si="8"/>
        <v>-33</v>
      </c>
      <c r="R437">
        <f>_xlfn.XLOOKUP(E437,'Data Additive'!E:E,'Data Additive'!E:E,0)</f>
        <v>0</v>
      </c>
    </row>
    <row r="438" spans="1:18" x14ac:dyDescent="0.25">
      <c r="A438">
        <v>7060</v>
      </c>
      <c r="B438" t="s">
        <v>182</v>
      </c>
      <c r="C438" t="s">
        <v>183</v>
      </c>
      <c r="D438" s="34">
        <v>160304.14000000001</v>
      </c>
      <c r="E438">
        <v>1246232724</v>
      </c>
      <c r="F438" s="30">
        <v>46264</v>
      </c>
      <c r="G438" s="30"/>
      <c r="H438" t="s">
        <v>173</v>
      </c>
      <c r="I438" t="s">
        <v>174</v>
      </c>
      <c r="J438">
        <v>9023</v>
      </c>
      <c r="K438" s="30">
        <v>45894</v>
      </c>
      <c r="L438">
        <v>1010100</v>
      </c>
      <c r="M438" t="s">
        <v>35</v>
      </c>
      <c r="N438">
        <v>56</v>
      </c>
      <c r="O438" t="s">
        <v>162</v>
      </c>
      <c r="P438" t="s">
        <v>182</v>
      </c>
      <c r="Q438">
        <f t="shared" si="8"/>
        <v>-153</v>
      </c>
      <c r="R438">
        <f>_xlfn.XLOOKUP(E438,'Data Additive'!E:E,'Data Additive'!E:E,0)</f>
        <v>0</v>
      </c>
    </row>
    <row r="439" spans="1:18" x14ac:dyDescent="0.25">
      <c r="A439">
        <v>7060</v>
      </c>
      <c r="B439" t="s">
        <v>182</v>
      </c>
      <c r="C439" t="s">
        <v>183</v>
      </c>
      <c r="D439" s="34">
        <v>134992.95999999999</v>
      </c>
      <c r="E439">
        <v>1246233318</v>
      </c>
      <c r="F439" s="30">
        <v>46265</v>
      </c>
      <c r="G439" s="30"/>
      <c r="H439" t="s">
        <v>173</v>
      </c>
      <c r="I439" t="s">
        <v>174</v>
      </c>
      <c r="J439">
        <v>9075</v>
      </c>
      <c r="K439" s="30">
        <v>45896</v>
      </c>
      <c r="L439">
        <v>1010100</v>
      </c>
      <c r="M439" t="s">
        <v>35</v>
      </c>
      <c r="N439">
        <v>56</v>
      </c>
      <c r="O439" t="s">
        <v>162</v>
      </c>
      <c r="P439" t="s">
        <v>182</v>
      </c>
      <c r="Q439">
        <f t="shared" si="8"/>
        <v>-154</v>
      </c>
      <c r="R439">
        <f>_xlfn.XLOOKUP(E439,'Data Additive'!E:E,'Data Additive'!E:E,0)</f>
        <v>0</v>
      </c>
    </row>
    <row r="440" spans="1:18" x14ac:dyDescent="0.25">
      <c r="A440">
        <v>6370</v>
      </c>
      <c r="B440" t="s">
        <v>295</v>
      </c>
      <c r="C440" t="s">
        <v>32</v>
      </c>
      <c r="D440" s="34">
        <v>180607.46</v>
      </c>
      <c r="E440">
        <v>1246267940</v>
      </c>
      <c r="F440" s="30">
        <v>46127</v>
      </c>
      <c r="G440" s="30"/>
      <c r="H440" t="s">
        <v>28</v>
      </c>
      <c r="I440" t="s">
        <v>29</v>
      </c>
      <c r="J440">
        <v>10898</v>
      </c>
      <c r="K440" s="30">
        <v>46097</v>
      </c>
      <c r="L440">
        <v>1010200</v>
      </c>
      <c r="M440" t="s">
        <v>125</v>
      </c>
      <c r="N440">
        <v>40</v>
      </c>
      <c r="O440" t="s">
        <v>171</v>
      </c>
      <c r="P440" t="s">
        <v>295</v>
      </c>
      <c r="Q440">
        <f t="shared" si="8"/>
        <v>-16</v>
      </c>
      <c r="R440">
        <f>_xlfn.XLOOKUP(E440,'Data Additive'!E:E,'Data Additive'!E:E,0)</f>
        <v>0</v>
      </c>
    </row>
    <row r="441" spans="1:18" x14ac:dyDescent="0.25">
      <c r="A441">
        <v>6370</v>
      </c>
      <c r="B441" t="s">
        <v>295</v>
      </c>
      <c r="C441" t="s">
        <v>32</v>
      </c>
      <c r="D441" s="34">
        <v>149433.42000000001</v>
      </c>
      <c r="E441">
        <v>1246265943</v>
      </c>
      <c r="F441" s="30">
        <v>46113</v>
      </c>
      <c r="G441" s="30"/>
      <c r="H441" t="s">
        <v>28</v>
      </c>
      <c r="I441" t="s">
        <v>29</v>
      </c>
      <c r="J441">
        <v>10796</v>
      </c>
      <c r="K441" s="30">
        <v>46083</v>
      </c>
      <c r="L441">
        <v>1010200</v>
      </c>
      <c r="M441" t="s">
        <v>125</v>
      </c>
      <c r="N441">
        <v>40</v>
      </c>
      <c r="O441" t="s">
        <v>171</v>
      </c>
      <c r="P441" t="s">
        <v>295</v>
      </c>
      <c r="Q441">
        <f t="shared" si="8"/>
        <v>-2</v>
      </c>
      <c r="R441">
        <f>_xlfn.XLOOKUP(E441,'Data Additive'!E:E,'Data Additive'!E:E,0)</f>
        <v>0</v>
      </c>
    </row>
    <row r="442" spans="1:18" x14ac:dyDescent="0.25">
      <c r="A442">
        <v>6370</v>
      </c>
      <c r="B442" t="s">
        <v>295</v>
      </c>
      <c r="C442" t="s">
        <v>32</v>
      </c>
      <c r="D442" s="34">
        <v>180350.34</v>
      </c>
      <c r="E442">
        <v>1246268448</v>
      </c>
      <c r="F442" s="30">
        <v>46130</v>
      </c>
      <c r="G442" s="30"/>
      <c r="H442" t="s">
        <v>28</v>
      </c>
      <c r="I442" t="s">
        <v>29</v>
      </c>
      <c r="J442">
        <v>10933</v>
      </c>
      <c r="K442" s="30">
        <v>46100</v>
      </c>
      <c r="L442">
        <v>1010200</v>
      </c>
      <c r="M442" t="s">
        <v>125</v>
      </c>
      <c r="N442">
        <v>40</v>
      </c>
      <c r="O442" t="s">
        <v>171</v>
      </c>
      <c r="P442" t="s">
        <v>295</v>
      </c>
      <c r="Q442">
        <f t="shared" si="8"/>
        <v>-19</v>
      </c>
      <c r="R442">
        <f>_xlfn.XLOOKUP(E442,'Data Additive'!E:E,'Data Additive'!E:E,0)</f>
        <v>0</v>
      </c>
    </row>
    <row r="443" spans="1:18" x14ac:dyDescent="0.25">
      <c r="A443">
        <v>8187</v>
      </c>
      <c r="B443" t="s">
        <v>553</v>
      </c>
      <c r="C443" t="s">
        <v>315</v>
      </c>
      <c r="D443" s="34">
        <v>198973.75</v>
      </c>
      <c r="E443">
        <v>1246234606</v>
      </c>
      <c r="F443" s="30">
        <v>46149</v>
      </c>
      <c r="G443" s="30">
        <v>46114</v>
      </c>
      <c r="H443" t="s">
        <v>173</v>
      </c>
      <c r="I443" t="s">
        <v>174</v>
      </c>
      <c r="J443">
        <v>9156</v>
      </c>
      <c r="K443" s="30">
        <v>45902</v>
      </c>
      <c r="L443">
        <v>1010100</v>
      </c>
      <c r="M443" t="s">
        <v>35</v>
      </c>
      <c r="N443">
        <v>161</v>
      </c>
      <c r="O443" t="s">
        <v>161</v>
      </c>
      <c r="P443" t="s">
        <v>553</v>
      </c>
      <c r="Q443">
        <f t="shared" si="8"/>
        <v>-38</v>
      </c>
      <c r="R443">
        <f>_xlfn.XLOOKUP(E443,'Data Additive'!E:E,'Data Additive'!E:E,0)</f>
        <v>0</v>
      </c>
    </row>
    <row r="444" spans="1:18" x14ac:dyDescent="0.25">
      <c r="A444">
        <v>8187</v>
      </c>
      <c r="B444" t="s">
        <v>553</v>
      </c>
      <c r="C444" t="s">
        <v>315</v>
      </c>
      <c r="D444" s="34">
        <v>185936.97</v>
      </c>
      <c r="E444">
        <v>1246227017</v>
      </c>
      <c r="F444" s="30">
        <v>46142</v>
      </c>
      <c r="G444" s="30">
        <v>46114</v>
      </c>
      <c r="H444" t="s">
        <v>173</v>
      </c>
      <c r="I444" t="s">
        <v>174</v>
      </c>
      <c r="J444">
        <v>8605</v>
      </c>
      <c r="K444" s="30">
        <v>45862</v>
      </c>
      <c r="L444">
        <v>1010100</v>
      </c>
      <c r="M444" t="s">
        <v>35</v>
      </c>
      <c r="N444">
        <v>161</v>
      </c>
      <c r="O444" t="s">
        <v>161</v>
      </c>
      <c r="P444" t="s">
        <v>553</v>
      </c>
      <c r="Q444">
        <f t="shared" si="8"/>
        <v>-31</v>
      </c>
      <c r="R444">
        <f>_xlfn.XLOOKUP(E444,'Data Additive'!E:E,'Data Additive'!E:E,0)</f>
        <v>0</v>
      </c>
    </row>
    <row r="445" spans="1:18" x14ac:dyDescent="0.25">
      <c r="A445">
        <v>8187</v>
      </c>
      <c r="B445" t="s">
        <v>553</v>
      </c>
      <c r="C445" t="s">
        <v>315</v>
      </c>
      <c r="D445" s="34">
        <v>183818.49999999997</v>
      </c>
      <c r="E445">
        <v>1246228356</v>
      </c>
      <c r="F445" s="30">
        <v>46144</v>
      </c>
      <c r="G445" s="30">
        <v>46114</v>
      </c>
      <c r="H445" t="s">
        <v>173</v>
      </c>
      <c r="I445" t="s">
        <v>174</v>
      </c>
      <c r="J445">
        <v>8711</v>
      </c>
      <c r="K445" s="30">
        <v>45869</v>
      </c>
      <c r="L445">
        <v>1010100</v>
      </c>
      <c r="M445" t="s">
        <v>35</v>
      </c>
      <c r="N445">
        <v>161</v>
      </c>
      <c r="O445" t="s">
        <v>161</v>
      </c>
      <c r="P445" t="s">
        <v>553</v>
      </c>
      <c r="Q445">
        <f t="shared" si="8"/>
        <v>-33</v>
      </c>
      <c r="R445">
        <f>_xlfn.XLOOKUP(E445,'Data Additive'!E:E,'Data Additive'!E:E,0)</f>
        <v>0</v>
      </c>
    </row>
    <row r="446" spans="1:18" x14ac:dyDescent="0.25">
      <c r="A446">
        <v>8187</v>
      </c>
      <c r="B446" t="s">
        <v>553</v>
      </c>
      <c r="C446" t="s">
        <v>315</v>
      </c>
      <c r="D446" s="34">
        <v>198973.75</v>
      </c>
      <c r="E446">
        <v>1246233047</v>
      </c>
      <c r="F446" s="30">
        <v>46142</v>
      </c>
      <c r="G446" s="30">
        <v>46114</v>
      </c>
      <c r="H446" t="s">
        <v>173</v>
      </c>
      <c r="I446" t="s">
        <v>174</v>
      </c>
      <c r="J446">
        <v>9050</v>
      </c>
      <c r="K446" s="30">
        <v>45895</v>
      </c>
      <c r="L446">
        <v>1010100</v>
      </c>
      <c r="M446" t="s">
        <v>35</v>
      </c>
      <c r="N446">
        <v>161</v>
      </c>
      <c r="O446" t="s">
        <v>161</v>
      </c>
      <c r="P446" t="s">
        <v>553</v>
      </c>
      <c r="Q446">
        <f t="shared" si="8"/>
        <v>-31</v>
      </c>
      <c r="R446">
        <f>_xlfn.XLOOKUP(E446,'Data Additive'!E:E,'Data Additive'!E:E,0)</f>
        <v>0</v>
      </c>
    </row>
    <row r="447" spans="1:18" x14ac:dyDescent="0.25">
      <c r="A447">
        <v>8187</v>
      </c>
      <c r="B447" t="s">
        <v>553</v>
      </c>
      <c r="C447" t="s">
        <v>315</v>
      </c>
      <c r="D447" s="34">
        <v>185774.02</v>
      </c>
      <c r="E447">
        <v>1246224560</v>
      </c>
      <c r="F447" s="30">
        <v>46139</v>
      </c>
      <c r="G447" s="30">
        <v>46114</v>
      </c>
      <c r="H447" t="s">
        <v>173</v>
      </c>
      <c r="I447" t="s">
        <v>174</v>
      </c>
      <c r="J447">
        <v>8462</v>
      </c>
      <c r="K447" s="30">
        <v>45849</v>
      </c>
      <c r="L447">
        <v>1010100</v>
      </c>
      <c r="M447" t="s">
        <v>35</v>
      </c>
      <c r="N447">
        <v>161</v>
      </c>
      <c r="O447" t="s">
        <v>161</v>
      </c>
      <c r="P447" t="s">
        <v>553</v>
      </c>
      <c r="Q447">
        <f t="shared" si="8"/>
        <v>-28</v>
      </c>
      <c r="R447">
        <f>_xlfn.XLOOKUP(E447,'Data Additive'!E:E,'Data Additive'!E:E,0)</f>
        <v>0</v>
      </c>
    </row>
    <row r="448" spans="1:18" x14ac:dyDescent="0.25">
      <c r="A448">
        <v>8187</v>
      </c>
      <c r="B448" t="s">
        <v>553</v>
      </c>
      <c r="C448" t="s">
        <v>315</v>
      </c>
      <c r="D448" s="34">
        <v>185774.01000000004</v>
      </c>
      <c r="E448">
        <v>1246224750</v>
      </c>
      <c r="F448" s="30">
        <v>46142</v>
      </c>
      <c r="G448" s="30">
        <v>46114</v>
      </c>
      <c r="H448" t="s">
        <v>173</v>
      </c>
      <c r="I448" t="s">
        <v>174</v>
      </c>
      <c r="J448">
        <v>8475</v>
      </c>
      <c r="K448" s="30">
        <v>45852</v>
      </c>
      <c r="L448">
        <v>1010100</v>
      </c>
      <c r="M448" t="s">
        <v>35</v>
      </c>
      <c r="N448">
        <v>161</v>
      </c>
      <c r="O448" t="s">
        <v>161</v>
      </c>
      <c r="P448" t="s">
        <v>553</v>
      </c>
      <c r="Q448">
        <f t="shared" si="8"/>
        <v>-31</v>
      </c>
      <c r="R448">
        <f>_xlfn.XLOOKUP(E448,'Data Additive'!E:E,'Data Additive'!E:E,0)</f>
        <v>0</v>
      </c>
    </row>
    <row r="449" spans="1:18" x14ac:dyDescent="0.25">
      <c r="A449">
        <v>8187</v>
      </c>
      <c r="B449" t="s">
        <v>553</v>
      </c>
      <c r="C449" t="s">
        <v>315</v>
      </c>
      <c r="D449" s="34">
        <v>185774.02</v>
      </c>
      <c r="E449">
        <v>1246224287</v>
      </c>
      <c r="F449" s="30">
        <v>46142</v>
      </c>
      <c r="G449" s="30">
        <v>46114</v>
      </c>
      <c r="H449" t="s">
        <v>173</v>
      </c>
      <c r="I449" t="s">
        <v>174</v>
      </c>
      <c r="J449">
        <v>8443</v>
      </c>
      <c r="K449" s="30">
        <v>45848</v>
      </c>
      <c r="L449">
        <v>1010100</v>
      </c>
      <c r="M449" t="s">
        <v>35</v>
      </c>
      <c r="N449">
        <v>161</v>
      </c>
      <c r="O449" t="s">
        <v>161</v>
      </c>
      <c r="P449" t="s">
        <v>553</v>
      </c>
      <c r="Q449">
        <f t="shared" si="8"/>
        <v>-31</v>
      </c>
      <c r="R449">
        <f>_xlfn.XLOOKUP(E449,'Data Additive'!E:E,'Data Additive'!E:E,0)</f>
        <v>0</v>
      </c>
    </row>
    <row r="450" spans="1:18" x14ac:dyDescent="0.25">
      <c r="A450">
        <v>8187</v>
      </c>
      <c r="B450" t="s">
        <v>553</v>
      </c>
      <c r="C450" t="s">
        <v>315</v>
      </c>
      <c r="D450" s="34">
        <v>185936.97</v>
      </c>
      <c r="E450">
        <v>1246225056</v>
      </c>
      <c r="F450" s="30">
        <v>46143</v>
      </c>
      <c r="G450" s="30">
        <v>46114</v>
      </c>
      <c r="H450" t="s">
        <v>173</v>
      </c>
      <c r="I450" t="s">
        <v>174</v>
      </c>
      <c r="J450">
        <v>8486</v>
      </c>
      <c r="K450" s="30">
        <v>45853</v>
      </c>
      <c r="L450">
        <v>1010100</v>
      </c>
      <c r="M450" t="s">
        <v>35</v>
      </c>
      <c r="N450">
        <v>161</v>
      </c>
      <c r="O450" t="s">
        <v>161</v>
      </c>
      <c r="P450" t="s">
        <v>553</v>
      </c>
      <c r="Q450">
        <f t="shared" si="8"/>
        <v>-32</v>
      </c>
      <c r="R450">
        <f>_xlfn.XLOOKUP(E450,'Data Additive'!E:E,'Data Additive'!E:E,0)</f>
        <v>0</v>
      </c>
    </row>
    <row r="451" spans="1:18" x14ac:dyDescent="0.25">
      <c r="A451">
        <v>8187</v>
      </c>
      <c r="B451" t="s">
        <v>553</v>
      </c>
      <c r="C451" t="s">
        <v>315</v>
      </c>
      <c r="D451" s="34">
        <v>154974.63</v>
      </c>
      <c r="E451">
        <v>1246240535</v>
      </c>
      <c r="F451" s="30">
        <v>46142</v>
      </c>
      <c r="G451" s="30">
        <v>46114</v>
      </c>
      <c r="H451" t="s">
        <v>173</v>
      </c>
      <c r="I451" t="s">
        <v>174</v>
      </c>
      <c r="J451">
        <v>9527</v>
      </c>
      <c r="K451" s="30">
        <v>45930</v>
      </c>
      <c r="L451">
        <v>1010100</v>
      </c>
      <c r="M451" t="s">
        <v>35</v>
      </c>
      <c r="N451">
        <v>161</v>
      </c>
      <c r="O451" t="s">
        <v>161</v>
      </c>
      <c r="P451" t="s">
        <v>553</v>
      </c>
      <c r="Q451">
        <f t="shared" si="8"/>
        <v>-31</v>
      </c>
      <c r="R451">
        <f>_xlfn.XLOOKUP(E451,'Data Additive'!E:E,'Data Additive'!E:E,0)</f>
        <v>0</v>
      </c>
    </row>
    <row r="452" spans="1:18" x14ac:dyDescent="0.25">
      <c r="A452">
        <v>8187</v>
      </c>
      <c r="B452" t="s">
        <v>553</v>
      </c>
      <c r="C452" t="s">
        <v>315</v>
      </c>
      <c r="D452" s="34">
        <v>183818.49999999997</v>
      </c>
      <c r="E452">
        <v>1246228297</v>
      </c>
      <c r="F452" s="30">
        <v>46144</v>
      </c>
      <c r="G452" s="30">
        <v>46114</v>
      </c>
      <c r="H452" t="s">
        <v>173</v>
      </c>
      <c r="I452" t="s">
        <v>174</v>
      </c>
      <c r="J452">
        <v>8696</v>
      </c>
      <c r="K452" s="30">
        <v>45869</v>
      </c>
      <c r="L452">
        <v>1010100</v>
      </c>
      <c r="M452" t="s">
        <v>35</v>
      </c>
      <c r="N452">
        <v>161</v>
      </c>
      <c r="O452" t="s">
        <v>161</v>
      </c>
      <c r="P452" t="s">
        <v>553</v>
      </c>
      <c r="Q452">
        <f t="shared" si="8"/>
        <v>-33</v>
      </c>
      <c r="R452">
        <f>_xlfn.XLOOKUP(E452,'Data Additive'!E:E,'Data Additive'!E:E,0)</f>
        <v>0</v>
      </c>
    </row>
    <row r="453" spans="1:18" x14ac:dyDescent="0.25">
      <c r="A453">
        <v>8187</v>
      </c>
      <c r="B453" t="s">
        <v>553</v>
      </c>
      <c r="C453" t="s">
        <v>315</v>
      </c>
      <c r="D453" s="34">
        <v>183818.49999999997</v>
      </c>
      <c r="E453">
        <v>1246225656</v>
      </c>
      <c r="F453" s="30">
        <v>46145</v>
      </c>
      <c r="G453" s="30">
        <v>46114</v>
      </c>
      <c r="H453" t="s">
        <v>173</v>
      </c>
      <c r="I453" t="s">
        <v>174</v>
      </c>
      <c r="J453">
        <v>8524</v>
      </c>
      <c r="K453" s="30">
        <v>45855</v>
      </c>
      <c r="L453">
        <v>1010100</v>
      </c>
      <c r="M453" t="s">
        <v>35</v>
      </c>
      <c r="N453">
        <v>161</v>
      </c>
      <c r="O453" t="s">
        <v>161</v>
      </c>
      <c r="P453" t="s">
        <v>553</v>
      </c>
      <c r="Q453">
        <f t="shared" si="8"/>
        <v>-34</v>
      </c>
      <c r="R453">
        <f>_xlfn.XLOOKUP(E453,'Data Additive'!E:E,'Data Additive'!E:E,0)</f>
        <v>0</v>
      </c>
    </row>
    <row r="454" spans="1:18" x14ac:dyDescent="0.25">
      <c r="A454">
        <v>9295</v>
      </c>
      <c r="B454" t="s">
        <v>382</v>
      </c>
      <c r="C454" t="s">
        <v>127</v>
      </c>
      <c r="D454" s="34">
        <v>132178.28</v>
      </c>
      <c r="E454">
        <v>1246267425</v>
      </c>
      <c r="F454" s="30">
        <v>46122</v>
      </c>
      <c r="G454" s="30"/>
      <c r="H454" t="s">
        <v>28</v>
      </c>
      <c r="I454" t="s">
        <v>29</v>
      </c>
      <c r="J454">
        <v>10864</v>
      </c>
      <c r="K454" s="30">
        <v>46092</v>
      </c>
      <c r="L454">
        <v>1010200</v>
      </c>
      <c r="M454" t="s">
        <v>125</v>
      </c>
      <c r="N454">
        <v>40</v>
      </c>
      <c r="O454" t="s">
        <v>171</v>
      </c>
      <c r="P454" t="s">
        <v>382</v>
      </c>
      <c r="Q454">
        <f t="shared" si="8"/>
        <v>-11</v>
      </c>
      <c r="R454">
        <f>_xlfn.XLOOKUP(E454,'Data Additive'!E:E,'Data Additive'!E:E,0)</f>
        <v>0</v>
      </c>
    </row>
    <row r="455" spans="1:18" x14ac:dyDescent="0.25">
      <c r="A455">
        <v>9298</v>
      </c>
      <c r="B455" t="s">
        <v>187</v>
      </c>
      <c r="C455" t="s">
        <v>188</v>
      </c>
      <c r="D455" s="34">
        <v>111799</v>
      </c>
      <c r="E455">
        <v>1246070436</v>
      </c>
      <c r="F455" s="30">
        <v>45555</v>
      </c>
      <c r="G455" s="30"/>
      <c r="H455" t="s">
        <v>173</v>
      </c>
      <c r="I455" t="s">
        <v>174</v>
      </c>
      <c r="J455">
        <v>20815</v>
      </c>
      <c r="K455" s="30">
        <v>44991</v>
      </c>
      <c r="L455">
        <v>1010100</v>
      </c>
      <c r="M455" t="s">
        <v>35</v>
      </c>
      <c r="N455">
        <v>161</v>
      </c>
      <c r="O455" t="s">
        <v>161</v>
      </c>
      <c r="P455" t="s">
        <v>187</v>
      </c>
      <c r="Q455">
        <f t="shared" si="8"/>
        <v>556</v>
      </c>
      <c r="R455">
        <f>_xlfn.XLOOKUP(E455,'Data Additive'!E:E,'Data Additive'!E:E,0)</f>
        <v>0</v>
      </c>
    </row>
    <row r="456" spans="1:18" x14ac:dyDescent="0.25">
      <c r="A456">
        <v>9298</v>
      </c>
      <c r="B456" t="s">
        <v>187</v>
      </c>
      <c r="C456" t="s">
        <v>188</v>
      </c>
      <c r="D456" s="34">
        <v>65548</v>
      </c>
      <c r="E456">
        <v>1246070905</v>
      </c>
      <c r="F456" s="30">
        <v>45555</v>
      </c>
      <c r="G456" s="30"/>
      <c r="H456" t="s">
        <v>173</v>
      </c>
      <c r="I456" t="s">
        <v>174</v>
      </c>
      <c r="J456">
        <v>20839</v>
      </c>
      <c r="K456" s="30">
        <v>44994</v>
      </c>
      <c r="L456">
        <v>1010100</v>
      </c>
      <c r="M456" t="s">
        <v>35</v>
      </c>
      <c r="N456">
        <v>161</v>
      </c>
      <c r="O456" t="s">
        <v>161</v>
      </c>
      <c r="P456" t="s">
        <v>187</v>
      </c>
      <c r="Q456">
        <f t="shared" ref="Q456:Q516" si="9">$R$1-F456</f>
        <v>556</v>
      </c>
      <c r="R456">
        <f>_xlfn.XLOOKUP(E456,'Data Additive'!E:E,'Data Additive'!E:E,0)</f>
        <v>0</v>
      </c>
    </row>
    <row r="457" spans="1:18" x14ac:dyDescent="0.25">
      <c r="A457">
        <v>9298</v>
      </c>
      <c r="B457" t="s">
        <v>187</v>
      </c>
      <c r="C457" t="s">
        <v>188</v>
      </c>
      <c r="D457" s="34">
        <v>112475</v>
      </c>
      <c r="E457">
        <v>1246068948</v>
      </c>
      <c r="F457" s="30">
        <v>45555</v>
      </c>
      <c r="G457" s="30"/>
      <c r="H457" t="s">
        <v>173</v>
      </c>
      <c r="I457" t="s">
        <v>174</v>
      </c>
      <c r="J457">
        <v>20763</v>
      </c>
      <c r="K457" s="30">
        <v>44984</v>
      </c>
      <c r="L457">
        <v>1010100</v>
      </c>
      <c r="M457" t="s">
        <v>35</v>
      </c>
      <c r="N457">
        <v>161</v>
      </c>
      <c r="O457" t="s">
        <v>161</v>
      </c>
      <c r="P457" t="s">
        <v>187</v>
      </c>
      <c r="Q457">
        <f t="shared" si="9"/>
        <v>556</v>
      </c>
      <c r="R457">
        <f>_xlfn.XLOOKUP(E457,'Data Additive'!E:E,'Data Additive'!E:E,0)</f>
        <v>0</v>
      </c>
    </row>
    <row r="458" spans="1:18" x14ac:dyDescent="0.25">
      <c r="A458">
        <v>9298</v>
      </c>
      <c r="B458" t="s">
        <v>187</v>
      </c>
      <c r="C458" t="s">
        <v>188</v>
      </c>
      <c r="D458" s="34">
        <v>149824</v>
      </c>
      <c r="E458">
        <v>1246068778</v>
      </c>
      <c r="F458" s="30">
        <v>45555</v>
      </c>
      <c r="G458" s="30"/>
      <c r="H458" t="s">
        <v>173</v>
      </c>
      <c r="I458" t="s">
        <v>174</v>
      </c>
      <c r="J458">
        <v>20750</v>
      </c>
      <c r="K458" s="30">
        <v>44981</v>
      </c>
      <c r="L458">
        <v>1010100</v>
      </c>
      <c r="M458" t="s">
        <v>35</v>
      </c>
      <c r="N458">
        <v>161</v>
      </c>
      <c r="O458" t="s">
        <v>161</v>
      </c>
      <c r="P458" t="s">
        <v>187</v>
      </c>
      <c r="Q458">
        <f t="shared" si="9"/>
        <v>556</v>
      </c>
      <c r="R458">
        <f>_xlfn.XLOOKUP(E458,'Data Additive'!E:E,'Data Additive'!E:E,0)</f>
        <v>0</v>
      </c>
    </row>
    <row r="459" spans="1:18" x14ac:dyDescent="0.25">
      <c r="A459">
        <v>9298</v>
      </c>
      <c r="B459" t="s">
        <v>187</v>
      </c>
      <c r="C459" t="s">
        <v>188</v>
      </c>
      <c r="D459" s="34">
        <v>131203</v>
      </c>
      <c r="E459">
        <v>1246070820</v>
      </c>
      <c r="F459" s="30">
        <v>45555</v>
      </c>
      <c r="G459" s="30"/>
      <c r="H459" t="s">
        <v>173</v>
      </c>
      <c r="I459" t="s">
        <v>174</v>
      </c>
      <c r="J459">
        <v>20836</v>
      </c>
      <c r="K459" s="30">
        <v>44993</v>
      </c>
      <c r="L459">
        <v>1010100</v>
      </c>
      <c r="M459" t="s">
        <v>35</v>
      </c>
      <c r="N459">
        <v>161</v>
      </c>
      <c r="O459" t="s">
        <v>161</v>
      </c>
      <c r="P459" t="s">
        <v>187</v>
      </c>
      <c r="Q459">
        <f t="shared" si="9"/>
        <v>556</v>
      </c>
      <c r="R459">
        <f>_xlfn.XLOOKUP(E459,'Data Additive'!E:E,'Data Additive'!E:E,0)</f>
        <v>0</v>
      </c>
    </row>
    <row r="460" spans="1:18" x14ac:dyDescent="0.25">
      <c r="A460">
        <v>9298</v>
      </c>
      <c r="B460" t="s">
        <v>187</v>
      </c>
      <c r="C460" t="s">
        <v>188</v>
      </c>
      <c r="D460" s="34">
        <v>119356.2</v>
      </c>
      <c r="E460">
        <v>1246068614</v>
      </c>
      <c r="F460" s="30">
        <v>45555</v>
      </c>
      <c r="G460" s="30"/>
      <c r="H460" t="s">
        <v>173</v>
      </c>
      <c r="I460" t="s">
        <v>174</v>
      </c>
      <c r="J460">
        <v>20734</v>
      </c>
      <c r="K460" s="30">
        <v>44980</v>
      </c>
      <c r="L460">
        <v>1010100</v>
      </c>
      <c r="M460" t="s">
        <v>35</v>
      </c>
      <c r="N460">
        <v>161</v>
      </c>
      <c r="O460" t="s">
        <v>161</v>
      </c>
      <c r="P460" t="s">
        <v>187</v>
      </c>
      <c r="Q460">
        <f t="shared" si="9"/>
        <v>556</v>
      </c>
      <c r="R460">
        <f>_xlfn.XLOOKUP(E460,'Data Additive'!E:E,'Data Additive'!E:E,0)</f>
        <v>0</v>
      </c>
    </row>
    <row r="461" spans="1:18" x14ac:dyDescent="0.25">
      <c r="A461">
        <v>9298</v>
      </c>
      <c r="B461" t="s">
        <v>187</v>
      </c>
      <c r="C461" t="s">
        <v>188</v>
      </c>
      <c r="D461" s="34">
        <v>122521</v>
      </c>
      <c r="E461">
        <v>1246068997</v>
      </c>
      <c r="F461" s="30">
        <v>45555</v>
      </c>
      <c r="G461" s="30"/>
      <c r="H461" t="s">
        <v>173</v>
      </c>
      <c r="I461" t="s">
        <v>174</v>
      </c>
      <c r="J461">
        <v>20767</v>
      </c>
      <c r="K461" s="30">
        <v>44984</v>
      </c>
      <c r="L461">
        <v>1010100</v>
      </c>
      <c r="M461" t="s">
        <v>35</v>
      </c>
      <c r="N461">
        <v>161</v>
      </c>
      <c r="O461" t="s">
        <v>161</v>
      </c>
      <c r="P461" t="s">
        <v>187</v>
      </c>
      <c r="Q461">
        <f t="shared" si="9"/>
        <v>556</v>
      </c>
      <c r="R461">
        <f>_xlfn.XLOOKUP(E461,'Data Additive'!E:E,'Data Additive'!E:E,0)</f>
        <v>0</v>
      </c>
    </row>
    <row r="462" spans="1:18" x14ac:dyDescent="0.25">
      <c r="A462">
        <v>9298</v>
      </c>
      <c r="B462" t="s">
        <v>187</v>
      </c>
      <c r="C462" t="s">
        <v>188</v>
      </c>
      <c r="D462" s="34">
        <v>118731.49</v>
      </c>
      <c r="E462">
        <v>1246083500</v>
      </c>
      <c r="F462" s="30">
        <v>45555</v>
      </c>
      <c r="G462" s="30"/>
      <c r="H462" t="s">
        <v>173</v>
      </c>
      <c r="I462" t="s">
        <v>174</v>
      </c>
      <c r="J462">
        <v>21456</v>
      </c>
      <c r="K462" s="30">
        <v>45070</v>
      </c>
      <c r="L462">
        <v>1010100</v>
      </c>
      <c r="M462" t="s">
        <v>35</v>
      </c>
      <c r="N462">
        <v>161</v>
      </c>
      <c r="O462" t="s">
        <v>161</v>
      </c>
      <c r="P462" t="s">
        <v>187</v>
      </c>
      <c r="Q462">
        <f t="shared" si="9"/>
        <v>556</v>
      </c>
      <c r="R462">
        <f>_xlfn.XLOOKUP(E462,'Data Additive'!E:E,'Data Additive'!E:E,0)</f>
        <v>0</v>
      </c>
    </row>
    <row r="463" spans="1:18" x14ac:dyDescent="0.25">
      <c r="A463">
        <v>9298</v>
      </c>
      <c r="B463" t="s">
        <v>187</v>
      </c>
      <c r="C463" t="s">
        <v>188</v>
      </c>
      <c r="D463" s="34">
        <v>52557.4</v>
      </c>
      <c r="E463">
        <v>1246083593</v>
      </c>
      <c r="F463" s="30">
        <v>45555</v>
      </c>
      <c r="G463" s="30"/>
      <c r="H463" t="s">
        <v>173</v>
      </c>
      <c r="I463" t="s">
        <v>174</v>
      </c>
      <c r="J463">
        <v>21460</v>
      </c>
      <c r="K463" s="30">
        <v>45070</v>
      </c>
      <c r="L463">
        <v>1010100</v>
      </c>
      <c r="M463" t="s">
        <v>35</v>
      </c>
      <c r="N463">
        <v>161</v>
      </c>
      <c r="O463" t="s">
        <v>161</v>
      </c>
      <c r="P463" t="s">
        <v>187</v>
      </c>
      <c r="Q463">
        <f t="shared" si="9"/>
        <v>556</v>
      </c>
      <c r="R463">
        <f>_xlfn.XLOOKUP(E463,'Data Additive'!E:E,'Data Additive'!E:E,0)</f>
        <v>0</v>
      </c>
    </row>
    <row r="464" spans="1:18" x14ac:dyDescent="0.25">
      <c r="A464">
        <v>9298</v>
      </c>
      <c r="B464" t="s">
        <v>187</v>
      </c>
      <c r="C464" t="s">
        <v>188</v>
      </c>
      <c r="D464" s="34">
        <v>52557.4</v>
      </c>
      <c r="E464">
        <v>1246083373</v>
      </c>
      <c r="F464" s="30">
        <v>45555</v>
      </c>
      <c r="G464" s="30"/>
      <c r="H464" t="s">
        <v>173</v>
      </c>
      <c r="I464" t="s">
        <v>174</v>
      </c>
      <c r="J464">
        <v>21444</v>
      </c>
      <c r="K464" s="30">
        <v>45069</v>
      </c>
      <c r="L464">
        <v>1010100</v>
      </c>
      <c r="M464" t="s">
        <v>35</v>
      </c>
      <c r="N464">
        <v>161</v>
      </c>
      <c r="O464" t="s">
        <v>161</v>
      </c>
      <c r="P464" t="s">
        <v>187</v>
      </c>
      <c r="Q464">
        <f t="shared" si="9"/>
        <v>556</v>
      </c>
      <c r="R464">
        <f>_xlfn.XLOOKUP(E464,'Data Additive'!E:E,'Data Additive'!E:E,0)</f>
        <v>0</v>
      </c>
    </row>
    <row r="465" spans="1:18" x14ac:dyDescent="0.25">
      <c r="A465">
        <v>9298</v>
      </c>
      <c r="B465" t="s">
        <v>187</v>
      </c>
      <c r="C465" t="s">
        <v>188</v>
      </c>
      <c r="D465" s="34">
        <v>13957.5</v>
      </c>
      <c r="E465">
        <v>1246084673</v>
      </c>
      <c r="F465" s="30">
        <v>45555</v>
      </c>
      <c r="G465" s="30"/>
      <c r="H465" t="s">
        <v>173</v>
      </c>
      <c r="I465" t="s">
        <v>174</v>
      </c>
      <c r="J465">
        <v>21538</v>
      </c>
      <c r="K465" s="30">
        <v>45077</v>
      </c>
      <c r="L465">
        <v>1010100</v>
      </c>
      <c r="M465" t="s">
        <v>35</v>
      </c>
      <c r="N465">
        <v>161</v>
      </c>
      <c r="O465" t="s">
        <v>161</v>
      </c>
      <c r="P465" t="s">
        <v>187</v>
      </c>
      <c r="Q465">
        <f t="shared" si="9"/>
        <v>556</v>
      </c>
      <c r="R465">
        <f>_xlfn.XLOOKUP(E465,'Data Additive'!E:E,'Data Additive'!E:E,0)</f>
        <v>0</v>
      </c>
    </row>
    <row r="466" spans="1:18" x14ac:dyDescent="0.25">
      <c r="A466">
        <v>9298</v>
      </c>
      <c r="B466" t="s">
        <v>187</v>
      </c>
      <c r="C466" t="s">
        <v>188</v>
      </c>
      <c r="D466" s="34">
        <v>40756.75</v>
      </c>
      <c r="E466">
        <v>1246084671</v>
      </c>
      <c r="F466" s="30">
        <v>45555</v>
      </c>
      <c r="G466" s="30"/>
      <c r="H466" t="s">
        <v>173</v>
      </c>
      <c r="I466" t="s">
        <v>174</v>
      </c>
      <c r="J466">
        <v>21537</v>
      </c>
      <c r="K466" s="30">
        <v>45077</v>
      </c>
      <c r="L466">
        <v>1010100</v>
      </c>
      <c r="M466" t="s">
        <v>35</v>
      </c>
      <c r="N466">
        <v>161</v>
      </c>
      <c r="O466" t="s">
        <v>161</v>
      </c>
      <c r="P466" t="s">
        <v>187</v>
      </c>
      <c r="Q466">
        <f t="shared" si="9"/>
        <v>556</v>
      </c>
      <c r="R466">
        <f>_xlfn.XLOOKUP(E466,'Data Additive'!E:E,'Data Additive'!E:E,0)</f>
        <v>0</v>
      </c>
    </row>
    <row r="467" spans="1:18" x14ac:dyDescent="0.25">
      <c r="A467">
        <v>9298</v>
      </c>
      <c r="B467" t="s">
        <v>187</v>
      </c>
      <c r="C467" t="s">
        <v>188</v>
      </c>
      <c r="D467" s="34">
        <v>13238.05</v>
      </c>
      <c r="E467">
        <v>1246088994</v>
      </c>
      <c r="F467" s="30">
        <v>45555</v>
      </c>
      <c r="G467" s="30"/>
      <c r="H467" t="s">
        <v>173</v>
      </c>
      <c r="I467" t="s">
        <v>174</v>
      </c>
      <c r="J467">
        <v>20723</v>
      </c>
      <c r="K467" s="30">
        <v>44979</v>
      </c>
      <c r="L467">
        <v>1010100</v>
      </c>
      <c r="M467" t="s">
        <v>35</v>
      </c>
      <c r="N467">
        <v>161</v>
      </c>
      <c r="O467" t="s">
        <v>161</v>
      </c>
      <c r="P467" t="s">
        <v>187</v>
      </c>
      <c r="Q467">
        <f t="shared" si="9"/>
        <v>556</v>
      </c>
      <c r="R467">
        <f>_xlfn.XLOOKUP(E467,'Data Additive'!E:E,'Data Additive'!E:E,0)</f>
        <v>0</v>
      </c>
    </row>
    <row r="468" spans="1:18" x14ac:dyDescent="0.25">
      <c r="A468">
        <v>9298</v>
      </c>
      <c r="B468" t="s">
        <v>187</v>
      </c>
      <c r="C468" t="s">
        <v>188</v>
      </c>
      <c r="D468" s="34">
        <v>118788.8</v>
      </c>
      <c r="E468">
        <v>1246099199</v>
      </c>
      <c r="F468" s="30">
        <v>45562</v>
      </c>
      <c r="G468" s="30"/>
      <c r="H468" t="s">
        <v>173</v>
      </c>
      <c r="I468" t="s">
        <v>174</v>
      </c>
      <c r="J468">
        <v>768</v>
      </c>
      <c r="K468" s="30">
        <v>45159</v>
      </c>
      <c r="L468">
        <v>1010100</v>
      </c>
      <c r="M468" t="s">
        <v>35</v>
      </c>
      <c r="N468">
        <v>161</v>
      </c>
      <c r="O468" t="s">
        <v>161</v>
      </c>
      <c r="P468" t="s">
        <v>187</v>
      </c>
      <c r="Q468">
        <f t="shared" si="9"/>
        <v>549</v>
      </c>
      <c r="R468">
        <f>_xlfn.XLOOKUP(E468,'Data Additive'!E:E,'Data Additive'!E:E,0)</f>
        <v>0</v>
      </c>
    </row>
    <row r="469" spans="1:18" x14ac:dyDescent="0.25">
      <c r="A469">
        <v>9298</v>
      </c>
      <c r="B469" t="s">
        <v>187</v>
      </c>
      <c r="C469" t="s">
        <v>188</v>
      </c>
      <c r="D469" s="34">
        <v>118788.8</v>
      </c>
      <c r="E469">
        <v>1246099294</v>
      </c>
      <c r="F469" s="30">
        <v>45562</v>
      </c>
      <c r="G469" s="30"/>
      <c r="H469" t="s">
        <v>173</v>
      </c>
      <c r="I469" t="s">
        <v>174</v>
      </c>
      <c r="J469">
        <v>777</v>
      </c>
      <c r="K469" s="30">
        <v>45159</v>
      </c>
      <c r="L469">
        <v>1010100</v>
      </c>
      <c r="M469" t="s">
        <v>35</v>
      </c>
      <c r="N469">
        <v>161</v>
      </c>
      <c r="O469" t="s">
        <v>161</v>
      </c>
      <c r="P469" t="s">
        <v>187</v>
      </c>
      <c r="Q469">
        <f t="shared" si="9"/>
        <v>549</v>
      </c>
      <c r="R469">
        <f>_xlfn.XLOOKUP(E469,'Data Additive'!E:E,'Data Additive'!E:E,0)</f>
        <v>0</v>
      </c>
    </row>
    <row r="470" spans="1:18" x14ac:dyDescent="0.25">
      <c r="A470">
        <v>9298</v>
      </c>
      <c r="B470" t="s">
        <v>187</v>
      </c>
      <c r="C470" t="s">
        <v>188</v>
      </c>
      <c r="D470" s="34">
        <v>148492.1</v>
      </c>
      <c r="E470">
        <v>1246105304</v>
      </c>
      <c r="F470" s="30">
        <v>45555</v>
      </c>
      <c r="G470" s="30"/>
      <c r="H470" t="s">
        <v>173</v>
      </c>
      <c r="I470" t="s">
        <v>174</v>
      </c>
      <c r="J470">
        <v>1270</v>
      </c>
      <c r="K470" s="30">
        <v>45190</v>
      </c>
      <c r="L470">
        <v>1010100</v>
      </c>
      <c r="M470" t="s">
        <v>35</v>
      </c>
      <c r="N470">
        <v>161</v>
      </c>
      <c r="O470" t="s">
        <v>161</v>
      </c>
      <c r="P470" t="s">
        <v>187</v>
      </c>
      <c r="Q470">
        <f t="shared" si="9"/>
        <v>556</v>
      </c>
      <c r="R470">
        <f>_xlfn.XLOOKUP(E470,'Data Additive'!E:E,'Data Additive'!E:E,0)</f>
        <v>0</v>
      </c>
    </row>
    <row r="471" spans="1:18" x14ac:dyDescent="0.25">
      <c r="A471">
        <v>9298</v>
      </c>
      <c r="B471" t="s">
        <v>187</v>
      </c>
      <c r="C471" t="s">
        <v>188</v>
      </c>
      <c r="D471" s="34">
        <v>79894</v>
      </c>
      <c r="E471">
        <v>1246114860</v>
      </c>
      <c r="F471" s="30">
        <v>45555</v>
      </c>
      <c r="G471" s="30"/>
      <c r="H471" t="s">
        <v>173</v>
      </c>
      <c r="I471" t="s">
        <v>174</v>
      </c>
      <c r="J471">
        <v>1951</v>
      </c>
      <c r="K471" s="30">
        <v>45243</v>
      </c>
      <c r="L471">
        <v>1010100</v>
      </c>
      <c r="M471" t="s">
        <v>35</v>
      </c>
      <c r="N471">
        <v>161</v>
      </c>
      <c r="O471" t="s">
        <v>161</v>
      </c>
      <c r="P471" t="s">
        <v>187</v>
      </c>
      <c r="Q471">
        <f t="shared" si="9"/>
        <v>556</v>
      </c>
      <c r="R471">
        <f>_xlfn.XLOOKUP(E471,'Data Additive'!E:E,'Data Additive'!E:E,0)</f>
        <v>0</v>
      </c>
    </row>
    <row r="472" spans="1:18" x14ac:dyDescent="0.25">
      <c r="A472">
        <v>9298</v>
      </c>
      <c r="B472" t="s">
        <v>187</v>
      </c>
      <c r="C472" t="s">
        <v>188</v>
      </c>
      <c r="D472" s="34">
        <v>123567.8</v>
      </c>
      <c r="E472">
        <v>1246103672</v>
      </c>
      <c r="F472" s="30">
        <v>45567</v>
      </c>
      <c r="G472" s="30"/>
      <c r="H472" t="s">
        <v>173</v>
      </c>
      <c r="I472" t="s">
        <v>174</v>
      </c>
      <c r="J472">
        <v>1150</v>
      </c>
      <c r="K472" s="30">
        <v>45182</v>
      </c>
      <c r="L472">
        <v>1010100</v>
      </c>
      <c r="M472" t="s">
        <v>35</v>
      </c>
      <c r="N472">
        <v>161</v>
      </c>
      <c r="O472" t="s">
        <v>161</v>
      </c>
      <c r="P472" t="s">
        <v>187</v>
      </c>
      <c r="Q472">
        <f t="shared" si="9"/>
        <v>544</v>
      </c>
      <c r="R472">
        <f>_xlfn.XLOOKUP(E472,'Data Additive'!E:E,'Data Additive'!E:E,0)</f>
        <v>0</v>
      </c>
    </row>
    <row r="473" spans="1:18" x14ac:dyDescent="0.25">
      <c r="A473">
        <v>9298</v>
      </c>
      <c r="B473" t="s">
        <v>187</v>
      </c>
      <c r="C473" t="s">
        <v>188</v>
      </c>
      <c r="D473" s="34">
        <v>113355.6</v>
      </c>
      <c r="E473">
        <v>1246116199</v>
      </c>
      <c r="F473" s="30">
        <v>45561</v>
      </c>
      <c r="G473" s="30"/>
      <c r="H473" t="s">
        <v>173</v>
      </c>
      <c r="I473" t="s">
        <v>174</v>
      </c>
      <c r="J473">
        <v>2054</v>
      </c>
      <c r="K473" s="30">
        <v>45252</v>
      </c>
      <c r="L473">
        <v>1010100</v>
      </c>
      <c r="M473" t="s">
        <v>35</v>
      </c>
      <c r="N473">
        <v>161</v>
      </c>
      <c r="O473" t="s">
        <v>161</v>
      </c>
      <c r="P473" t="s">
        <v>187</v>
      </c>
      <c r="Q473">
        <f t="shared" si="9"/>
        <v>550</v>
      </c>
      <c r="R473">
        <f>_xlfn.XLOOKUP(E473,'Data Additive'!E:E,'Data Additive'!E:E,0)</f>
        <v>0</v>
      </c>
    </row>
    <row r="474" spans="1:18" x14ac:dyDescent="0.25">
      <c r="A474">
        <v>9298</v>
      </c>
      <c r="B474" t="s">
        <v>187</v>
      </c>
      <c r="C474" t="s">
        <v>188</v>
      </c>
      <c r="D474" s="34">
        <v>143583.76</v>
      </c>
      <c r="E474">
        <v>1246106222</v>
      </c>
      <c r="F474" s="30">
        <v>45560</v>
      </c>
      <c r="G474" s="30"/>
      <c r="H474" t="s">
        <v>173</v>
      </c>
      <c r="I474" t="s">
        <v>174</v>
      </c>
      <c r="J474">
        <v>1341</v>
      </c>
      <c r="K474" s="30">
        <v>45195</v>
      </c>
      <c r="L474">
        <v>1010100</v>
      </c>
      <c r="M474" t="s">
        <v>35</v>
      </c>
      <c r="N474">
        <v>161</v>
      </c>
      <c r="O474" t="s">
        <v>161</v>
      </c>
      <c r="P474" t="s">
        <v>187</v>
      </c>
      <c r="Q474">
        <f t="shared" si="9"/>
        <v>551</v>
      </c>
      <c r="R474">
        <f>_xlfn.XLOOKUP(E474,'Data Additive'!E:E,'Data Additive'!E:E,0)</f>
        <v>0</v>
      </c>
    </row>
    <row r="475" spans="1:18" x14ac:dyDescent="0.25">
      <c r="A475">
        <v>9298</v>
      </c>
      <c r="B475" t="s">
        <v>187</v>
      </c>
      <c r="C475" t="s">
        <v>188</v>
      </c>
      <c r="D475" s="34">
        <v>55612.2</v>
      </c>
      <c r="E475">
        <v>1246104999</v>
      </c>
      <c r="F475" s="30">
        <v>45555</v>
      </c>
      <c r="G475" s="30"/>
      <c r="H475" t="s">
        <v>173</v>
      </c>
      <c r="I475" t="s">
        <v>174</v>
      </c>
      <c r="J475">
        <v>1249</v>
      </c>
      <c r="K475" s="30">
        <v>45189</v>
      </c>
      <c r="L475">
        <v>1010100</v>
      </c>
      <c r="M475" t="s">
        <v>35</v>
      </c>
      <c r="N475">
        <v>161</v>
      </c>
      <c r="O475" t="s">
        <v>161</v>
      </c>
      <c r="P475" t="s">
        <v>187</v>
      </c>
      <c r="Q475">
        <f t="shared" si="9"/>
        <v>556</v>
      </c>
      <c r="R475">
        <f>_xlfn.XLOOKUP(E475,'Data Additive'!E:E,'Data Additive'!E:E,0)</f>
        <v>0</v>
      </c>
    </row>
    <row r="476" spans="1:18" x14ac:dyDescent="0.25">
      <c r="A476">
        <v>9298</v>
      </c>
      <c r="B476" t="s">
        <v>187</v>
      </c>
      <c r="C476" t="s">
        <v>188</v>
      </c>
      <c r="D476" s="34">
        <v>64234.84</v>
      </c>
      <c r="E476">
        <v>1246115394</v>
      </c>
      <c r="F476" s="30">
        <v>45555</v>
      </c>
      <c r="G476" s="30"/>
      <c r="H476" t="s">
        <v>173</v>
      </c>
      <c r="I476" t="s">
        <v>174</v>
      </c>
      <c r="J476">
        <v>1991</v>
      </c>
      <c r="K476" s="30">
        <v>45246</v>
      </c>
      <c r="L476">
        <v>1010100</v>
      </c>
      <c r="M476" t="s">
        <v>35</v>
      </c>
      <c r="N476">
        <v>161</v>
      </c>
      <c r="O476" t="s">
        <v>161</v>
      </c>
      <c r="P476" t="s">
        <v>187</v>
      </c>
      <c r="Q476">
        <f t="shared" si="9"/>
        <v>556</v>
      </c>
      <c r="R476">
        <f>_xlfn.XLOOKUP(E476,'Data Additive'!E:E,'Data Additive'!E:E,0)</f>
        <v>0</v>
      </c>
    </row>
    <row r="477" spans="1:18" x14ac:dyDescent="0.25">
      <c r="A477">
        <v>9298</v>
      </c>
      <c r="B477" t="s">
        <v>187</v>
      </c>
      <c r="C477" t="s">
        <v>188</v>
      </c>
      <c r="D477" s="34">
        <v>54534.2</v>
      </c>
      <c r="E477">
        <v>1246115392</v>
      </c>
      <c r="F477" s="30">
        <v>45555</v>
      </c>
      <c r="G477" s="30"/>
      <c r="H477" t="s">
        <v>173</v>
      </c>
      <c r="I477" t="s">
        <v>174</v>
      </c>
      <c r="J477">
        <v>1990</v>
      </c>
      <c r="K477" s="30">
        <v>45246</v>
      </c>
      <c r="L477">
        <v>1010100</v>
      </c>
      <c r="M477" t="s">
        <v>35</v>
      </c>
      <c r="N477">
        <v>161</v>
      </c>
      <c r="O477" t="s">
        <v>161</v>
      </c>
      <c r="P477" t="s">
        <v>187</v>
      </c>
      <c r="Q477">
        <f t="shared" si="9"/>
        <v>556</v>
      </c>
      <c r="R477">
        <f>_xlfn.XLOOKUP(E477,'Data Additive'!E:E,'Data Additive'!E:E,0)</f>
        <v>0</v>
      </c>
    </row>
    <row r="478" spans="1:18" x14ac:dyDescent="0.25">
      <c r="A478">
        <v>9298</v>
      </c>
      <c r="B478" t="s">
        <v>187</v>
      </c>
      <c r="C478" t="s">
        <v>188</v>
      </c>
      <c r="D478" s="34">
        <v>139293.64000000001</v>
      </c>
      <c r="E478">
        <v>1246105902</v>
      </c>
      <c r="F478" s="30">
        <v>45559</v>
      </c>
      <c r="G478" s="30"/>
      <c r="H478" t="s">
        <v>173</v>
      </c>
      <c r="I478" t="s">
        <v>174</v>
      </c>
      <c r="J478">
        <v>1319</v>
      </c>
      <c r="K478" s="30">
        <v>45194</v>
      </c>
      <c r="L478">
        <v>1010100</v>
      </c>
      <c r="M478" t="s">
        <v>35</v>
      </c>
      <c r="N478">
        <v>161</v>
      </c>
      <c r="O478" t="s">
        <v>161</v>
      </c>
      <c r="P478" t="s">
        <v>187</v>
      </c>
      <c r="Q478">
        <f t="shared" si="9"/>
        <v>552</v>
      </c>
      <c r="R478">
        <f>_xlfn.XLOOKUP(E478,'Data Additive'!E:E,'Data Additive'!E:E,0)</f>
        <v>0</v>
      </c>
    </row>
    <row r="479" spans="1:18" x14ac:dyDescent="0.25">
      <c r="A479">
        <v>9298</v>
      </c>
      <c r="B479" t="s">
        <v>187</v>
      </c>
      <c r="C479" t="s">
        <v>188</v>
      </c>
      <c r="D479" s="34">
        <v>68013.36</v>
      </c>
      <c r="E479">
        <v>1246114866</v>
      </c>
      <c r="F479" s="30">
        <v>45555</v>
      </c>
      <c r="G479" s="30"/>
      <c r="H479" t="s">
        <v>173</v>
      </c>
      <c r="I479" t="s">
        <v>174</v>
      </c>
      <c r="J479">
        <v>1952</v>
      </c>
      <c r="K479" s="30">
        <v>45243</v>
      </c>
      <c r="L479">
        <v>1010100</v>
      </c>
      <c r="M479" t="s">
        <v>35</v>
      </c>
      <c r="N479">
        <v>161</v>
      </c>
      <c r="O479" t="s">
        <v>161</v>
      </c>
      <c r="P479" t="s">
        <v>187</v>
      </c>
      <c r="Q479">
        <f t="shared" si="9"/>
        <v>556</v>
      </c>
      <c r="R479">
        <f>_xlfn.XLOOKUP(E479,'Data Additive'!E:E,'Data Additive'!E:E,0)</f>
        <v>0</v>
      </c>
    </row>
    <row r="480" spans="1:18" x14ac:dyDescent="0.25">
      <c r="A480">
        <v>9298</v>
      </c>
      <c r="B480" t="s">
        <v>187</v>
      </c>
      <c r="C480" t="s">
        <v>188</v>
      </c>
      <c r="D480" s="34">
        <v>55611.199999999997</v>
      </c>
      <c r="E480">
        <v>1246167304</v>
      </c>
      <c r="F480" s="30">
        <v>45555</v>
      </c>
      <c r="G480" s="30"/>
      <c r="H480" t="s">
        <v>173</v>
      </c>
      <c r="I480" t="s">
        <v>174</v>
      </c>
      <c r="J480">
        <v>1244</v>
      </c>
      <c r="K480" s="30">
        <v>45189</v>
      </c>
      <c r="L480">
        <v>1010100</v>
      </c>
      <c r="M480" t="s">
        <v>35</v>
      </c>
      <c r="N480">
        <v>161</v>
      </c>
      <c r="O480" t="s">
        <v>161</v>
      </c>
      <c r="P480" t="s">
        <v>187</v>
      </c>
      <c r="Q480">
        <f t="shared" si="9"/>
        <v>556</v>
      </c>
      <c r="R480">
        <f>_xlfn.XLOOKUP(E480,'Data Additive'!E:E,'Data Additive'!E:E,0)</f>
        <v>0</v>
      </c>
    </row>
    <row r="481" spans="1:18" x14ac:dyDescent="0.25">
      <c r="A481">
        <v>9298</v>
      </c>
      <c r="B481" t="s">
        <v>187</v>
      </c>
      <c r="C481" t="s">
        <v>188</v>
      </c>
      <c r="D481" s="34">
        <v>104546.96</v>
      </c>
      <c r="E481">
        <v>1246244742</v>
      </c>
      <c r="F481" s="30">
        <v>45555</v>
      </c>
      <c r="G481" s="30"/>
      <c r="H481" t="s">
        <v>173</v>
      </c>
      <c r="I481" t="s">
        <v>174</v>
      </c>
      <c r="J481">
        <v>20726</v>
      </c>
      <c r="K481" s="30">
        <v>44979</v>
      </c>
      <c r="L481">
        <v>1010100</v>
      </c>
      <c r="M481" t="s">
        <v>35</v>
      </c>
      <c r="N481">
        <v>161</v>
      </c>
      <c r="O481" t="s">
        <v>161</v>
      </c>
      <c r="P481" t="s">
        <v>187</v>
      </c>
      <c r="Q481">
        <f t="shared" si="9"/>
        <v>556</v>
      </c>
      <c r="R481">
        <f>_xlfn.XLOOKUP(E481,'Data Additive'!E:E,'Data Additive'!E:E,0)</f>
        <v>0</v>
      </c>
    </row>
    <row r="482" spans="1:18" x14ac:dyDescent="0.25">
      <c r="A482">
        <v>9355</v>
      </c>
      <c r="B482" t="s">
        <v>337</v>
      </c>
      <c r="C482" t="s">
        <v>31</v>
      </c>
      <c r="D482" s="34">
        <v>604265.81999999983</v>
      </c>
      <c r="E482">
        <v>1246264749</v>
      </c>
      <c r="F482" s="30">
        <v>46177</v>
      </c>
      <c r="G482" s="30"/>
      <c r="H482" t="s">
        <v>28</v>
      </c>
      <c r="I482" t="s">
        <v>29</v>
      </c>
      <c r="J482">
        <v>2768</v>
      </c>
      <c r="K482" s="30">
        <v>46077</v>
      </c>
      <c r="L482">
        <v>1010200</v>
      </c>
      <c r="M482" t="s">
        <v>125</v>
      </c>
      <c r="N482">
        <v>40</v>
      </c>
      <c r="O482" t="s">
        <v>171</v>
      </c>
      <c r="P482" t="s">
        <v>337</v>
      </c>
      <c r="Q482">
        <f t="shared" si="9"/>
        <v>-66</v>
      </c>
      <c r="R482">
        <f>_xlfn.XLOOKUP(E482,'Data Additive'!E:E,'Data Additive'!E:E,0)</f>
        <v>0</v>
      </c>
    </row>
    <row r="483" spans="1:18" x14ac:dyDescent="0.25">
      <c r="A483">
        <v>9355</v>
      </c>
      <c r="B483" t="s">
        <v>337</v>
      </c>
      <c r="C483" t="s">
        <v>31</v>
      </c>
      <c r="D483" s="34">
        <v>1191855.2599999998</v>
      </c>
      <c r="E483">
        <v>1246265046</v>
      </c>
      <c r="F483" s="30">
        <v>46180</v>
      </c>
      <c r="G483" s="30"/>
      <c r="H483" t="s">
        <v>28</v>
      </c>
      <c r="I483" t="s">
        <v>29</v>
      </c>
      <c r="J483">
        <v>10762</v>
      </c>
      <c r="K483" s="30">
        <v>46078</v>
      </c>
      <c r="L483">
        <v>1010200</v>
      </c>
      <c r="M483" t="s">
        <v>125</v>
      </c>
      <c r="N483">
        <v>40</v>
      </c>
      <c r="O483" t="s">
        <v>171</v>
      </c>
      <c r="P483" t="s">
        <v>337</v>
      </c>
      <c r="Q483">
        <f t="shared" si="9"/>
        <v>-69</v>
      </c>
      <c r="R483">
        <f>_xlfn.XLOOKUP(E483,'Data Additive'!E:E,'Data Additive'!E:E,0)</f>
        <v>0</v>
      </c>
    </row>
    <row r="484" spans="1:18" x14ac:dyDescent="0.25">
      <c r="A484">
        <v>9355</v>
      </c>
      <c r="B484" t="s">
        <v>337</v>
      </c>
      <c r="C484" t="s">
        <v>31</v>
      </c>
      <c r="D484" s="34">
        <v>292178.84000000003</v>
      </c>
      <c r="E484">
        <v>1246264769</v>
      </c>
      <c r="F484" s="30">
        <v>46180</v>
      </c>
      <c r="G484" s="30"/>
      <c r="H484" t="s">
        <v>28</v>
      </c>
      <c r="I484" t="s">
        <v>29</v>
      </c>
      <c r="J484">
        <v>10753</v>
      </c>
      <c r="K484" s="30">
        <v>46077</v>
      </c>
      <c r="L484">
        <v>1010200</v>
      </c>
      <c r="M484" t="s">
        <v>125</v>
      </c>
      <c r="N484">
        <v>40</v>
      </c>
      <c r="O484" t="s">
        <v>171</v>
      </c>
      <c r="P484" t="s">
        <v>337</v>
      </c>
      <c r="Q484">
        <f t="shared" si="9"/>
        <v>-69</v>
      </c>
      <c r="R484">
        <f>_xlfn.XLOOKUP(E484,'Data Additive'!E:E,'Data Additive'!E:E,0)</f>
        <v>0</v>
      </c>
    </row>
    <row r="485" spans="1:18" x14ac:dyDescent="0.25">
      <c r="A485">
        <v>9355</v>
      </c>
      <c r="B485" t="s">
        <v>337</v>
      </c>
      <c r="C485" t="s">
        <v>31</v>
      </c>
      <c r="D485" s="34">
        <v>1191855.2599999998</v>
      </c>
      <c r="E485">
        <v>1246265200</v>
      </c>
      <c r="F485" s="30">
        <v>46177</v>
      </c>
      <c r="G485" s="30"/>
      <c r="H485" t="s">
        <v>28</v>
      </c>
      <c r="I485" t="s">
        <v>29</v>
      </c>
      <c r="J485">
        <v>2778</v>
      </c>
      <c r="K485" s="30">
        <v>46078</v>
      </c>
      <c r="L485">
        <v>1010200</v>
      </c>
      <c r="M485" t="s">
        <v>125</v>
      </c>
      <c r="N485">
        <v>40</v>
      </c>
      <c r="O485" t="s">
        <v>171</v>
      </c>
      <c r="P485" t="s">
        <v>337</v>
      </c>
      <c r="Q485">
        <f t="shared" si="9"/>
        <v>-66</v>
      </c>
      <c r="R485">
        <f>_xlfn.XLOOKUP(E485,'Data Additive'!E:E,'Data Additive'!E:E,0)</f>
        <v>0</v>
      </c>
    </row>
    <row r="486" spans="1:18" x14ac:dyDescent="0.25">
      <c r="A486">
        <v>9830</v>
      </c>
      <c r="B486" t="s">
        <v>877</v>
      </c>
      <c r="C486" t="s">
        <v>878</v>
      </c>
      <c r="D486" s="34">
        <v>331</v>
      </c>
      <c r="E486">
        <v>1246266367</v>
      </c>
      <c r="F486" s="30">
        <v>46145</v>
      </c>
      <c r="G486" s="30"/>
      <c r="I486" t="s">
        <v>373</v>
      </c>
      <c r="J486">
        <v>10813</v>
      </c>
      <c r="K486" s="30">
        <v>46085</v>
      </c>
      <c r="L486">
        <v>4011600</v>
      </c>
      <c r="M486" t="s">
        <v>702</v>
      </c>
      <c r="N486">
        <v>244</v>
      </c>
      <c r="O486" t="s">
        <v>191</v>
      </c>
      <c r="P486" t="s">
        <v>877</v>
      </c>
      <c r="Q486">
        <f t="shared" si="9"/>
        <v>-34</v>
      </c>
      <c r="R486">
        <f>_xlfn.XLOOKUP(E486,'Data Additive'!E:E,'Data Additive'!E:E,0)</f>
        <v>1246266367</v>
      </c>
    </row>
    <row r="487" spans="1:18" x14ac:dyDescent="0.25">
      <c r="A487">
        <v>9830</v>
      </c>
      <c r="B487" t="s">
        <v>877</v>
      </c>
      <c r="C487" t="s">
        <v>878</v>
      </c>
      <c r="D487" s="34">
        <v>331</v>
      </c>
      <c r="E487">
        <v>1246266368</v>
      </c>
      <c r="F487" s="30">
        <v>46175</v>
      </c>
      <c r="G487" s="30"/>
      <c r="I487" t="s">
        <v>373</v>
      </c>
      <c r="J487">
        <v>10813</v>
      </c>
      <c r="K487" s="30">
        <v>46085</v>
      </c>
      <c r="L487">
        <v>4011600</v>
      </c>
      <c r="M487" t="s">
        <v>702</v>
      </c>
      <c r="N487">
        <v>244</v>
      </c>
      <c r="O487" t="s">
        <v>191</v>
      </c>
      <c r="P487" t="s">
        <v>877</v>
      </c>
      <c r="Q487">
        <f t="shared" si="9"/>
        <v>-64</v>
      </c>
      <c r="R487">
        <f>_xlfn.XLOOKUP(E487,'Data Additive'!E:E,'Data Additive'!E:E,0)</f>
        <v>1246266368</v>
      </c>
    </row>
    <row r="488" spans="1:18" x14ac:dyDescent="0.25">
      <c r="A488">
        <v>10413</v>
      </c>
      <c r="B488" t="s">
        <v>296</v>
      </c>
      <c r="C488" t="s">
        <v>848</v>
      </c>
      <c r="D488" s="34">
        <v>74021.399999999994</v>
      </c>
      <c r="E488">
        <v>1246268581</v>
      </c>
      <c r="F488" s="30">
        <v>46127</v>
      </c>
      <c r="G488" s="30"/>
      <c r="H488" t="s">
        <v>28</v>
      </c>
      <c r="I488" t="s">
        <v>29</v>
      </c>
      <c r="J488">
        <v>10950</v>
      </c>
      <c r="K488" s="30">
        <v>46101</v>
      </c>
      <c r="L488">
        <v>1010100</v>
      </c>
      <c r="M488" t="s">
        <v>35</v>
      </c>
      <c r="N488">
        <v>56</v>
      </c>
      <c r="O488" t="s">
        <v>162</v>
      </c>
      <c r="P488" t="s">
        <v>296</v>
      </c>
      <c r="Q488">
        <f t="shared" si="9"/>
        <v>-16</v>
      </c>
      <c r="R488">
        <f>_xlfn.XLOOKUP(E488,'Data Additive'!E:E,'Data Additive'!E:E,0)</f>
        <v>1246268581</v>
      </c>
    </row>
    <row r="489" spans="1:18" x14ac:dyDescent="0.25">
      <c r="A489">
        <v>11768</v>
      </c>
      <c r="B489" t="s">
        <v>305</v>
      </c>
      <c r="C489" t="s">
        <v>31</v>
      </c>
      <c r="D489" s="34">
        <v>86689.1</v>
      </c>
      <c r="E489">
        <v>1246264534</v>
      </c>
      <c r="F489" s="30">
        <v>46136</v>
      </c>
      <c r="G489" s="30"/>
      <c r="H489" t="s">
        <v>28</v>
      </c>
      <c r="I489" t="s">
        <v>29</v>
      </c>
      <c r="J489">
        <v>10744</v>
      </c>
      <c r="K489" s="30">
        <v>46076</v>
      </c>
      <c r="L489">
        <v>1010200</v>
      </c>
      <c r="M489" t="s">
        <v>125</v>
      </c>
      <c r="N489">
        <v>40</v>
      </c>
      <c r="O489" t="s">
        <v>171</v>
      </c>
      <c r="P489" t="s">
        <v>305</v>
      </c>
      <c r="Q489">
        <f t="shared" si="9"/>
        <v>-25</v>
      </c>
      <c r="R489">
        <f>_xlfn.XLOOKUP(E489,'Data Additive'!E:E,'Data Additive'!E:E,0)</f>
        <v>0</v>
      </c>
    </row>
    <row r="490" spans="1:18" x14ac:dyDescent="0.25">
      <c r="A490">
        <v>11770</v>
      </c>
      <c r="B490" t="s">
        <v>438</v>
      </c>
      <c r="C490" t="s">
        <v>31</v>
      </c>
      <c r="D490" s="34">
        <v>14548.35</v>
      </c>
      <c r="E490">
        <v>1246263524</v>
      </c>
      <c r="F490" s="30">
        <v>46039</v>
      </c>
      <c r="G490" s="30"/>
      <c r="H490" t="s">
        <v>28</v>
      </c>
      <c r="I490" t="s">
        <v>29</v>
      </c>
      <c r="J490">
        <v>9853</v>
      </c>
      <c r="K490" s="30">
        <v>45959</v>
      </c>
      <c r="L490">
        <v>1010200</v>
      </c>
      <c r="M490" t="s">
        <v>125</v>
      </c>
      <c r="N490">
        <v>40</v>
      </c>
      <c r="O490" t="s">
        <v>171</v>
      </c>
      <c r="P490" t="s">
        <v>438</v>
      </c>
      <c r="Q490">
        <f t="shared" si="9"/>
        <v>72</v>
      </c>
      <c r="R490">
        <f>_xlfn.XLOOKUP(E490,'Data Additive'!E:E,'Data Additive'!E:E,0)</f>
        <v>0</v>
      </c>
    </row>
    <row r="491" spans="1:18" x14ac:dyDescent="0.25">
      <c r="A491">
        <v>10454</v>
      </c>
      <c r="B491" t="s">
        <v>195</v>
      </c>
      <c r="C491" t="s">
        <v>196</v>
      </c>
      <c r="D491" s="34">
        <v>144418.20000000001</v>
      </c>
      <c r="E491">
        <v>1246051128</v>
      </c>
      <c r="F491" s="30">
        <v>45229</v>
      </c>
      <c r="G491" s="30"/>
      <c r="H491" t="s">
        <v>173</v>
      </c>
      <c r="I491" t="s">
        <v>174</v>
      </c>
      <c r="J491">
        <v>19700</v>
      </c>
      <c r="K491" s="30">
        <v>44860</v>
      </c>
      <c r="L491">
        <v>1010100</v>
      </c>
      <c r="M491" t="s">
        <v>35</v>
      </c>
      <c r="N491">
        <v>161</v>
      </c>
      <c r="O491" t="s">
        <v>161</v>
      </c>
      <c r="P491" t="s">
        <v>195</v>
      </c>
      <c r="Q491">
        <f t="shared" si="9"/>
        <v>882</v>
      </c>
      <c r="R491">
        <f>_xlfn.XLOOKUP(E491,'Data Additive'!E:E,'Data Additive'!E:E,0)</f>
        <v>0</v>
      </c>
    </row>
    <row r="492" spans="1:18" x14ac:dyDescent="0.25">
      <c r="A492">
        <v>10454</v>
      </c>
      <c r="B492" t="s">
        <v>195</v>
      </c>
      <c r="C492" t="s">
        <v>196</v>
      </c>
      <c r="D492" s="34">
        <v>144418.20000000001</v>
      </c>
      <c r="E492">
        <v>1246049220</v>
      </c>
      <c r="F492" s="30">
        <v>45229</v>
      </c>
      <c r="G492" s="30"/>
      <c r="H492" t="s">
        <v>173</v>
      </c>
      <c r="I492" t="s">
        <v>174</v>
      </c>
      <c r="J492">
        <v>19589</v>
      </c>
      <c r="K492" s="30">
        <v>44852</v>
      </c>
      <c r="L492">
        <v>1010100</v>
      </c>
      <c r="M492" t="s">
        <v>35</v>
      </c>
      <c r="N492">
        <v>161</v>
      </c>
      <c r="O492" t="s">
        <v>161</v>
      </c>
      <c r="P492" t="s">
        <v>195</v>
      </c>
      <c r="Q492">
        <f t="shared" si="9"/>
        <v>882</v>
      </c>
      <c r="R492">
        <f>_xlfn.XLOOKUP(E492,'Data Additive'!E:E,'Data Additive'!E:E,0)</f>
        <v>0</v>
      </c>
    </row>
    <row r="493" spans="1:18" x14ac:dyDescent="0.25">
      <c r="A493">
        <v>10454</v>
      </c>
      <c r="B493" t="s">
        <v>195</v>
      </c>
      <c r="C493" t="s">
        <v>196</v>
      </c>
      <c r="D493" s="34">
        <v>149099.07999999999</v>
      </c>
      <c r="E493">
        <v>1246058414</v>
      </c>
      <c r="F493" s="30">
        <v>45229</v>
      </c>
      <c r="G493" s="30"/>
      <c r="H493" t="s">
        <v>173</v>
      </c>
      <c r="I493" t="s">
        <v>174</v>
      </c>
      <c r="J493">
        <v>20191</v>
      </c>
      <c r="K493" s="30">
        <v>44909</v>
      </c>
      <c r="L493">
        <v>1010100</v>
      </c>
      <c r="M493" t="s">
        <v>35</v>
      </c>
      <c r="N493">
        <v>161</v>
      </c>
      <c r="O493" t="s">
        <v>161</v>
      </c>
      <c r="P493" t="s">
        <v>195</v>
      </c>
      <c r="Q493">
        <f t="shared" si="9"/>
        <v>882</v>
      </c>
      <c r="R493">
        <f>_xlfn.XLOOKUP(E493,'Data Additive'!E:E,'Data Additive'!E:E,0)</f>
        <v>0</v>
      </c>
    </row>
    <row r="494" spans="1:18" x14ac:dyDescent="0.25">
      <c r="A494">
        <v>10454</v>
      </c>
      <c r="B494" t="s">
        <v>195</v>
      </c>
      <c r="C494" t="s">
        <v>196</v>
      </c>
      <c r="D494" s="34">
        <v>151022.07999999999</v>
      </c>
      <c r="E494">
        <v>1246066481</v>
      </c>
      <c r="F494" s="30">
        <v>45229</v>
      </c>
      <c r="G494" s="30"/>
      <c r="H494" t="s">
        <v>173</v>
      </c>
      <c r="I494" t="s">
        <v>174</v>
      </c>
      <c r="J494">
        <v>20644</v>
      </c>
      <c r="K494" s="30">
        <v>44965</v>
      </c>
      <c r="L494">
        <v>1010100</v>
      </c>
      <c r="M494" t="s">
        <v>35</v>
      </c>
      <c r="N494">
        <v>161</v>
      </c>
      <c r="O494" t="s">
        <v>161</v>
      </c>
      <c r="P494" t="s">
        <v>195</v>
      </c>
      <c r="Q494">
        <f t="shared" si="9"/>
        <v>882</v>
      </c>
      <c r="R494">
        <f>_xlfn.XLOOKUP(E494,'Data Additive'!E:E,'Data Additive'!E:E,0)</f>
        <v>0</v>
      </c>
    </row>
    <row r="495" spans="1:18" x14ac:dyDescent="0.25">
      <c r="A495">
        <v>10454</v>
      </c>
      <c r="B495" t="s">
        <v>195</v>
      </c>
      <c r="C495" t="s">
        <v>196</v>
      </c>
      <c r="D495" s="34">
        <v>248498.47</v>
      </c>
      <c r="E495">
        <v>1246058556</v>
      </c>
      <c r="F495" s="30">
        <v>45229</v>
      </c>
      <c r="G495" s="30"/>
      <c r="H495" t="s">
        <v>173</v>
      </c>
      <c r="I495" t="s">
        <v>174</v>
      </c>
      <c r="J495">
        <v>20197</v>
      </c>
      <c r="K495" s="30">
        <v>44909</v>
      </c>
      <c r="L495">
        <v>1010100</v>
      </c>
      <c r="M495" t="s">
        <v>35</v>
      </c>
      <c r="N495">
        <v>161</v>
      </c>
      <c r="O495" t="s">
        <v>161</v>
      </c>
      <c r="P495" t="s">
        <v>195</v>
      </c>
      <c r="Q495">
        <f t="shared" si="9"/>
        <v>882</v>
      </c>
      <c r="R495">
        <f>_xlfn.XLOOKUP(E495,'Data Additive'!E:E,'Data Additive'!E:E,0)</f>
        <v>0</v>
      </c>
    </row>
    <row r="496" spans="1:18" x14ac:dyDescent="0.25">
      <c r="A496">
        <v>10454</v>
      </c>
      <c r="B496" t="s">
        <v>195</v>
      </c>
      <c r="C496" t="s">
        <v>196</v>
      </c>
      <c r="D496" s="34">
        <v>122816.13</v>
      </c>
      <c r="E496">
        <v>1246065495</v>
      </c>
      <c r="F496" s="30">
        <v>45229</v>
      </c>
      <c r="G496" s="30"/>
      <c r="H496" t="s">
        <v>173</v>
      </c>
      <c r="I496" t="s">
        <v>174</v>
      </c>
      <c r="J496">
        <v>20599</v>
      </c>
      <c r="K496" s="30">
        <v>44958</v>
      </c>
      <c r="L496">
        <v>1010100</v>
      </c>
      <c r="M496" t="s">
        <v>35</v>
      </c>
      <c r="N496">
        <v>161</v>
      </c>
      <c r="O496" t="s">
        <v>161</v>
      </c>
      <c r="P496" t="s">
        <v>195</v>
      </c>
      <c r="Q496">
        <f t="shared" si="9"/>
        <v>882</v>
      </c>
      <c r="R496">
        <f>_xlfn.XLOOKUP(E496,'Data Additive'!E:E,'Data Additive'!E:E,0)</f>
        <v>0</v>
      </c>
    </row>
    <row r="497" spans="1:18" x14ac:dyDescent="0.25">
      <c r="A497">
        <v>10454</v>
      </c>
      <c r="B497" t="s">
        <v>195</v>
      </c>
      <c r="C497" t="s">
        <v>196</v>
      </c>
      <c r="D497" s="34">
        <v>97567.15</v>
      </c>
      <c r="E497">
        <v>1246059110</v>
      </c>
      <c r="F497" s="30">
        <v>45229</v>
      </c>
      <c r="G497" s="30"/>
      <c r="H497" t="s">
        <v>173</v>
      </c>
      <c r="I497" t="s">
        <v>174</v>
      </c>
      <c r="J497">
        <v>20229</v>
      </c>
      <c r="K497" s="30">
        <v>44911</v>
      </c>
      <c r="L497">
        <v>1010100</v>
      </c>
      <c r="M497" t="s">
        <v>35</v>
      </c>
      <c r="N497">
        <v>161</v>
      </c>
      <c r="O497" t="s">
        <v>161</v>
      </c>
      <c r="P497" t="s">
        <v>195</v>
      </c>
      <c r="Q497">
        <f t="shared" si="9"/>
        <v>882</v>
      </c>
      <c r="R497">
        <f>_xlfn.XLOOKUP(E497,'Data Additive'!E:E,'Data Additive'!E:E,0)</f>
        <v>0</v>
      </c>
    </row>
    <row r="498" spans="1:18" x14ac:dyDescent="0.25">
      <c r="A498">
        <v>10454</v>
      </c>
      <c r="B498" t="s">
        <v>195</v>
      </c>
      <c r="C498" t="s">
        <v>196</v>
      </c>
      <c r="D498" s="34">
        <v>145199.79999999999</v>
      </c>
      <c r="E498">
        <v>1246057926</v>
      </c>
      <c r="F498" s="30">
        <v>45229</v>
      </c>
      <c r="G498" s="30"/>
      <c r="H498" t="s">
        <v>173</v>
      </c>
      <c r="I498" t="s">
        <v>174</v>
      </c>
      <c r="J498">
        <v>20177</v>
      </c>
      <c r="K498" s="30">
        <v>44907</v>
      </c>
      <c r="L498">
        <v>1010100</v>
      </c>
      <c r="M498" t="s">
        <v>35</v>
      </c>
      <c r="N498">
        <v>161</v>
      </c>
      <c r="O498" t="s">
        <v>161</v>
      </c>
      <c r="P498" t="s">
        <v>195</v>
      </c>
      <c r="Q498">
        <f t="shared" si="9"/>
        <v>882</v>
      </c>
      <c r="R498">
        <f>_xlfn.XLOOKUP(E498,'Data Additive'!E:E,'Data Additive'!E:E,0)</f>
        <v>0</v>
      </c>
    </row>
    <row r="499" spans="1:18" x14ac:dyDescent="0.25">
      <c r="A499">
        <v>10454</v>
      </c>
      <c r="B499" t="s">
        <v>195</v>
      </c>
      <c r="C499" t="s">
        <v>196</v>
      </c>
      <c r="D499" s="34">
        <v>85824.21</v>
      </c>
      <c r="E499">
        <v>1246058924</v>
      </c>
      <c r="F499" s="30">
        <v>45229</v>
      </c>
      <c r="G499" s="30"/>
      <c r="H499" t="s">
        <v>173</v>
      </c>
      <c r="I499" t="s">
        <v>174</v>
      </c>
      <c r="J499">
        <v>20209</v>
      </c>
      <c r="K499" s="30">
        <v>44910</v>
      </c>
      <c r="L499">
        <v>1010100</v>
      </c>
      <c r="M499" t="s">
        <v>35</v>
      </c>
      <c r="N499">
        <v>161</v>
      </c>
      <c r="O499" t="s">
        <v>161</v>
      </c>
      <c r="P499" t="s">
        <v>195</v>
      </c>
      <c r="Q499">
        <f t="shared" si="9"/>
        <v>882</v>
      </c>
      <c r="R499">
        <f>_xlfn.XLOOKUP(E499,'Data Additive'!E:E,'Data Additive'!E:E,0)</f>
        <v>0</v>
      </c>
    </row>
    <row r="500" spans="1:18" x14ac:dyDescent="0.25">
      <c r="A500">
        <v>10454</v>
      </c>
      <c r="B500" t="s">
        <v>195</v>
      </c>
      <c r="C500" t="s">
        <v>196</v>
      </c>
      <c r="D500" s="34">
        <v>154779.14000000001</v>
      </c>
      <c r="E500">
        <v>1246058289</v>
      </c>
      <c r="F500" s="30">
        <v>45229</v>
      </c>
      <c r="G500" s="30"/>
      <c r="H500" t="s">
        <v>173</v>
      </c>
      <c r="I500" t="s">
        <v>174</v>
      </c>
      <c r="J500">
        <v>20187</v>
      </c>
      <c r="K500" s="30">
        <v>44908</v>
      </c>
      <c r="L500">
        <v>1010100</v>
      </c>
      <c r="M500" t="s">
        <v>35</v>
      </c>
      <c r="N500">
        <v>161</v>
      </c>
      <c r="O500" t="s">
        <v>161</v>
      </c>
      <c r="P500" t="s">
        <v>195</v>
      </c>
      <c r="Q500">
        <f t="shared" si="9"/>
        <v>882</v>
      </c>
      <c r="R500">
        <f>_xlfn.XLOOKUP(E500,'Data Additive'!E:E,'Data Additive'!E:E,0)</f>
        <v>0</v>
      </c>
    </row>
    <row r="501" spans="1:18" x14ac:dyDescent="0.25">
      <c r="A501">
        <v>10454</v>
      </c>
      <c r="B501" t="s">
        <v>195</v>
      </c>
      <c r="C501" t="s">
        <v>196</v>
      </c>
      <c r="D501" s="34">
        <v>166124.28999999998</v>
      </c>
      <c r="E501">
        <v>1246066059</v>
      </c>
      <c r="F501" s="30">
        <v>45229</v>
      </c>
      <c r="G501" s="30"/>
      <c r="H501" t="s">
        <v>173</v>
      </c>
      <c r="I501" t="s">
        <v>174</v>
      </c>
      <c r="J501">
        <v>20622</v>
      </c>
      <c r="K501" s="30">
        <v>44963</v>
      </c>
      <c r="L501">
        <v>1010100</v>
      </c>
      <c r="M501" t="s">
        <v>35</v>
      </c>
      <c r="N501">
        <v>161</v>
      </c>
      <c r="O501" t="s">
        <v>161</v>
      </c>
      <c r="P501" t="s">
        <v>195</v>
      </c>
      <c r="Q501">
        <f t="shared" si="9"/>
        <v>882</v>
      </c>
      <c r="R501">
        <f>_xlfn.XLOOKUP(E501,'Data Additive'!E:E,'Data Additive'!E:E,0)</f>
        <v>0</v>
      </c>
    </row>
    <row r="502" spans="1:18" x14ac:dyDescent="0.25">
      <c r="A502">
        <v>10454</v>
      </c>
      <c r="B502" t="s">
        <v>195</v>
      </c>
      <c r="C502" t="s">
        <v>196</v>
      </c>
      <c r="D502" s="34">
        <v>151240.47</v>
      </c>
      <c r="E502">
        <v>1246059634</v>
      </c>
      <c r="F502" s="30">
        <v>45229</v>
      </c>
      <c r="G502" s="30"/>
      <c r="H502" t="s">
        <v>173</v>
      </c>
      <c r="I502" t="s">
        <v>174</v>
      </c>
      <c r="J502">
        <v>20268</v>
      </c>
      <c r="K502" s="30">
        <v>44916</v>
      </c>
      <c r="L502">
        <v>1010100</v>
      </c>
      <c r="M502" t="s">
        <v>35</v>
      </c>
      <c r="N502">
        <v>161</v>
      </c>
      <c r="O502" t="s">
        <v>161</v>
      </c>
      <c r="P502" t="s">
        <v>195</v>
      </c>
      <c r="Q502">
        <f t="shared" si="9"/>
        <v>882</v>
      </c>
      <c r="R502">
        <f>_xlfn.XLOOKUP(E502,'Data Additive'!E:E,'Data Additive'!E:E,0)</f>
        <v>0</v>
      </c>
    </row>
    <row r="503" spans="1:18" x14ac:dyDescent="0.25">
      <c r="A503">
        <v>10454</v>
      </c>
      <c r="B503" t="s">
        <v>195</v>
      </c>
      <c r="C503" t="s">
        <v>196</v>
      </c>
      <c r="D503" s="34">
        <v>102193.68</v>
      </c>
      <c r="E503">
        <v>1246216830</v>
      </c>
      <c r="F503" s="30">
        <v>45168</v>
      </c>
      <c r="G503" s="30"/>
      <c r="H503" t="s">
        <v>173</v>
      </c>
      <c r="I503" t="s">
        <v>174</v>
      </c>
      <c r="J503">
        <v>19263</v>
      </c>
      <c r="K503" s="30">
        <v>44824</v>
      </c>
      <c r="L503">
        <v>1010100</v>
      </c>
      <c r="M503" t="s">
        <v>35</v>
      </c>
      <c r="N503">
        <v>161</v>
      </c>
      <c r="O503" t="s">
        <v>161</v>
      </c>
      <c r="P503" t="s">
        <v>195</v>
      </c>
      <c r="Q503">
        <f t="shared" si="9"/>
        <v>943</v>
      </c>
      <c r="R503">
        <f>_xlfn.XLOOKUP(E503,'Data Additive'!E:E,'Data Additive'!E:E,0)</f>
        <v>0</v>
      </c>
    </row>
    <row r="504" spans="1:18" x14ac:dyDescent="0.25">
      <c r="A504">
        <v>11326</v>
      </c>
      <c r="B504" t="s">
        <v>197</v>
      </c>
      <c r="C504" t="s">
        <v>198</v>
      </c>
      <c r="D504" s="34">
        <v>131680</v>
      </c>
      <c r="E504">
        <v>1246234342</v>
      </c>
      <c r="F504" s="30">
        <v>46264</v>
      </c>
      <c r="G504" s="30"/>
      <c r="H504" t="s">
        <v>173</v>
      </c>
      <c r="I504" t="s">
        <v>174</v>
      </c>
      <c r="J504">
        <v>9141</v>
      </c>
      <c r="K504" s="30">
        <v>45901</v>
      </c>
      <c r="L504">
        <v>1010100</v>
      </c>
      <c r="M504" t="s">
        <v>35</v>
      </c>
      <c r="N504">
        <v>161</v>
      </c>
      <c r="O504" t="s">
        <v>161</v>
      </c>
      <c r="P504" t="s">
        <v>197</v>
      </c>
      <c r="Q504">
        <f t="shared" si="9"/>
        <v>-153</v>
      </c>
      <c r="R504">
        <f>_xlfn.XLOOKUP(E504,'Data Additive'!E:E,'Data Additive'!E:E,0)</f>
        <v>0</v>
      </c>
    </row>
    <row r="505" spans="1:18" x14ac:dyDescent="0.25">
      <c r="A505">
        <v>11326</v>
      </c>
      <c r="B505" t="s">
        <v>197</v>
      </c>
      <c r="C505" t="s">
        <v>198</v>
      </c>
      <c r="D505" s="34">
        <v>137376</v>
      </c>
      <c r="E505">
        <v>1246222833</v>
      </c>
      <c r="F505" s="30">
        <v>46143</v>
      </c>
      <c r="G505" s="30"/>
      <c r="H505" t="s">
        <v>173</v>
      </c>
      <c r="I505" t="s">
        <v>174</v>
      </c>
      <c r="J505">
        <v>8351</v>
      </c>
      <c r="K505" s="30">
        <v>45841</v>
      </c>
      <c r="L505">
        <v>1010100</v>
      </c>
      <c r="M505" t="s">
        <v>35</v>
      </c>
      <c r="N505">
        <v>161</v>
      </c>
      <c r="O505" t="s">
        <v>161</v>
      </c>
      <c r="P505" t="s">
        <v>197</v>
      </c>
      <c r="Q505">
        <f t="shared" si="9"/>
        <v>-32</v>
      </c>
      <c r="R505">
        <f>_xlfn.XLOOKUP(E505,'Data Additive'!E:E,'Data Additive'!E:E,0)</f>
        <v>0</v>
      </c>
    </row>
    <row r="506" spans="1:18" x14ac:dyDescent="0.25">
      <c r="A506">
        <v>11580</v>
      </c>
      <c r="B506" t="s">
        <v>492</v>
      </c>
      <c r="C506" t="s">
        <v>31</v>
      </c>
      <c r="D506" s="34">
        <v>76480.23</v>
      </c>
      <c r="E506">
        <v>1246268734</v>
      </c>
      <c r="F506" s="30">
        <v>46440</v>
      </c>
      <c r="G506" s="30"/>
      <c r="H506" t="s">
        <v>28</v>
      </c>
      <c r="I506" t="s">
        <v>29</v>
      </c>
      <c r="J506">
        <v>2837</v>
      </c>
      <c r="K506" s="30">
        <v>46105</v>
      </c>
      <c r="L506">
        <v>1010200</v>
      </c>
      <c r="M506" t="s">
        <v>125</v>
      </c>
      <c r="N506">
        <v>40</v>
      </c>
      <c r="O506" t="s">
        <v>171</v>
      </c>
      <c r="P506" t="s">
        <v>492</v>
      </c>
      <c r="Q506">
        <f t="shared" si="9"/>
        <v>-329</v>
      </c>
      <c r="R506">
        <f>_xlfn.XLOOKUP(E506,'Data Additive'!E:E,'Data Additive'!E:E,0)</f>
        <v>0</v>
      </c>
    </row>
    <row r="507" spans="1:18" x14ac:dyDescent="0.25">
      <c r="A507">
        <v>10456</v>
      </c>
      <c r="B507" t="s">
        <v>199</v>
      </c>
      <c r="C507" t="s">
        <v>200</v>
      </c>
      <c r="D507" s="34">
        <v>111322.27</v>
      </c>
      <c r="E507">
        <v>1246093334</v>
      </c>
      <c r="F507" s="30">
        <v>45537</v>
      </c>
      <c r="G507" s="30"/>
      <c r="H507" t="s">
        <v>173</v>
      </c>
      <c r="I507" t="s">
        <v>174</v>
      </c>
      <c r="J507">
        <v>251</v>
      </c>
      <c r="K507" s="30">
        <v>45127</v>
      </c>
      <c r="L507">
        <v>1010100</v>
      </c>
      <c r="M507" t="s">
        <v>35</v>
      </c>
      <c r="N507">
        <v>161</v>
      </c>
      <c r="O507" t="s">
        <v>161</v>
      </c>
      <c r="P507" t="s">
        <v>199</v>
      </c>
      <c r="Q507">
        <f t="shared" si="9"/>
        <v>574</v>
      </c>
      <c r="R507">
        <f>_xlfn.XLOOKUP(E507,'Data Additive'!E:E,'Data Additive'!E:E,0)</f>
        <v>0</v>
      </c>
    </row>
    <row r="508" spans="1:18" x14ac:dyDescent="0.25">
      <c r="A508">
        <v>10456</v>
      </c>
      <c r="B508" t="s">
        <v>199</v>
      </c>
      <c r="C508" t="s">
        <v>200</v>
      </c>
      <c r="D508" s="34">
        <v>118491.86</v>
      </c>
      <c r="E508">
        <v>1246097861</v>
      </c>
      <c r="F508" s="30">
        <v>45565</v>
      </c>
      <c r="G508" s="30"/>
      <c r="H508" t="s">
        <v>173</v>
      </c>
      <c r="I508" t="s">
        <v>174</v>
      </c>
      <c r="J508">
        <v>683</v>
      </c>
      <c r="K508" s="30">
        <v>45152</v>
      </c>
      <c r="L508">
        <v>1010100</v>
      </c>
      <c r="M508" t="s">
        <v>35</v>
      </c>
      <c r="N508">
        <v>161</v>
      </c>
      <c r="O508" t="s">
        <v>161</v>
      </c>
      <c r="P508" t="s">
        <v>199</v>
      </c>
      <c r="Q508">
        <f t="shared" si="9"/>
        <v>546</v>
      </c>
      <c r="R508">
        <f>_xlfn.XLOOKUP(E508,'Data Additive'!E:E,'Data Additive'!E:E,0)</f>
        <v>0</v>
      </c>
    </row>
    <row r="509" spans="1:18" x14ac:dyDescent="0.25">
      <c r="A509">
        <v>10456</v>
      </c>
      <c r="B509" t="s">
        <v>199</v>
      </c>
      <c r="C509" t="s">
        <v>200</v>
      </c>
      <c r="D509" s="34">
        <v>117498.04</v>
      </c>
      <c r="E509">
        <v>1246099432</v>
      </c>
      <c r="F509" s="30">
        <v>45545</v>
      </c>
      <c r="G509" s="30"/>
      <c r="H509" t="s">
        <v>173</v>
      </c>
      <c r="I509" t="s">
        <v>174</v>
      </c>
      <c r="J509">
        <v>787</v>
      </c>
      <c r="K509" s="30">
        <v>45160</v>
      </c>
      <c r="L509">
        <v>1010100</v>
      </c>
      <c r="M509" t="s">
        <v>35</v>
      </c>
      <c r="N509">
        <v>161</v>
      </c>
      <c r="O509" t="s">
        <v>161</v>
      </c>
      <c r="P509" t="s">
        <v>199</v>
      </c>
      <c r="Q509">
        <f t="shared" si="9"/>
        <v>566</v>
      </c>
      <c r="R509">
        <f>_xlfn.XLOOKUP(E509,'Data Additive'!E:E,'Data Additive'!E:E,0)</f>
        <v>0</v>
      </c>
    </row>
    <row r="510" spans="1:18" x14ac:dyDescent="0.25">
      <c r="A510">
        <v>10456</v>
      </c>
      <c r="B510" t="s">
        <v>199</v>
      </c>
      <c r="C510" t="s">
        <v>200</v>
      </c>
      <c r="D510" s="34">
        <v>100560.82</v>
      </c>
      <c r="E510">
        <v>1246100417</v>
      </c>
      <c r="F510" s="30">
        <v>45548</v>
      </c>
      <c r="G510" s="30"/>
      <c r="H510" t="s">
        <v>173</v>
      </c>
      <c r="I510" t="s">
        <v>174</v>
      </c>
      <c r="J510">
        <v>183</v>
      </c>
      <c r="K510" s="30">
        <v>45163</v>
      </c>
      <c r="L510">
        <v>1010100</v>
      </c>
      <c r="M510" t="s">
        <v>35</v>
      </c>
      <c r="N510">
        <v>161</v>
      </c>
      <c r="O510" t="s">
        <v>161</v>
      </c>
      <c r="P510" t="s">
        <v>199</v>
      </c>
      <c r="Q510">
        <f t="shared" si="9"/>
        <v>563</v>
      </c>
      <c r="R510">
        <f>_xlfn.XLOOKUP(E510,'Data Additive'!E:E,'Data Additive'!E:E,0)</f>
        <v>0</v>
      </c>
    </row>
    <row r="511" spans="1:18" x14ac:dyDescent="0.25">
      <c r="A511">
        <v>10456</v>
      </c>
      <c r="B511" t="s">
        <v>199</v>
      </c>
      <c r="C511" t="s">
        <v>200</v>
      </c>
      <c r="D511" s="34">
        <v>61416.78</v>
      </c>
      <c r="E511">
        <v>1246065449</v>
      </c>
      <c r="F511" s="30">
        <v>45199</v>
      </c>
      <c r="G511" s="30"/>
      <c r="H511" t="s">
        <v>173</v>
      </c>
      <c r="I511" t="s">
        <v>174</v>
      </c>
      <c r="J511">
        <v>20596</v>
      </c>
      <c r="K511" s="30">
        <v>44958</v>
      </c>
      <c r="L511">
        <v>1010100</v>
      </c>
      <c r="M511" t="s">
        <v>35</v>
      </c>
      <c r="N511">
        <v>161</v>
      </c>
      <c r="O511" t="s">
        <v>161</v>
      </c>
      <c r="P511" t="s">
        <v>199</v>
      </c>
      <c r="Q511">
        <f t="shared" si="9"/>
        <v>912</v>
      </c>
      <c r="R511">
        <f>_xlfn.XLOOKUP(E511,'Data Additive'!E:E,'Data Additive'!E:E,0)</f>
        <v>0</v>
      </c>
    </row>
    <row r="512" spans="1:18" x14ac:dyDescent="0.25">
      <c r="A512">
        <v>10456</v>
      </c>
      <c r="B512" t="s">
        <v>199</v>
      </c>
      <c r="C512" t="s">
        <v>200</v>
      </c>
      <c r="D512" s="34">
        <v>106537.82</v>
      </c>
      <c r="E512">
        <v>1246110763</v>
      </c>
      <c r="F512" s="30">
        <v>45534</v>
      </c>
      <c r="G512" s="30"/>
      <c r="H512" t="s">
        <v>173</v>
      </c>
      <c r="I512" t="s">
        <v>174</v>
      </c>
      <c r="J512">
        <v>1702</v>
      </c>
      <c r="K512" s="30">
        <v>45222</v>
      </c>
      <c r="L512">
        <v>1010100</v>
      </c>
      <c r="M512" t="s">
        <v>35</v>
      </c>
      <c r="N512">
        <v>161</v>
      </c>
      <c r="O512" t="s">
        <v>161</v>
      </c>
      <c r="P512" t="s">
        <v>199</v>
      </c>
      <c r="Q512">
        <f t="shared" si="9"/>
        <v>577</v>
      </c>
      <c r="R512">
        <f>_xlfn.XLOOKUP(E512,'Data Additive'!E:E,'Data Additive'!E:E,0)</f>
        <v>0</v>
      </c>
    </row>
    <row r="513" spans="1:18" x14ac:dyDescent="0.25">
      <c r="A513">
        <v>10456</v>
      </c>
      <c r="B513" t="s">
        <v>199</v>
      </c>
      <c r="C513" t="s">
        <v>200</v>
      </c>
      <c r="D513" s="34">
        <v>110173.77</v>
      </c>
      <c r="E513">
        <v>1246067444</v>
      </c>
      <c r="F513" s="30">
        <v>45199</v>
      </c>
      <c r="G513" s="30"/>
      <c r="H513" t="s">
        <v>173</v>
      </c>
      <c r="I513" t="s">
        <v>174</v>
      </c>
      <c r="J513">
        <v>20680</v>
      </c>
      <c r="K513" s="30">
        <v>44971</v>
      </c>
      <c r="L513">
        <v>1010100</v>
      </c>
      <c r="M513" t="s">
        <v>35</v>
      </c>
      <c r="N513">
        <v>161</v>
      </c>
      <c r="O513" t="s">
        <v>161</v>
      </c>
      <c r="P513" t="s">
        <v>199</v>
      </c>
      <c r="Q513">
        <f t="shared" si="9"/>
        <v>912</v>
      </c>
      <c r="R513">
        <f>_xlfn.XLOOKUP(E513,'Data Additive'!E:E,'Data Additive'!E:E,0)</f>
        <v>0</v>
      </c>
    </row>
    <row r="514" spans="1:18" x14ac:dyDescent="0.25">
      <c r="A514">
        <v>10456</v>
      </c>
      <c r="B514" t="s">
        <v>199</v>
      </c>
      <c r="C514" t="s">
        <v>200</v>
      </c>
      <c r="D514" s="34">
        <v>153644.62</v>
      </c>
      <c r="E514">
        <v>1246066037</v>
      </c>
      <c r="F514" s="30">
        <v>45199</v>
      </c>
      <c r="G514" s="30"/>
      <c r="H514" t="s">
        <v>173</v>
      </c>
      <c r="I514" t="s">
        <v>174</v>
      </c>
      <c r="J514">
        <v>20619</v>
      </c>
      <c r="K514" s="30">
        <v>44963</v>
      </c>
      <c r="L514">
        <v>1010100</v>
      </c>
      <c r="M514" t="s">
        <v>35</v>
      </c>
      <c r="N514">
        <v>161</v>
      </c>
      <c r="O514" t="s">
        <v>161</v>
      </c>
      <c r="P514" t="s">
        <v>199</v>
      </c>
      <c r="Q514">
        <f t="shared" si="9"/>
        <v>912</v>
      </c>
      <c r="R514">
        <f>_xlfn.XLOOKUP(E514,'Data Additive'!E:E,'Data Additive'!E:E,0)</f>
        <v>0</v>
      </c>
    </row>
    <row r="515" spans="1:18" x14ac:dyDescent="0.25">
      <c r="A515">
        <v>10456</v>
      </c>
      <c r="B515" t="s">
        <v>199</v>
      </c>
      <c r="C515" t="s">
        <v>200</v>
      </c>
      <c r="D515" s="34">
        <v>121627.64</v>
      </c>
      <c r="E515">
        <v>1246061337</v>
      </c>
      <c r="F515" s="30">
        <v>45199</v>
      </c>
      <c r="G515" s="30"/>
      <c r="H515" t="s">
        <v>173</v>
      </c>
      <c r="I515" t="s">
        <v>174</v>
      </c>
      <c r="J515">
        <v>20371</v>
      </c>
      <c r="K515" s="30">
        <v>44930</v>
      </c>
      <c r="L515">
        <v>1010100</v>
      </c>
      <c r="M515" t="s">
        <v>35</v>
      </c>
      <c r="N515">
        <v>161</v>
      </c>
      <c r="O515" t="s">
        <v>161</v>
      </c>
      <c r="P515" t="s">
        <v>199</v>
      </c>
      <c r="Q515">
        <f t="shared" si="9"/>
        <v>912</v>
      </c>
      <c r="R515">
        <f>_xlfn.XLOOKUP(E515,'Data Additive'!E:E,'Data Additive'!E:E,0)</f>
        <v>0</v>
      </c>
    </row>
    <row r="516" spans="1:18" x14ac:dyDescent="0.25">
      <c r="A516">
        <v>10456</v>
      </c>
      <c r="B516" t="s">
        <v>199</v>
      </c>
      <c r="C516" t="s">
        <v>200</v>
      </c>
      <c r="D516" s="34">
        <v>119763.56</v>
      </c>
      <c r="E516">
        <v>1246107272</v>
      </c>
      <c r="F516" s="30">
        <v>45536</v>
      </c>
      <c r="G516" s="30"/>
      <c r="H516" t="s">
        <v>173</v>
      </c>
      <c r="I516" t="s">
        <v>174</v>
      </c>
      <c r="J516">
        <v>1444</v>
      </c>
      <c r="K516" s="30">
        <v>45201</v>
      </c>
      <c r="L516">
        <v>1010100</v>
      </c>
      <c r="M516" t="s">
        <v>35</v>
      </c>
      <c r="N516">
        <v>161</v>
      </c>
      <c r="O516" t="s">
        <v>161</v>
      </c>
      <c r="P516" t="s">
        <v>199</v>
      </c>
      <c r="Q516">
        <f t="shared" si="9"/>
        <v>575</v>
      </c>
      <c r="R516">
        <f>_xlfn.XLOOKUP(E516,'Data Additive'!E:E,'Data Additive'!E:E,0)</f>
        <v>0</v>
      </c>
    </row>
    <row r="517" spans="1:18" x14ac:dyDescent="0.25">
      <c r="A517">
        <v>10456</v>
      </c>
      <c r="B517" t="s">
        <v>199</v>
      </c>
      <c r="C517" t="s">
        <v>200</v>
      </c>
      <c r="D517" s="34">
        <v>129996.55</v>
      </c>
      <c r="E517">
        <v>1246063009</v>
      </c>
      <c r="F517" s="30">
        <v>45199</v>
      </c>
      <c r="G517" s="30"/>
      <c r="H517" t="s">
        <v>173</v>
      </c>
      <c r="I517" t="s">
        <v>174</v>
      </c>
      <c r="J517">
        <v>20458</v>
      </c>
      <c r="K517" s="30">
        <v>44943</v>
      </c>
      <c r="L517">
        <v>1010100</v>
      </c>
      <c r="M517" t="s">
        <v>35</v>
      </c>
      <c r="N517">
        <v>161</v>
      </c>
      <c r="O517" t="s">
        <v>161</v>
      </c>
      <c r="P517" t="s">
        <v>199</v>
      </c>
      <c r="Q517">
        <f t="shared" ref="Q517:Q574" si="10">$R$1-F517</f>
        <v>912</v>
      </c>
      <c r="R517">
        <f>_xlfn.XLOOKUP(E517,'Data Additive'!E:E,'Data Additive'!E:E,0)</f>
        <v>0</v>
      </c>
    </row>
    <row r="518" spans="1:18" x14ac:dyDescent="0.25">
      <c r="A518">
        <v>10456</v>
      </c>
      <c r="B518" t="s">
        <v>199</v>
      </c>
      <c r="C518" t="s">
        <v>200</v>
      </c>
      <c r="D518" s="34">
        <v>61021.61</v>
      </c>
      <c r="E518">
        <v>1246063058</v>
      </c>
      <c r="F518" s="30">
        <v>45199</v>
      </c>
      <c r="G518" s="30"/>
      <c r="H518" t="s">
        <v>173</v>
      </c>
      <c r="I518" t="s">
        <v>174</v>
      </c>
      <c r="J518">
        <v>20480</v>
      </c>
      <c r="K518" s="30">
        <v>44943</v>
      </c>
      <c r="L518">
        <v>1010100</v>
      </c>
      <c r="M518" t="s">
        <v>35</v>
      </c>
      <c r="N518">
        <v>161</v>
      </c>
      <c r="O518" t="s">
        <v>161</v>
      </c>
      <c r="P518" t="s">
        <v>199</v>
      </c>
      <c r="Q518">
        <f t="shared" si="10"/>
        <v>912</v>
      </c>
      <c r="R518">
        <f>_xlfn.XLOOKUP(E518,'Data Additive'!E:E,'Data Additive'!E:E,0)</f>
        <v>0</v>
      </c>
    </row>
    <row r="519" spans="1:18" x14ac:dyDescent="0.25">
      <c r="A519">
        <v>10456</v>
      </c>
      <c r="B519" t="s">
        <v>199</v>
      </c>
      <c r="C519" t="s">
        <v>200</v>
      </c>
      <c r="D519" s="34">
        <v>111090.76</v>
      </c>
      <c r="E519">
        <v>1246063995</v>
      </c>
      <c r="F519" s="30">
        <v>45199</v>
      </c>
      <c r="G519" s="30"/>
      <c r="H519" t="s">
        <v>173</v>
      </c>
      <c r="I519" t="s">
        <v>174</v>
      </c>
      <c r="J519">
        <v>20513</v>
      </c>
      <c r="K519" s="30">
        <v>44949</v>
      </c>
      <c r="L519">
        <v>1010100</v>
      </c>
      <c r="M519" t="s">
        <v>35</v>
      </c>
      <c r="N519">
        <v>161</v>
      </c>
      <c r="O519" t="s">
        <v>161</v>
      </c>
      <c r="P519" t="s">
        <v>199</v>
      </c>
      <c r="Q519">
        <f t="shared" si="10"/>
        <v>912</v>
      </c>
      <c r="R519">
        <f>_xlfn.XLOOKUP(E519,'Data Additive'!E:E,'Data Additive'!E:E,0)</f>
        <v>0</v>
      </c>
    </row>
    <row r="520" spans="1:18" x14ac:dyDescent="0.25">
      <c r="A520">
        <v>10456</v>
      </c>
      <c r="B520" t="s">
        <v>199</v>
      </c>
      <c r="C520" t="s">
        <v>200</v>
      </c>
      <c r="D520" s="34">
        <v>110522.5</v>
      </c>
      <c r="E520">
        <v>1246106689</v>
      </c>
      <c r="F520" s="30">
        <v>45557</v>
      </c>
      <c r="G520" s="30"/>
      <c r="H520" t="s">
        <v>173</v>
      </c>
      <c r="I520" t="s">
        <v>174</v>
      </c>
      <c r="J520">
        <v>1400</v>
      </c>
      <c r="K520" s="30">
        <v>45197</v>
      </c>
      <c r="L520">
        <v>1010100</v>
      </c>
      <c r="M520" t="s">
        <v>35</v>
      </c>
      <c r="N520">
        <v>161</v>
      </c>
      <c r="O520" t="s">
        <v>161</v>
      </c>
      <c r="P520" t="s">
        <v>199</v>
      </c>
      <c r="Q520">
        <f t="shared" si="10"/>
        <v>554</v>
      </c>
      <c r="R520">
        <f>_xlfn.XLOOKUP(E520,'Data Additive'!E:E,'Data Additive'!E:E,0)</f>
        <v>0</v>
      </c>
    </row>
    <row r="521" spans="1:18" x14ac:dyDescent="0.25">
      <c r="A521">
        <v>10456</v>
      </c>
      <c r="B521" t="s">
        <v>199</v>
      </c>
      <c r="C521" t="s">
        <v>200</v>
      </c>
      <c r="D521" s="34">
        <v>94275.76</v>
      </c>
      <c r="E521">
        <v>1246103838</v>
      </c>
      <c r="F521" s="30">
        <v>45543</v>
      </c>
      <c r="G521" s="30"/>
      <c r="H521" t="s">
        <v>173</v>
      </c>
      <c r="I521" t="s">
        <v>174</v>
      </c>
      <c r="J521">
        <v>1159</v>
      </c>
      <c r="K521" s="30">
        <v>45183</v>
      </c>
      <c r="L521">
        <v>1010100</v>
      </c>
      <c r="M521" t="s">
        <v>35</v>
      </c>
      <c r="N521">
        <v>161</v>
      </c>
      <c r="O521" t="s">
        <v>161</v>
      </c>
      <c r="P521" t="s">
        <v>199</v>
      </c>
      <c r="Q521">
        <f t="shared" si="10"/>
        <v>568</v>
      </c>
      <c r="R521">
        <f>_xlfn.XLOOKUP(E521,'Data Additive'!E:E,'Data Additive'!E:E,0)</f>
        <v>0</v>
      </c>
    </row>
    <row r="522" spans="1:18" x14ac:dyDescent="0.25">
      <c r="A522">
        <v>10456</v>
      </c>
      <c r="B522" t="s">
        <v>199</v>
      </c>
      <c r="C522" t="s">
        <v>200</v>
      </c>
      <c r="D522" s="34">
        <v>74904.38</v>
      </c>
      <c r="E522">
        <v>1246269261</v>
      </c>
      <c r="F522" s="30">
        <v>45199</v>
      </c>
      <c r="G522" s="30"/>
      <c r="H522" t="s">
        <v>173</v>
      </c>
      <c r="I522" t="s">
        <v>174</v>
      </c>
      <c r="J522">
        <v>20898</v>
      </c>
      <c r="K522" s="30">
        <v>45000</v>
      </c>
      <c r="L522">
        <v>1010100</v>
      </c>
      <c r="M522" t="s">
        <v>35</v>
      </c>
      <c r="N522">
        <v>161</v>
      </c>
      <c r="O522" t="s">
        <v>161</v>
      </c>
      <c r="P522" t="s">
        <v>199</v>
      </c>
      <c r="Q522">
        <f t="shared" si="10"/>
        <v>912</v>
      </c>
      <c r="R522">
        <f>_xlfn.XLOOKUP(E522,'Data Additive'!E:E,'Data Additive'!E:E,0)</f>
        <v>0</v>
      </c>
    </row>
    <row r="523" spans="1:18" x14ac:dyDescent="0.25">
      <c r="A523">
        <v>11252</v>
      </c>
      <c r="B523" t="s">
        <v>879</v>
      </c>
      <c r="C523" t="s">
        <v>880</v>
      </c>
      <c r="D523" s="34">
        <v>1260</v>
      </c>
      <c r="E523">
        <v>1246266372</v>
      </c>
      <c r="F523" s="30">
        <v>46115</v>
      </c>
      <c r="G523" s="30">
        <v>46113</v>
      </c>
      <c r="I523" t="s">
        <v>373</v>
      </c>
      <c r="J523">
        <v>10814</v>
      </c>
      <c r="K523" s="30">
        <v>46085</v>
      </c>
      <c r="L523">
        <v>4011600</v>
      </c>
      <c r="M523" t="s">
        <v>702</v>
      </c>
      <c r="N523">
        <v>244</v>
      </c>
      <c r="O523" t="s">
        <v>191</v>
      </c>
      <c r="P523" t="s">
        <v>879</v>
      </c>
      <c r="Q523">
        <f t="shared" si="10"/>
        <v>-4</v>
      </c>
      <c r="R523">
        <f>_xlfn.XLOOKUP(E523,'Data Additive'!E:E,'Data Additive'!E:E,0)</f>
        <v>1246266372</v>
      </c>
    </row>
    <row r="524" spans="1:18" x14ac:dyDescent="0.25">
      <c r="A524">
        <v>11637</v>
      </c>
      <c r="B524" t="s">
        <v>735</v>
      </c>
      <c r="C524" t="s">
        <v>898</v>
      </c>
      <c r="D524" s="34">
        <v>207000</v>
      </c>
      <c r="E524">
        <v>1246268339</v>
      </c>
      <c r="F524" s="30">
        <v>46128</v>
      </c>
      <c r="G524" s="30"/>
      <c r="H524" t="s">
        <v>28</v>
      </c>
      <c r="I524" t="s">
        <v>29</v>
      </c>
      <c r="J524">
        <v>2827</v>
      </c>
      <c r="K524" s="30">
        <v>46100</v>
      </c>
      <c r="L524">
        <v>1010100</v>
      </c>
      <c r="M524" t="s">
        <v>35</v>
      </c>
      <c r="N524">
        <v>161</v>
      </c>
      <c r="O524" t="s">
        <v>161</v>
      </c>
      <c r="P524" t="s">
        <v>735</v>
      </c>
      <c r="Q524">
        <f t="shared" si="10"/>
        <v>-17</v>
      </c>
      <c r="R524">
        <f>_xlfn.XLOOKUP(E524,'Data Additive'!E:E,'Data Additive'!E:E,0)</f>
        <v>1246268339</v>
      </c>
    </row>
    <row r="525" spans="1:18" x14ac:dyDescent="0.25">
      <c r="A525">
        <v>11637</v>
      </c>
      <c r="B525" t="s">
        <v>735</v>
      </c>
      <c r="C525" t="s">
        <v>898</v>
      </c>
      <c r="D525" s="34">
        <v>11160</v>
      </c>
      <c r="E525">
        <v>1246268383</v>
      </c>
      <c r="F525" s="30">
        <v>46128</v>
      </c>
      <c r="G525" s="30"/>
      <c r="H525" t="s">
        <v>28</v>
      </c>
      <c r="I525" t="s">
        <v>29</v>
      </c>
      <c r="J525">
        <v>10927</v>
      </c>
      <c r="K525" s="30">
        <v>46100</v>
      </c>
      <c r="L525">
        <v>1010100</v>
      </c>
      <c r="M525" t="s">
        <v>35</v>
      </c>
      <c r="N525">
        <v>161</v>
      </c>
      <c r="O525" t="s">
        <v>161</v>
      </c>
      <c r="P525" t="s">
        <v>735</v>
      </c>
      <c r="Q525">
        <f t="shared" si="10"/>
        <v>-17</v>
      </c>
      <c r="R525">
        <f>_xlfn.XLOOKUP(E525,'Data Additive'!E:E,'Data Additive'!E:E,0)</f>
        <v>1246268383</v>
      </c>
    </row>
    <row r="526" spans="1:18" x14ac:dyDescent="0.25">
      <c r="A526">
        <v>12943</v>
      </c>
      <c r="B526" t="s">
        <v>294</v>
      </c>
      <c r="C526" t="s">
        <v>401</v>
      </c>
      <c r="D526" s="34">
        <v>82290</v>
      </c>
      <c r="E526">
        <v>1246187828</v>
      </c>
      <c r="F526" s="30">
        <v>45667</v>
      </c>
      <c r="G526" s="30"/>
      <c r="H526" t="s">
        <v>28</v>
      </c>
      <c r="I526" t="s">
        <v>29</v>
      </c>
      <c r="J526">
        <v>1585</v>
      </c>
      <c r="K526" s="30">
        <v>45639</v>
      </c>
      <c r="L526">
        <v>1010100</v>
      </c>
      <c r="M526" t="s">
        <v>35</v>
      </c>
      <c r="N526">
        <v>161</v>
      </c>
      <c r="O526" t="s">
        <v>161</v>
      </c>
      <c r="P526" t="s">
        <v>294</v>
      </c>
      <c r="Q526">
        <f t="shared" si="10"/>
        <v>444</v>
      </c>
      <c r="R526">
        <f>_xlfn.XLOOKUP(E526,'Data Additive'!E:E,'Data Additive'!E:E,0)</f>
        <v>1246187828</v>
      </c>
    </row>
    <row r="527" spans="1:18" x14ac:dyDescent="0.25">
      <c r="A527">
        <v>12943</v>
      </c>
      <c r="B527" t="s">
        <v>294</v>
      </c>
      <c r="C527" t="s">
        <v>401</v>
      </c>
      <c r="D527" s="34">
        <v>82290</v>
      </c>
      <c r="E527">
        <v>1246187829</v>
      </c>
      <c r="F527" s="30">
        <v>45695</v>
      </c>
      <c r="G527" s="30"/>
      <c r="H527" t="s">
        <v>28</v>
      </c>
      <c r="I527" t="s">
        <v>29</v>
      </c>
      <c r="J527">
        <v>1585</v>
      </c>
      <c r="K527" s="30">
        <v>45639</v>
      </c>
      <c r="L527">
        <v>1010100</v>
      </c>
      <c r="M527" t="s">
        <v>35</v>
      </c>
      <c r="N527">
        <v>161</v>
      </c>
      <c r="O527" t="s">
        <v>161</v>
      </c>
      <c r="P527" t="s">
        <v>294</v>
      </c>
      <c r="Q527">
        <f t="shared" si="10"/>
        <v>416</v>
      </c>
      <c r="R527">
        <f>_xlfn.XLOOKUP(E527,'Data Additive'!E:E,'Data Additive'!E:E,0)</f>
        <v>1246187829</v>
      </c>
    </row>
    <row r="528" spans="1:18" x14ac:dyDescent="0.25">
      <c r="A528">
        <v>12943</v>
      </c>
      <c r="B528" t="s">
        <v>294</v>
      </c>
      <c r="C528" t="s">
        <v>401</v>
      </c>
      <c r="D528" s="34">
        <v>49170</v>
      </c>
      <c r="E528">
        <v>1246183176</v>
      </c>
      <c r="F528" s="30">
        <v>45642</v>
      </c>
      <c r="G528" s="30"/>
      <c r="H528" t="s">
        <v>28</v>
      </c>
      <c r="I528" t="s">
        <v>29</v>
      </c>
      <c r="J528">
        <v>6129</v>
      </c>
      <c r="K528" s="30">
        <v>45614</v>
      </c>
      <c r="L528">
        <v>1010100</v>
      </c>
      <c r="M528" t="s">
        <v>35</v>
      </c>
      <c r="N528">
        <v>161</v>
      </c>
      <c r="O528" t="s">
        <v>161</v>
      </c>
      <c r="P528" t="s">
        <v>294</v>
      </c>
      <c r="Q528">
        <f t="shared" si="10"/>
        <v>469</v>
      </c>
      <c r="R528">
        <f>_xlfn.XLOOKUP(E528,'Data Additive'!E:E,'Data Additive'!E:E,0)</f>
        <v>1246183176</v>
      </c>
    </row>
    <row r="529" spans="1:18" x14ac:dyDescent="0.25">
      <c r="A529">
        <v>12629</v>
      </c>
      <c r="B529" t="s">
        <v>120</v>
      </c>
      <c r="C529" t="s">
        <v>474</v>
      </c>
      <c r="D529" s="34">
        <v>162357</v>
      </c>
      <c r="E529">
        <v>1246266378</v>
      </c>
      <c r="F529" s="30">
        <v>46115</v>
      </c>
      <c r="G529" s="30"/>
      <c r="H529" t="s">
        <v>28</v>
      </c>
      <c r="I529" t="s">
        <v>29</v>
      </c>
      <c r="J529">
        <v>10815</v>
      </c>
      <c r="K529" s="30">
        <v>46085</v>
      </c>
      <c r="L529">
        <v>1010100</v>
      </c>
      <c r="M529" t="s">
        <v>35</v>
      </c>
      <c r="N529">
        <v>161</v>
      </c>
      <c r="O529" t="s">
        <v>161</v>
      </c>
      <c r="P529" t="s">
        <v>120</v>
      </c>
      <c r="Q529">
        <f t="shared" si="10"/>
        <v>-4</v>
      </c>
      <c r="R529">
        <f>_xlfn.XLOOKUP(E529,'Data Additive'!E:E,'Data Additive'!E:E,0)</f>
        <v>1246266378</v>
      </c>
    </row>
    <row r="530" spans="1:18" x14ac:dyDescent="0.25">
      <c r="A530">
        <v>12629</v>
      </c>
      <c r="B530" t="s">
        <v>120</v>
      </c>
      <c r="C530" t="s">
        <v>474</v>
      </c>
      <c r="D530" s="34">
        <v>162791.4</v>
      </c>
      <c r="E530">
        <v>1246267013</v>
      </c>
      <c r="F530" s="30">
        <v>46120</v>
      </c>
      <c r="G530" s="30"/>
      <c r="H530" t="s">
        <v>28</v>
      </c>
      <c r="I530" t="s">
        <v>29</v>
      </c>
      <c r="J530">
        <v>10843</v>
      </c>
      <c r="K530" s="30">
        <v>46090</v>
      </c>
      <c r="L530">
        <v>1010100</v>
      </c>
      <c r="M530" t="s">
        <v>35</v>
      </c>
      <c r="N530">
        <v>161</v>
      </c>
      <c r="O530" t="s">
        <v>161</v>
      </c>
      <c r="P530" t="s">
        <v>120</v>
      </c>
      <c r="Q530">
        <f t="shared" si="10"/>
        <v>-9</v>
      </c>
      <c r="R530">
        <f>_xlfn.XLOOKUP(E530,'Data Additive'!E:E,'Data Additive'!E:E,0)</f>
        <v>1246267013</v>
      </c>
    </row>
    <row r="531" spans="1:18" x14ac:dyDescent="0.25">
      <c r="A531">
        <v>12629</v>
      </c>
      <c r="B531" t="s">
        <v>120</v>
      </c>
      <c r="C531" t="s">
        <v>474</v>
      </c>
      <c r="D531" s="34">
        <v>150519.6</v>
      </c>
      <c r="E531">
        <v>1246267963</v>
      </c>
      <c r="F531" s="30">
        <v>46127</v>
      </c>
      <c r="G531" s="30"/>
      <c r="H531" t="s">
        <v>28</v>
      </c>
      <c r="I531" t="s">
        <v>29</v>
      </c>
      <c r="J531">
        <v>10900</v>
      </c>
      <c r="K531" s="30">
        <v>46097</v>
      </c>
      <c r="L531">
        <v>1010100</v>
      </c>
      <c r="M531" t="s">
        <v>35</v>
      </c>
      <c r="N531">
        <v>161</v>
      </c>
      <c r="O531" t="s">
        <v>161</v>
      </c>
      <c r="P531" t="s">
        <v>120</v>
      </c>
      <c r="Q531">
        <f t="shared" si="10"/>
        <v>-16</v>
      </c>
      <c r="R531">
        <f>_xlfn.XLOOKUP(E531,'Data Additive'!E:E,'Data Additive'!E:E,0)</f>
        <v>1246267963</v>
      </c>
    </row>
    <row r="532" spans="1:18" x14ac:dyDescent="0.25">
      <c r="A532">
        <v>12629</v>
      </c>
      <c r="B532" t="s">
        <v>120</v>
      </c>
      <c r="C532" t="s">
        <v>474</v>
      </c>
      <c r="D532" s="34">
        <v>6516</v>
      </c>
      <c r="E532">
        <v>1246265830</v>
      </c>
      <c r="F532" s="30">
        <v>46113</v>
      </c>
      <c r="G532" s="30"/>
      <c r="H532" t="s">
        <v>28</v>
      </c>
      <c r="I532" t="s">
        <v>29</v>
      </c>
      <c r="J532">
        <v>10586</v>
      </c>
      <c r="K532" s="30">
        <v>46049</v>
      </c>
      <c r="L532">
        <v>1010100</v>
      </c>
      <c r="M532" t="s">
        <v>35</v>
      </c>
      <c r="N532">
        <v>161</v>
      </c>
      <c r="O532" t="s">
        <v>161</v>
      </c>
      <c r="P532" t="s">
        <v>120</v>
      </c>
      <c r="Q532">
        <f t="shared" si="10"/>
        <v>-2</v>
      </c>
      <c r="R532">
        <f>_xlfn.XLOOKUP(E532,'Data Additive'!E:E,'Data Additive'!E:E,0)</f>
        <v>1246265830</v>
      </c>
    </row>
    <row r="533" spans="1:18" x14ac:dyDescent="0.25">
      <c r="A533">
        <v>12629</v>
      </c>
      <c r="B533" t="s">
        <v>120</v>
      </c>
      <c r="C533" t="s">
        <v>474</v>
      </c>
      <c r="D533" s="34">
        <v>153506.1</v>
      </c>
      <c r="E533">
        <v>1246268563</v>
      </c>
      <c r="F533" s="30">
        <v>46131</v>
      </c>
      <c r="G533" s="30"/>
      <c r="H533" t="s">
        <v>28</v>
      </c>
      <c r="I533" t="s">
        <v>29</v>
      </c>
      <c r="J533">
        <v>10948</v>
      </c>
      <c r="K533" s="30">
        <v>46101</v>
      </c>
      <c r="L533">
        <v>1010100</v>
      </c>
      <c r="M533" t="s">
        <v>35</v>
      </c>
      <c r="N533">
        <v>161</v>
      </c>
      <c r="O533" t="s">
        <v>161</v>
      </c>
      <c r="P533" t="s">
        <v>120</v>
      </c>
      <c r="Q533">
        <f t="shared" si="10"/>
        <v>-20</v>
      </c>
      <c r="R533">
        <f>_xlfn.XLOOKUP(E533,'Data Additive'!E:E,'Data Additive'!E:E,0)</f>
        <v>1246268563</v>
      </c>
    </row>
    <row r="534" spans="1:18" x14ac:dyDescent="0.25">
      <c r="A534">
        <v>12629</v>
      </c>
      <c r="B534" t="s">
        <v>120</v>
      </c>
      <c r="C534" t="s">
        <v>474</v>
      </c>
      <c r="D534" s="34">
        <v>162465.60000000001</v>
      </c>
      <c r="E534">
        <v>1246269412</v>
      </c>
      <c r="F534" s="30">
        <v>46138</v>
      </c>
      <c r="G534" s="30"/>
      <c r="H534" t="s">
        <v>28</v>
      </c>
      <c r="I534" t="s">
        <v>29</v>
      </c>
      <c r="J534">
        <v>10987</v>
      </c>
      <c r="K534" s="30">
        <v>46108</v>
      </c>
      <c r="L534">
        <v>1010100</v>
      </c>
      <c r="M534" t="s">
        <v>35</v>
      </c>
      <c r="N534">
        <v>161</v>
      </c>
      <c r="O534" t="s">
        <v>161</v>
      </c>
      <c r="P534" t="s">
        <v>120</v>
      </c>
      <c r="Q534">
        <f t="shared" si="10"/>
        <v>-27</v>
      </c>
      <c r="R534">
        <f>_xlfn.XLOOKUP(E534,'Data Additive'!E:E,'Data Additive'!E:E,0)</f>
        <v>1246269412</v>
      </c>
    </row>
    <row r="535" spans="1:18" x14ac:dyDescent="0.25">
      <c r="A535">
        <v>13330</v>
      </c>
      <c r="B535" t="s">
        <v>679</v>
      </c>
      <c r="C535" t="s">
        <v>680</v>
      </c>
      <c r="D535" s="34">
        <v>527.28</v>
      </c>
      <c r="E535">
        <v>1246238356</v>
      </c>
      <c r="F535" s="30">
        <v>45927</v>
      </c>
      <c r="G535" s="30"/>
      <c r="I535" t="s">
        <v>373</v>
      </c>
      <c r="J535">
        <v>9092</v>
      </c>
      <c r="K535" s="30">
        <v>45897</v>
      </c>
      <c r="L535">
        <v>1010200</v>
      </c>
      <c r="M535" t="s">
        <v>125</v>
      </c>
      <c r="N535">
        <v>40</v>
      </c>
      <c r="O535" t="s">
        <v>171</v>
      </c>
      <c r="P535" t="s">
        <v>679</v>
      </c>
      <c r="Q535">
        <f t="shared" si="10"/>
        <v>184</v>
      </c>
      <c r="R535">
        <f>_xlfn.XLOOKUP(E535,'Data Additive'!E:E,'Data Additive'!E:E,0)</f>
        <v>0</v>
      </c>
    </row>
    <row r="536" spans="1:18" x14ac:dyDescent="0.25">
      <c r="A536">
        <v>12295</v>
      </c>
      <c r="B536" t="s">
        <v>207</v>
      </c>
      <c r="C536" t="s">
        <v>208</v>
      </c>
      <c r="D536" s="34">
        <v>129728</v>
      </c>
      <c r="E536">
        <v>1246100036</v>
      </c>
      <c r="F536" s="30">
        <v>45547</v>
      </c>
      <c r="G536" s="30"/>
      <c r="H536" t="s">
        <v>173</v>
      </c>
      <c r="I536" t="s">
        <v>174</v>
      </c>
      <c r="J536">
        <v>843</v>
      </c>
      <c r="K536" s="30">
        <v>45162</v>
      </c>
      <c r="L536">
        <v>1010100</v>
      </c>
      <c r="M536" t="s">
        <v>35</v>
      </c>
      <c r="N536">
        <v>161</v>
      </c>
      <c r="O536" t="s">
        <v>161</v>
      </c>
      <c r="P536" t="s">
        <v>207</v>
      </c>
      <c r="Q536">
        <f t="shared" si="10"/>
        <v>564</v>
      </c>
      <c r="R536">
        <f>_xlfn.XLOOKUP(E536,'Data Additive'!E:E,'Data Additive'!E:E,0)</f>
        <v>0</v>
      </c>
    </row>
    <row r="537" spans="1:18" x14ac:dyDescent="0.25">
      <c r="A537">
        <v>12295</v>
      </c>
      <c r="B537" t="s">
        <v>207</v>
      </c>
      <c r="C537" t="s">
        <v>208</v>
      </c>
      <c r="D537" s="34">
        <v>126208</v>
      </c>
      <c r="E537">
        <v>1246106003</v>
      </c>
      <c r="F537" s="30">
        <v>45559</v>
      </c>
      <c r="G537" s="30"/>
      <c r="H537" t="s">
        <v>173</v>
      </c>
      <c r="I537" t="s">
        <v>174</v>
      </c>
      <c r="J537">
        <v>1328</v>
      </c>
      <c r="K537" s="30">
        <v>45194</v>
      </c>
      <c r="L537">
        <v>1010100</v>
      </c>
      <c r="M537" t="s">
        <v>35</v>
      </c>
      <c r="N537">
        <v>161</v>
      </c>
      <c r="O537" t="s">
        <v>161</v>
      </c>
      <c r="P537" t="s">
        <v>207</v>
      </c>
      <c r="Q537">
        <f t="shared" si="10"/>
        <v>552</v>
      </c>
      <c r="R537">
        <f>_xlfn.XLOOKUP(E537,'Data Additive'!E:E,'Data Additive'!E:E,0)</f>
        <v>0</v>
      </c>
    </row>
    <row r="538" spans="1:18" x14ac:dyDescent="0.25">
      <c r="A538">
        <v>12295</v>
      </c>
      <c r="B538" t="s">
        <v>207</v>
      </c>
      <c r="C538" t="s">
        <v>208</v>
      </c>
      <c r="D538" s="34">
        <v>19965</v>
      </c>
      <c r="E538">
        <v>1246100409</v>
      </c>
      <c r="F538" s="30">
        <v>45548</v>
      </c>
      <c r="G538" s="30"/>
      <c r="H538" t="s">
        <v>173</v>
      </c>
      <c r="I538" t="s">
        <v>174</v>
      </c>
      <c r="J538">
        <v>864</v>
      </c>
      <c r="K538" s="30">
        <v>45163</v>
      </c>
      <c r="L538">
        <v>1010100</v>
      </c>
      <c r="M538" t="s">
        <v>35</v>
      </c>
      <c r="N538">
        <v>161</v>
      </c>
      <c r="O538" t="s">
        <v>161</v>
      </c>
      <c r="P538" t="s">
        <v>207</v>
      </c>
      <c r="Q538">
        <f t="shared" si="10"/>
        <v>563</v>
      </c>
      <c r="R538">
        <f>_xlfn.XLOOKUP(E538,'Data Additive'!E:E,'Data Additive'!E:E,0)</f>
        <v>0</v>
      </c>
    </row>
    <row r="539" spans="1:18" x14ac:dyDescent="0.25">
      <c r="A539">
        <v>12295</v>
      </c>
      <c r="B539" t="s">
        <v>207</v>
      </c>
      <c r="C539" t="s">
        <v>208</v>
      </c>
      <c r="D539" s="34">
        <v>102625</v>
      </c>
      <c r="E539">
        <v>1246100411</v>
      </c>
      <c r="F539" s="30">
        <v>45548</v>
      </c>
      <c r="G539" s="30"/>
      <c r="H539" t="s">
        <v>173</v>
      </c>
      <c r="I539" t="s">
        <v>174</v>
      </c>
      <c r="J539">
        <v>865</v>
      </c>
      <c r="K539" s="30">
        <v>45163</v>
      </c>
      <c r="L539">
        <v>1010100</v>
      </c>
      <c r="M539" t="s">
        <v>35</v>
      </c>
      <c r="N539">
        <v>161</v>
      </c>
      <c r="O539" t="s">
        <v>161</v>
      </c>
      <c r="P539" t="s">
        <v>207</v>
      </c>
      <c r="Q539">
        <f t="shared" si="10"/>
        <v>563</v>
      </c>
      <c r="R539">
        <f>_xlfn.XLOOKUP(E539,'Data Additive'!E:E,'Data Additive'!E:E,0)</f>
        <v>0</v>
      </c>
    </row>
    <row r="540" spans="1:18" x14ac:dyDescent="0.25">
      <c r="A540">
        <v>12295</v>
      </c>
      <c r="B540" t="s">
        <v>207</v>
      </c>
      <c r="C540" t="s">
        <v>208</v>
      </c>
      <c r="D540" s="34">
        <v>23664</v>
      </c>
      <c r="E540">
        <v>1246100034</v>
      </c>
      <c r="F540" s="30">
        <v>45547</v>
      </c>
      <c r="G540" s="30"/>
      <c r="H540" t="s">
        <v>173</v>
      </c>
      <c r="I540" t="s">
        <v>174</v>
      </c>
      <c r="J540">
        <v>842</v>
      </c>
      <c r="K540" s="30">
        <v>45162</v>
      </c>
      <c r="L540">
        <v>1010100</v>
      </c>
      <c r="M540" t="s">
        <v>35</v>
      </c>
      <c r="N540">
        <v>161</v>
      </c>
      <c r="O540" t="s">
        <v>161</v>
      </c>
      <c r="P540" t="s">
        <v>207</v>
      </c>
      <c r="Q540">
        <f t="shared" si="10"/>
        <v>564</v>
      </c>
      <c r="R540">
        <f>_xlfn.XLOOKUP(E540,'Data Additive'!E:E,'Data Additive'!E:E,0)</f>
        <v>0</v>
      </c>
    </row>
    <row r="541" spans="1:18" x14ac:dyDescent="0.25">
      <c r="A541">
        <v>12295</v>
      </c>
      <c r="B541" t="s">
        <v>207</v>
      </c>
      <c r="C541" t="s">
        <v>208</v>
      </c>
      <c r="D541" s="34">
        <v>126845</v>
      </c>
      <c r="E541">
        <v>1246102685</v>
      </c>
      <c r="F541" s="30">
        <v>45560</v>
      </c>
      <c r="G541" s="30"/>
      <c r="H541" t="s">
        <v>173</v>
      </c>
      <c r="I541" t="s">
        <v>174</v>
      </c>
      <c r="J541">
        <v>1060</v>
      </c>
      <c r="K541" s="30">
        <v>45175</v>
      </c>
      <c r="L541">
        <v>1010100</v>
      </c>
      <c r="M541" t="s">
        <v>35</v>
      </c>
      <c r="N541">
        <v>161</v>
      </c>
      <c r="O541" t="s">
        <v>161</v>
      </c>
      <c r="P541" t="s">
        <v>207</v>
      </c>
      <c r="Q541">
        <f t="shared" si="10"/>
        <v>551</v>
      </c>
      <c r="R541">
        <f>_xlfn.XLOOKUP(E541,'Data Additive'!E:E,'Data Additive'!E:E,0)</f>
        <v>0</v>
      </c>
    </row>
    <row r="542" spans="1:18" x14ac:dyDescent="0.25">
      <c r="A542">
        <v>12295</v>
      </c>
      <c r="B542" t="s">
        <v>207</v>
      </c>
      <c r="C542" t="s">
        <v>208</v>
      </c>
      <c r="D542" s="34">
        <v>119790</v>
      </c>
      <c r="E542">
        <v>1246100311</v>
      </c>
      <c r="F542" s="30">
        <v>45548</v>
      </c>
      <c r="G542" s="30"/>
      <c r="H542" t="s">
        <v>173</v>
      </c>
      <c r="I542" t="s">
        <v>174</v>
      </c>
      <c r="J542">
        <v>851</v>
      </c>
      <c r="K542" s="30">
        <v>45163</v>
      </c>
      <c r="L542">
        <v>1010100</v>
      </c>
      <c r="M542" t="s">
        <v>35</v>
      </c>
      <c r="N542">
        <v>161</v>
      </c>
      <c r="O542" t="s">
        <v>161</v>
      </c>
      <c r="P542" t="s">
        <v>207</v>
      </c>
      <c r="Q542">
        <f t="shared" si="10"/>
        <v>563</v>
      </c>
      <c r="R542">
        <f>_xlfn.XLOOKUP(E542,'Data Additive'!E:E,'Data Additive'!E:E,0)</f>
        <v>0</v>
      </c>
    </row>
    <row r="543" spans="1:18" x14ac:dyDescent="0.25">
      <c r="A543">
        <v>12295</v>
      </c>
      <c r="B543" t="s">
        <v>207</v>
      </c>
      <c r="C543" t="s">
        <v>208</v>
      </c>
      <c r="D543" s="34">
        <v>127776</v>
      </c>
      <c r="E543">
        <v>1246102654</v>
      </c>
      <c r="F543" s="30">
        <v>45560</v>
      </c>
      <c r="G543" s="30"/>
      <c r="H543" t="s">
        <v>173</v>
      </c>
      <c r="I543" t="s">
        <v>174</v>
      </c>
      <c r="J543">
        <v>1053</v>
      </c>
      <c r="K543" s="30">
        <v>45175</v>
      </c>
      <c r="L543">
        <v>1010100</v>
      </c>
      <c r="M543" t="s">
        <v>35</v>
      </c>
      <c r="N543">
        <v>161</v>
      </c>
      <c r="O543" t="s">
        <v>161</v>
      </c>
      <c r="P543" t="s">
        <v>207</v>
      </c>
      <c r="Q543">
        <f t="shared" si="10"/>
        <v>551</v>
      </c>
      <c r="R543">
        <f>_xlfn.XLOOKUP(E543,'Data Additive'!E:E,'Data Additive'!E:E,0)</f>
        <v>0</v>
      </c>
    </row>
    <row r="544" spans="1:18" x14ac:dyDescent="0.25">
      <c r="A544">
        <v>12295</v>
      </c>
      <c r="B544" t="s">
        <v>207</v>
      </c>
      <c r="C544" t="s">
        <v>208</v>
      </c>
      <c r="D544" s="34">
        <v>99410.750000000015</v>
      </c>
      <c r="E544">
        <v>1246240412</v>
      </c>
      <c r="F544" s="30">
        <v>45546</v>
      </c>
      <c r="G544" s="30"/>
      <c r="H544" t="s">
        <v>173</v>
      </c>
      <c r="I544" t="s">
        <v>174</v>
      </c>
      <c r="J544">
        <v>176</v>
      </c>
      <c r="K544" s="30">
        <v>45161</v>
      </c>
      <c r="L544">
        <v>1010100</v>
      </c>
      <c r="M544" t="s">
        <v>35</v>
      </c>
      <c r="N544">
        <v>161</v>
      </c>
      <c r="O544" t="s">
        <v>161</v>
      </c>
      <c r="P544" t="s">
        <v>207</v>
      </c>
      <c r="Q544">
        <f t="shared" si="10"/>
        <v>565</v>
      </c>
      <c r="R544">
        <f>_xlfn.XLOOKUP(E544,'Data Additive'!E:E,'Data Additive'!E:E,0)</f>
        <v>0</v>
      </c>
    </row>
    <row r="545" spans="1:18" x14ac:dyDescent="0.25">
      <c r="A545">
        <v>13069</v>
      </c>
      <c r="B545" t="s">
        <v>537</v>
      </c>
      <c r="C545" t="s">
        <v>813</v>
      </c>
      <c r="D545" s="34">
        <v>100</v>
      </c>
      <c r="E545">
        <v>1246258366</v>
      </c>
      <c r="F545" s="30">
        <v>46118</v>
      </c>
      <c r="G545" s="30">
        <v>46114</v>
      </c>
      <c r="I545" t="s">
        <v>373</v>
      </c>
      <c r="J545">
        <v>10425</v>
      </c>
      <c r="K545" s="30">
        <v>46028</v>
      </c>
      <c r="L545">
        <v>4010300</v>
      </c>
      <c r="M545" t="s">
        <v>142</v>
      </c>
      <c r="N545">
        <v>244</v>
      </c>
      <c r="O545" t="s">
        <v>191</v>
      </c>
      <c r="P545" t="s">
        <v>537</v>
      </c>
      <c r="Q545">
        <f t="shared" si="10"/>
        <v>-7</v>
      </c>
      <c r="R545">
        <f>_xlfn.XLOOKUP(E545,'Data Additive'!E:E,'Data Additive'!E:E,0)</f>
        <v>1246258366</v>
      </c>
    </row>
    <row r="546" spans="1:18" x14ac:dyDescent="0.25">
      <c r="A546">
        <v>13069</v>
      </c>
      <c r="B546" t="s">
        <v>537</v>
      </c>
      <c r="C546" t="s">
        <v>813</v>
      </c>
      <c r="D546" s="34">
        <v>100</v>
      </c>
      <c r="E546">
        <v>1246258365</v>
      </c>
      <c r="F546" s="30">
        <v>46118</v>
      </c>
      <c r="G546" s="30"/>
      <c r="I546" t="s">
        <v>373</v>
      </c>
      <c r="J546">
        <v>10425</v>
      </c>
      <c r="K546" s="30">
        <v>46028</v>
      </c>
      <c r="L546">
        <v>4010300</v>
      </c>
      <c r="M546" t="s">
        <v>142</v>
      </c>
      <c r="N546">
        <v>244</v>
      </c>
      <c r="O546" t="s">
        <v>191</v>
      </c>
      <c r="P546" t="s">
        <v>537</v>
      </c>
      <c r="Q546">
        <f t="shared" si="10"/>
        <v>-7</v>
      </c>
      <c r="R546">
        <f>_xlfn.XLOOKUP(E546,'Data Additive'!E:E,'Data Additive'!E:E,0)</f>
        <v>1246258365</v>
      </c>
    </row>
    <row r="547" spans="1:18" x14ac:dyDescent="0.25">
      <c r="A547">
        <v>13193</v>
      </c>
      <c r="B547" t="s">
        <v>210</v>
      </c>
      <c r="C547" t="s">
        <v>211</v>
      </c>
      <c r="D547" s="34">
        <v>39218.19</v>
      </c>
      <c r="E547">
        <v>1246129675</v>
      </c>
      <c r="F547" s="30">
        <v>45598</v>
      </c>
      <c r="G547" s="30"/>
      <c r="H547" t="s">
        <v>173</v>
      </c>
      <c r="I547" t="s">
        <v>174</v>
      </c>
      <c r="J547">
        <v>2817</v>
      </c>
      <c r="K547" s="30">
        <v>45338</v>
      </c>
      <c r="L547">
        <v>1010100</v>
      </c>
      <c r="M547" t="s">
        <v>35</v>
      </c>
      <c r="N547">
        <v>161</v>
      </c>
      <c r="O547" t="s">
        <v>161</v>
      </c>
      <c r="P547" t="s">
        <v>210</v>
      </c>
      <c r="Q547">
        <f t="shared" si="10"/>
        <v>513</v>
      </c>
      <c r="R547">
        <f>_xlfn.XLOOKUP(E547,'Data Additive'!E:E,'Data Additive'!E:E,0)</f>
        <v>0</v>
      </c>
    </row>
    <row r="548" spans="1:18" x14ac:dyDescent="0.25">
      <c r="A548">
        <v>13193</v>
      </c>
      <c r="B548" t="s">
        <v>210</v>
      </c>
      <c r="C548" t="s">
        <v>211</v>
      </c>
      <c r="D548" s="34">
        <v>96537.1</v>
      </c>
      <c r="E548">
        <v>1246128994</v>
      </c>
      <c r="F548" s="30">
        <v>45599</v>
      </c>
      <c r="G548" s="30"/>
      <c r="H548" t="s">
        <v>173</v>
      </c>
      <c r="I548" t="s">
        <v>174</v>
      </c>
      <c r="J548">
        <v>2765</v>
      </c>
      <c r="K548" s="30">
        <v>45331</v>
      </c>
      <c r="L548">
        <v>1010100</v>
      </c>
      <c r="M548" t="s">
        <v>35</v>
      </c>
      <c r="N548">
        <v>161</v>
      </c>
      <c r="O548" t="s">
        <v>161</v>
      </c>
      <c r="P548" t="s">
        <v>210</v>
      </c>
      <c r="Q548">
        <f t="shared" si="10"/>
        <v>512</v>
      </c>
      <c r="R548">
        <f>_xlfn.XLOOKUP(E548,'Data Additive'!E:E,'Data Additive'!E:E,0)</f>
        <v>0</v>
      </c>
    </row>
    <row r="549" spans="1:18" x14ac:dyDescent="0.25">
      <c r="A549">
        <v>13193</v>
      </c>
      <c r="B549" t="s">
        <v>210</v>
      </c>
      <c r="C549" t="s">
        <v>211</v>
      </c>
      <c r="D549" s="34">
        <v>14369.79</v>
      </c>
      <c r="E549">
        <v>1246129687</v>
      </c>
      <c r="F549" s="30">
        <v>45594</v>
      </c>
      <c r="G549" s="30"/>
      <c r="H549" t="s">
        <v>173</v>
      </c>
      <c r="I549" t="s">
        <v>174</v>
      </c>
      <c r="J549">
        <v>2824</v>
      </c>
      <c r="K549" s="30">
        <v>45338</v>
      </c>
      <c r="L549">
        <v>1010100</v>
      </c>
      <c r="M549" t="s">
        <v>35</v>
      </c>
      <c r="N549">
        <v>161</v>
      </c>
      <c r="O549" t="s">
        <v>161</v>
      </c>
      <c r="P549" t="s">
        <v>210</v>
      </c>
      <c r="Q549">
        <f t="shared" si="10"/>
        <v>517</v>
      </c>
      <c r="R549">
        <f>_xlfn.XLOOKUP(E549,'Data Additive'!E:E,'Data Additive'!E:E,0)</f>
        <v>0</v>
      </c>
    </row>
    <row r="550" spans="1:18" x14ac:dyDescent="0.25">
      <c r="A550">
        <v>13193</v>
      </c>
      <c r="B550" t="s">
        <v>210</v>
      </c>
      <c r="C550" t="s">
        <v>211</v>
      </c>
      <c r="D550" s="34">
        <v>102482.69</v>
      </c>
      <c r="E550">
        <v>1246129689</v>
      </c>
      <c r="F550" s="30">
        <v>45594</v>
      </c>
      <c r="G550" s="30"/>
      <c r="H550" t="s">
        <v>173</v>
      </c>
      <c r="I550" t="s">
        <v>174</v>
      </c>
      <c r="J550">
        <v>2825</v>
      </c>
      <c r="K550" s="30">
        <v>45338</v>
      </c>
      <c r="L550">
        <v>1010100</v>
      </c>
      <c r="M550" t="s">
        <v>35</v>
      </c>
      <c r="N550">
        <v>161</v>
      </c>
      <c r="O550" t="s">
        <v>161</v>
      </c>
      <c r="P550" t="s">
        <v>210</v>
      </c>
      <c r="Q550">
        <f t="shared" si="10"/>
        <v>517</v>
      </c>
      <c r="R550">
        <f>_xlfn.XLOOKUP(E550,'Data Additive'!E:E,'Data Additive'!E:E,0)</f>
        <v>0</v>
      </c>
    </row>
    <row r="551" spans="1:18" x14ac:dyDescent="0.25">
      <c r="A551">
        <v>13193</v>
      </c>
      <c r="B551" t="s">
        <v>210</v>
      </c>
      <c r="C551" t="s">
        <v>211</v>
      </c>
      <c r="D551" s="34">
        <v>96537.1</v>
      </c>
      <c r="E551">
        <v>1246128030</v>
      </c>
      <c r="F551" s="30">
        <v>45604</v>
      </c>
      <c r="G551" s="30"/>
      <c r="H551" t="s">
        <v>173</v>
      </c>
      <c r="I551" t="s">
        <v>174</v>
      </c>
      <c r="J551">
        <v>2691</v>
      </c>
      <c r="K551" s="30">
        <v>45324</v>
      </c>
      <c r="L551">
        <v>1010100</v>
      </c>
      <c r="M551" t="s">
        <v>35</v>
      </c>
      <c r="N551">
        <v>161</v>
      </c>
      <c r="O551" t="s">
        <v>161</v>
      </c>
      <c r="P551" t="s">
        <v>210</v>
      </c>
      <c r="Q551">
        <f t="shared" si="10"/>
        <v>507</v>
      </c>
      <c r="R551">
        <f>_xlfn.XLOOKUP(E551,'Data Additive'!E:E,'Data Additive'!E:E,0)</f>
        <v>0</v>
      </c>
    </row>
    <row r="552" spans="1:18" x14ac:dyDescent="0.25">
      <c r="A552">
        <v>13193</v>
      </c>
      <c r="B552" t="s">
        <v>210</v>
      </c>
      <c r="C552" t="s">
        <v>211</v>
      </c>
      <c r="D552" s="34">
        <v>96537.1</v>
      </c>
      <c r="E552">
        <v>1246129535</v>
      </c>
      <c r="F552" s="30">
        <v>45597</v>
      </c>
      <c r="G552" s="30"/>
      <c r="H552" t="s">
        <v>173</v>
      </c>
      <c r="I552" t="s">
        <v>174</v>
      </c>
      <c r="J552">
        <v>2797</v>
      </c>
      <c r="K552" s="30">
        <v>45337</v>
      </c>
      <c r="L552">
        <v>1010100</v>
      </c>
      <c r="M552" t="s">
        <v>35</v>
      </c>
      <c r="N552">
        <v>161</v>
      </c>
      <c r="O552" t="s">
        <v>161</v>
      </c>
      <c r="P552" t="s">
        <v>210</v>
      </c>
      <c r="Q552">
        <f t="shared" si="10"/>
        <v>514</v>
      </c>
      <c r="R552">
        <f>_xlfn.XLOOKUP(E552,'Data Additive'!E:E,'Data Additive'!E:E,0)</f>
        <v>0</v>
      </c>
    </row>
    <row r="553" spans="1:18" x14ac:dyDescent="0.25">
      <c r="A553">
        <v>13193</v>
      </c>
      <c r="B553" t="s">
        <v>210</v>
      </c>
      <c r="C553" t="s">
        <v>211</v>
      </c>
      <c r="D553" s="34">
        <v>12586.97</v>
      </c>
      <c r="E553">
        <v>1246129615</v>
      </c>
      <c r="F553" s="30">
        <v>45594</v>
      </c>
      <c r="G553" s="30"/>
      <c r="H553" t="s">
        <v>173</v>
      </c>
      <c r="I553" t="s">
        <v>174</v>
      </c>
      <c r="J553">
        <v>2804</v>
      </c>
      <c r="K553" s="30">
        <v>45338</v>
      </c>
      <c r="L553">
        <v>1010100</v>
      </c>
      <c r="M553" t="s">
        <v>35</v>
      </c>
      <c r="N553">
        <v>161</v>
      </c>
      <c r="O553" t="s">
        <v>161</v>
      </c>
      <c r="P553" t="s">
        <v>210</v>
      </c>
      <c r="Q553">
        <f t="shared" si="10"/>
        <v>517</v>
      </c>
      <c r="R553">
        <f>_xlfn.XLOOKUP(E553,'Data Additive'!E:E,'Data Additive'!E:E,0)</f>
        <v>0</v>
      </c>
    </row>
    <row r="554" spans="1:18" x14ac:dyDescent="0.25">
      <c r="A554">
        <v>13193</v>
      </c>
      <c r="B554" t="s">
        <v>210</v>
      </c>
      <c r="C554" t="s">
        <v>211</v>
      </c>
      <c r="D554" s="34">
        <v>96537.1</v>
      </c>
      <c r="E554">
        <v>1246129423</v>
      </c>
      <c r="F554" s="30">
        <v>45597</v>
      </c>
      <c r="G554" s="30"/>
      <c r="H554" t="s">
        <v>173</v>
      </c>
      <c r="I554" t="s">
        <v>174</v>
      </c>
      <c r="J554">
        <v>2793</v>
      </c>
      <c r="K554" s="30">
        <v>45337</v>
      </c>
      <c r="L554">
        <v>1010100</v>
      </c>
      <c r="M554" t="s">
        <v>35</v>
      </c>
      <c r="N554">
        <v>161</v>
      </c>
      <c r="O554" t="s">
        <v>161</v>
      </c>
      <c r="P554" t="s">
        <v>210</v>
      </c>
      <c r="Q554">
        <f t="shared" si="10"/>
        <v>514</v>
      </c>
      <c r="R554">
        <f>_xlfn.XLOOKUP(E554,'Data Additive'!E:E,'Data Additive'!E:E,0)</f>
        <v>0</v>
      </c>
    </row>
    <row r="555" spans="1:18" x14ac:dyDescent="0.25">
      <c r="A555">
        <v>13193</v>
      </c>
      <c r="B555" t="s">
        <v>210</v>
      </c>
      <c r="C555" t="s">
        <v>211</v>
      </c>
      <c r="D555" s="34">
        <v>96537.1</v>
      </c>
      <c r="E555">
        <v>1246129513</v>
      </c>
      <c r="F555" s="30">
        <v>45605</v>
      </c>
      <c r="G555" s="30"/>
      <c r="H555" t="s">
        <v>173</v>
      </c>
      <c r="I555" t="s">
        <v>174</v>
      </c>
      <c r="J555">
        <v>2795</v>
      </c>
      <c r="K555" s="30">
        <v>45337</v>
      </c>
      <c r="L555">
        <v>1010100</v>
      </c>
      <c r="M555" t="s">
        <v>35</v>
      </c>
      <c r="N555">
        <v>161</v>
      </c>
      <c r="O555" t="s">
        <v>161</v>
      </c>
      <c r="P555" t="s">
        <v>210</v>
      </c>
      <c r="Q555">
        <f t="shared" si="10"/>
        <v>506</v>
      </c>
      <c r="R555">
        <f>_xlfn.XLOOKUP(E555,'Data Additive'!E:E,'Data Additive'!E:E,0)</f>
        <v>0</v>
      </c>
    </row>
    <row r="556" spans="1:18" x14ac:dyDescent="0.25">
      <c r="A556">
        <v>13193</v>
      </c>
      <c r="B556" t="s">
        <v>210</v>
      </c>
      <c r="C556" t="s">
        <v>211</v>
      </c>
      <c r="D556" s="34">
        <v>100695.77</v>
      </c>
      <c r="E556">
        <v>1246129348</v>
      </c>
      <c r="F556" s="30">
        <v>45592</v>
      </c>
      <c r="G556" s="30"/>
      <c r="H556" t="s">
        <v>173</v>
      </c>
      <c r="I556" t="s">
        <v>174</v>
      </c>
      <c r="J556">
        <v>2788</v>
      </c>
      <c r="K556" s="30">
        <v>45336</v>
      </c>
      <c r="L556">
        <v>1010100</v>
      </c>
      <c r="M556" t="s">
        <v>35</v>
      </c>
      <c r="N556">
        <v>161</v>
      </c>
      <c r="O556" t="s">
        <v>161</v>
      </c>
      <c r="P556" t="s">
        <v>210</v>
      </c>
      <c r="Q556">
        <f t="shared" si="10"/>
        <v>519</v>
      </c>
      <c r="R556">
        <f>_xlfn.XLOOKUP(E556,'Data Additive'!E:E,'Data Additive'!E:E,0)</f>
        <v>0</v>
      </c>
    </row>
    <row r="557" spans="1:18" x14ac:dyDescent="0.25">
      <c r="A557">
        <v>13193</v>
      </c>
      <c r="B557" t="s">
        <v>210</v>
      </c>
      <c r="C557" t="s">
        <v>211</v>
      </c>
      <c r="D557" s="34">
        <v>96537.12</v>
      </c>
      <c r="E557">
        <v>1246129613</v>
      </c>
      <c r="F557" s="30">
        <v>45598</v>
      </c>
      <c r="G557" s="30"/>
      <c r="H557" t="s">
        <v>173</v>
      </c>
      <c r="I557" t="s">
        <v>174</v>
      </c>
      <c r="J557">
        <v>2803</v>
      </c>
      <c r="K557" s="30">
        <v>45338</v>
      </c>
      <c r="L557">
        <v>1010100</v>
      </c>
      <c r="M557" t="s">
        <v>35</v>
      </c>
      <c r="N557">
        <v>161</v>
      </c>
      <c r="O557" t="s">
        <v>161</v>
      </c>
      <c r="P557" t="s">
        <v>210</v>
      </c>
      <c r="Q557">
        <f t="shared" si="10"/>
        <v>513</v>
      </c>
      <c r="R557">
        <f>_xlfn.XLOOKUP(E557,'Data Additive'!E:E,'Data Additive'!E:E,0)</f>
        <v>0</v>
      </c>
    </row>
    <row r="558" spans="1:18" x14ac:dyDescent="0.25">
      <c r="A558">
        <v>13193</v>
      </c>
      <c r="B558" t="s">
        <v>210</v>
      </c>
      <c r="C558" t="s">
        <v>211</v>
      </c>
      <c r="D558" s="34">
        <v>114958.38999999998</v>
      </c>
      <c r="E558">
        <v>1246126152</v>
      </c>
      <c r="F558" s="30">
        <v>45594</v>
      </c>
      <c r="G558" s="30"/>
      <c r="H558" t="s">
        <v>173</v>
      </c>
      <c r="I558" t="s">
        <v>174</v>
      </c>
      <c r="J558">
        <v>2568</v>
      </c>
      <c r="K558" s="30">
        <v>45314</v>
      </c>
      <c r="L558">
        <v>1010100</v>
      </c>
      <c r="M558" t="s">
        <v>35</v>
      </c>
      <c r="N558">
        <v>161</v>
      </c>
      <c r="O558" t="s">
        <v>161</v>
      </c>
      <c r="P558" t="s">
        <v>210</v>
      </c>
      <c r="Q558">
        <f t="shared" si="10"/>
        <v>517</v>
      </c>
      <c r="R558">
        <f>_xlfn.XLOOKUP(E558,'Data Additive'!E:E,'Data Additive'!E:E,0)</f>
        <v>0</v>
      </c>
    </row>
    <row r="559" spans="1:18" x14ac:dyDescent="0.25">
      <c r="A559">
        <v>13193</v>
      </c>
      <c r="B559" t="s">
        <v>210</v>
      </c>
      <c r="C559" t="s">
        <v>211</v>
      </c>
      <c r="D559" s="34">
        <v>111898.75000000001</v>
      </c>
      <c r="E559">
        <v>1246126325</v>
      </c>
      <c r="F559" s="30">
        <v>45595</v>
      </c>
      <c r="G559" s="30"/>
      <c r="H559" t="s">
        <v>173</v>
      </c>
      <c r="I559" t="s">
        <v>174</v>
      </c>
      <c r="J559">
        <v>2581</v>
      </c>
      <c r="K559" s="30">
        <v>45315</v>
      </c>
      <c r="L559">
        <v>1010100</v>
      </c>
      <c r="M559" t="s">
        <v>35</v>
      </c>
      <c r="N559">
        <v>161</v>
      </c>
      <c r="O559" t="s">
        <v>161</v>
      </c>
      <c r="P559" t="s">
        <v>210</v>
      </c>
      <c r="Q559">
        <f t="shared" si="10"/>
        <v>516</v>
      </c>
      <c r="R559">
        <f>_xlfn.XLOOKUP(E559,'Data Additive'!E:E,'Data Additive'!E:E,0)</f>
        <v>0</v>
      </c>
    </row>
    <row r="560" spans="1:18" x14ac:dyDescent="0.25">
      <c r="A560">
        <v>13193</v>
      </c>
      <c r="B560" t="s">
        <v>210</v>
      </c>
      <c r="C560" t="s">
        <v>211</v>
      </c>
      <c r="D560" s="34">
        <v>108604.24</v>
      </c>
      <c r="E560">
        <v>1246126878</v>
      </c>
      <c r="F560" s="30">
        <v>45597</v>
      </c>
      <c r="G560" s="30"/>
      <c r="H560" t="s">
        <v>173</v>
      </c>
      <c r="I560" t="s">
        <v>174</v>
      </c>
      <c r="J560">
        <v>2614</v>
      </c>
      <c r="K560" s="30">
        <v>45317</v>
      </c>
      <c r="L560">
        <v>1010100</v>
      </c>
      <c r="M560" t="s">
        <v>35</v>
      </c>
      <c r="N560">
        <v>161</v>
      </c>
      <c r="O560" t="s">
        <v>161</v>
      </c>
      <c r="P560" t="s">
        <v>210</v>
      </c>
      <c r="Q560">
        <f t="shared" si="10"/>
        <v>514</v>
      </c>
      <c r="R560">
        <f>_xlfn.XLOOKUP(E560,'Data Additive'!E:E,'Data Additive'!E:E,0)</f>
        <v>0</v>
      </c>
    </row>
    <row r="561" spans="1:18" x14ac:dyDescent="0.25">
      <c r="A561">
        <v>13193</v>
      </c>
      <c r="B561" t="s">
        <v>210</v>
      </c>
      <c r="C561" t="s">
        <v>211</v>
      </c>
      <c r="D561" s="34">
        <v>110524.44</v>
      </c>
      <c r="E561">
        <v>1246126771</v>
      </c>
      <c r="F561" s="30">
        <v>45597</v>
      </c>
      <c r="G561" s="30"/>
      <c r="H561" t="s">
        <v>173</v>
      </c>
      <c r="I561" t="s">
        <v>174</v>
      </c>
      <c r="J561">
        <v>2605</v>
      </c>
      <c r="K561" s="30">
        <v>45317</v>
      </c>
      <c r="L561">
        <v>1010100</v>
      </c>
      <c r="M561" t="s">
        <v>35</v>
      </c>
      <c r="N561">
        <v>161</v>
      </c>
      <c r="O561" t="s">
        <v>161</v>
      </c>
      <c r="P561" t="s">
        <v>210</v>
      </c>
      <c r="Q561">
        <f t="shared" si="10"/>
        <v>514</v>
      </c>
      <c r="R561">
        <f>_xlfn.XLOOKUP(E561,'Data Additive'!E:E,'Data Additive'!E:E,0)</f>
        <v>0</v>
      </c>
    </row>
    <row r="562" spans="1:18" x14ac:dyDescent="0.25">
      <c r="A562">
        <v>13193</v>
      </c>
      <c r="B562" t="s">
        <v>210</v>
      </c>
      <c r="C562" t="s">
        <v>211</v>
      </c>
      <c r="D562" s="34">
        <v>81453.179999999993</v>
      </c>
      <c r="E562">
        <v>1246126682</v>
      </c>
      <c r="F562" s="30">
        <v>45596</v>
      </c>
      <c r="G562" s="30"/>
      <c r="H562" t="s">
        <v>173</v>
      </c>
      <c r="I562" t="s">
        <v>174</v>
      </c>
      <c r="J562">
        <v>2598</v>
      </c>
      <c r="K562" s="30">
        <v>45316</v>
      </c>
      <c r="L562">
        <v>1010100</v>
      </c>
      <c r="M562" t="s">
        <v>35</v>
      </c>
      <c r="N562">
        <v>161</v>
      </c>
      <c r="O562" t="s">
        <v>161</v>
      </c>
      <c r="P562" t="s">
        <v>210</v>
      </c>
      <c r="Q562">
        <f t="shared" si="10"/>
        <v>515</v>
      </c>
      <c r="R562">
        <f>_xlfn.XLOOKUP(E562,'Data Additive'!E:E,'Data Additive'!E:E,0)</f>
        <v>0</v>
      </c>
    </row>
    <row r="563" spans="1:18" x14ac:dyDescent="0.25">
      <c r="A563">
        <v>13193</v>
      </c>
      <c r="B563" t="s">
        <v>210</v>
      </c>
      <c r="C563" t="s">
        <v>211</v>
      </c>
      <c r="D563" s="34">
        <v>97994.5</v>
      </c>
      <c r="E563">
        <v>1246124699</v>
      </c>
      <c r="F563" s="30">
        <v>45593</v>
      </c>
      <c r="G563" s="30"/>
      <c r="H563" t="s">
        <v>173</v>
      </c>
      <c r="I563" t="s">
        <v>174</v>
      </c>
      <c r="J563">
        <v>2485</v>
      </c>
      <c r="K563" s="30">
        <v>45303</v>
      </c>
      <c r="L563">
        <v>1010100</v>
      </c>
      <c r="M563" t="s">
        <v>35</v>
      </c>
      <c r="N563">
        <v>161</v>
      </c>
      <c r="O563" t="s">
        <v>161</v>
      </c>
      <c r="P563" t="s">
        <v>210</v>
      </c>
      <c r="Q563">
        <f t="shared" si="10"/>
        <v>518</v>
      </c>
      <c r="R563">
        <f>_xlfn.XLOOKUP(E563,'Data Additive'!E:E,'Data Additive'!E:E,0)</f>
        <v>0</v>
      </c>
    </row>
    <row r="564" spans="1:18" x14ac:dyDescent="0.25">
      <c r="A564">
        <v>13193</v>
      </c>
      <c r="B564" t="s">
        <v>210</v>
      </c>
      <c r="C564" t="s">
        <v>211</v>
      </c>
      <c r="D564" s="34">
        <v>102482.69</v>
      </c>
      <c r="E564">
        <v>1246129677</v>
      </c>
      <c r="F564" s="30">
        <v>45594</v>
      </c>
      <c r="G564" s="30"/>
      <c r="H564" t="s">
        <v>173</v>
      </c>
      <c r="I564" t="s">
        <v>174</v>
      </c>
      <c r="J564">
        <v>2818</v>
      </c>
      <c r="K564" s="30">
        <v>45338</v>
      </c>
      <c r="L564">
        <v>1010100</v>
      </c>
      <c r="M564" t="s">
        <v>35</v>
      </c>
      <c r="N564">
        <v>161</v>
      </c>
      <c r="O564" t="s">
        <v>161</v>
      </c>
      <c r="P564" t="s">
        <v>210</v>
      </c>
      <c r="Q564">
        <f t="shared" si="10"/>
        <v>517</v>
      </c>
      <c r="R564">
        <f>_xlfn.XLOOKUP(E564,'Data Additive'!E:E,'Data Additive'!E:E,0)</f>
        <v>0</v>
      </c>
    </row>
    <row r="565" spans="1:18" x14ac:dyDescent="0.25">
      <c r="A565">
        <v>13193</v>
      </c>
      <c r="B565" t="s">
        <v>210</v>
      </c>
      <c r="C565" t="s">
        <v>211</v>
      </c>
      <c r="D565" s="34">
        <v>140175.09</v>
      </c>
      <c r="E565">
        <v>1246130332</v>
      </c>
      <c r="F565" s="30">
        <v>45599</v>
      </c>
      <c r="G565" s="30"/>
      <c r="H565" t="s">
        <v>173</v>
      </c>
      <c r="I565" t="s">
        <v>174</v>
      </c>
      <c r="J565">
        <v>2873</v>
      </c>
      <c r="K565" s="30">
        <v>45343</v>
      </c>
      <c r="L565">
        <v>1010100</v>
      </c>
      <c r="M565" t="s">
        <v>35</v>
      </c>
      <c r="N565">
        <v>161</v>
      </c>
      <c r="O565" t="s">
        <v>161</v>
      </c>
      <c r="P565" t="s">
        <v>210</v>
      </c>
      <c r="Q565">
        <f t="shared" si="10"/>
        <v>512</v>
      </c>
      <c r="R565">
        <f>_xlfn.XLOOKUP(E565,'Data Additive'!E:E,'Data Additive'!E:E,0)</f>
        <v>0</v>
      </c>
    </row>
    <row r="566" spans="1:18" x14ac:dyDescent="0.25">
      <c r="A566">
        <v>13193</v>
      </c>
      <c r="B566" t="s">
        <v>210</v>
      </c>
      <c r="C566" t="s">
        <v>211</v>
      </c>
      <c r="D566" s="34">
        <v>112140.07</v>
      </c>
      <c r="E566">
        <v>1246130309</v>
      </c>
      <c r="F566" s="30">
        <v>45599</v>
      </c>
      <c r="G566" s="30"/>
      <c r="H566" t="s">
        <v>173</v>
      </c>
      <c r="I566" t="s">
        <v>174</v>
      </c>
      <c r="J566">
        <v>2867</v>
      </c>
      <c r="K566" s="30">
        <v>45343</v>
      </c>
      <c r="L566">
        <v>1010100</v>
      </c>
      <c r="M566" t="s">
        <v>35</v>
      </c>
      <c r="N566">
        <v>161</v>
      </c>
      <c r="O566" t="s">
        <v>161</v>
      </c>
      <c r="P566" t="s">
        <v>210</v>
      </c>
      <c r="Q566">
        <f t="shared" si="10"/>
        <v>512</v>
      </c>
      <c r="R566">
        <f>_xlfn.XLOOKUP(E566,'Data Additive'!E:E,'Data Additive'!E:E,0)</f>
        <v>0</v>
      </c>
    </row>
    <row r="567" spans="1:18" x14ac:dyDescent="0.25">
      <c r="A567">
        <v>13193</v>
      </c>
      <c r="B567" t="s">
        <v>210</v>
      </c>
      <c r="C567" t="s">
        <v>211</v>
      </c>
      <c r="D567" s="34">
        <v>105131.31</v>
      </c>
      <c r="E567">
        <v>1246132575</v>
      </c>
      <c r="F567" s="30">
        <v>45597</v>
      </c>
      <c r="G567" s="30"/>
      <c r="H567" t="s">
        <v>173</v>
      </c>
      <c r="I567" t="s">
        <v>174</v>
      </c>
      <c r="J567">
        <v>2994</v>
      </c>
      <c r="K567" s="30">
        <v>45357</v>
      </c>
      <c r="L567">
        <v>1010100</v>
      </c>
      <c r="M567" t="s">
        <v>35</v>
      </c>
      <c r="N567">
        <v>161</v>
      </c>
      <c r="O567" t="s">
        <v>161</v>
      </c>
      <c r="P567" t="s">
        <v>210</v>
      </c>
      <c r="Q567">
        <f t="shared" si="10"/>
        <v>514</v>
      </c>
      <c r="R567">
        <f>_xlfn.XLOOKUP(E567,'Data Additive'!E:E,'Data Additive'!E:E,0)</f>
        <v>0</v>
      </c>
    </row>
    <row r="568" spans="1:18" x14ac:dyDescent="0.25">
      <c r="A568">
        <v>13193</v>
      </c>
      <c r="B568" t="s">
        <v>210</v>
      </c>
      <c r="C568" t="s">
        <v>211</v>
      </c>
      <c r="D568" s="34">
        <v>97257.29</v>
      </c>
      <c r="E568">
        <v>1246139180</v>
      </c>
      <c r="F568" s="30">
        <v>45573</v>
      </c>
      <c r="G568" s="30"/>
      <c r="H568" t="s">
        <v>173</v>
      </c>
      <c r="I568" t="s">
        <v>174</v>
      </c>
      <c r="J568">
        <v>3265</v>
      </c>
      <c r="K568" s="30">
        <v>45393</v>
      </c>
      <c r="L568">
        <v>1010100</v>
      </c>
      <c r="M568" t="s">
        <v>35</v>
      </c>
      <c r="N568">
        <v>161</v>
      </c>
      <c r="O568" t="s">
        <v>161</v>
      </c>
      <c r="P568" t="s">
        <v>210</v>
      </c>
      <c r="Q568">
        <f t="shared" si="10"/>
        <v>538</v>
      </c>
      <c r="R568">
        <f>_xlfn.XLOOKUP(E568,'Data Additive'!E:E,'Data Additive'!E:E,0)</f>
        <v>0</v>
      </c>
    </row>
    <row r="569" spans="1:18" x14ac:dyDescent="0.25">
      <c r="A569">
        <v>13193</v>
      </c>
      <c r="B569" t="s">
        <v>210</v>
      </c>
      <c r="C569" t="s">
        <v>211</v>
      </c>
      <c r="D569" s="34">
        <v>104293.46</v>
      </c>
      <c r="E569">
        <v>1246135519</v>
      </c>
      <c r="F569" s="30">
        <v>45600</v>
      </c>
      <c r="G569" s="30"/>
      <c r="H569" t="s">
        <v>173</v>
      </c>
      <c r="I569" t="s">
        <v>174</v>
      </c>
      <c r="J569">
        <v>3146</v>
      </c>
      <c r="K569" s="30">
        <v>45373</v>
      </c>
      <c r="L569">
        <v>1010100</v>
      </c>
      <c r="M569" t="s">
        <v>35</v>
      </c>
      <c r="N569">
        <v>161</v>
      </c>
      <c r="O569" t="s">
        <v>161</v>
      </c>
      <c r="P569" t="s">
        <v>210</v>
      </c>
      <c r="Q569">
        <f t="shared" si="10"/>
        <v>511</v>
      </c>
      <c r="R569">
        <f>_xlfn.XLOOKUP(E569,'Data Additive'!E:E,'Data Additive'!E:E,0)</f>
        <v>0</v>
      </c>
    </row>
    <row r="570" spans="1:18" x14ac:dyDescent="0.25">
      <c r="A570">
        <v>13193</v>
      </c>
      <c r="B570" t="s">
        <v>210</v>
      </c>
      <c r="C570" t="s">
        <v>211</v>
      </c>
      <c r="D570" s="34">
        <v>120980.73</v>
      </c>
      <c r="E570">
        <v>1246138904</v>
      </c>
      <c r="F570" s="30">
        <v>45572</v>
      </c>
      <c r="G570" s="30"/>
      <c r="H570" t="s">
        <v>173</v>
      </c>
      <c r="I570" t="s">
        <v>174</v>
      </c>
      <c r="J570">
        <v>3260</v>
      </c>
      <c r="K570" s="30">
        <v>45392</v>
      </c>
      <c r="L570">
        <v>1010100</v>
      </c>
      <c r="M570" t="s">
        <v>35</v>
      </c>
      <c r="N570">
        <v>161</v>
      </c>
      <c r="O570" t="s">
        <v>161</v>
      </c>
      <c r="P570" t="s">
        <v>210</v>
      </c>
      <c r="Q570">
        <f t="shared" si="10"/>
        <v>539</v>
      </c>
      <c r="R570">
        <f>_xlfn.XLOOKUP(E570,'Data Additive'!E:E,'Data Additive'!E:E,0)</f>
        <v>0</v>
      </c>
    </row>
    <row r="571" spans="1:18" x14ac:dyDescent="0.25">
      <c r="A571">
        <v>13193</v>
      </c>
      <c r="B571" t="s">
        <v>210</v>
      </c>
      <c r="C571" t="s">
        <v>211</v>
      </c>
      <c r="D571" s="34">
        <v>142145.26999999999</v>
      </c>
      <c r="E571">
        <v>1246138695</v>
      </c>
      <c r="F571" s="30">
        <v>45571</v>
      </c>
      <c r="G571" s="30"/>
      <c r="H571" t="s">
        <v>173</v>
      </c>
      <c r="I571" t="s">
        <v>174</v>
      </c>
      <c r="J571">
        <v>3255</v>
      </c>
      <c r="K571" s="30">
        <v>45391</v>
      </c>
      <c r="L571">
        <v>1010100</v>
      </c>
      <c r="M571" t="s">
        <v>35</v>
      </c>
      <c r="N571">
        <v>161</v>
      </c>
      <c r="O571" t="s">
        <v>161</v>
      </c>
      <c r="P571" t="s">
        <v>210</v>
      </c>
      <c r="Q571">
        <f t="shared" si="10"/>
        <v>540</v>
      </c>
      <c r="R571">
        <f>_xlfn.XLOOKUP(E571,'Data Additive'!E:E,'Data Additive'!E:E,0)</f>
        <v>0</v>
      </c>
    </row>
    <row r="572" spans="1:18" x14ac:dyDescent="0.25">
      <c r="A572">
        <v>13193</v>
      </c>
      <c r="B572" t="s">
        <v>210</v>
      </c>
      <c r="C572" t="s">
        <v>211</v>
      </c>
      <c r="D572" s="34">
        <v>30167.84</v>
      </c>
      <c r="E572">
        <v>1246134824</v>
      </c>
      <c r="F572" s="30">
        <v>45597</v>
      </c>
      <c r="G572" s="30"/>
      <c r="H572" t="s">
        <v>173</v>
      </c>
      <c r="I572" t="s">
        <v>174</v>
      </c>
      <c r="J572">
        <v>3122</v>
      </c>
      <c r="K572" s="30">
        <v>45370</v>
      </c>
      <c r="L572">
        <v>1010100</v>
      </c>
      <c r="M572" t="s">
        <v>35</v>
      </c>
      <c r="N572">
        <v>161</v>
      </c>
      <c r="O572" t="s">
        <v>161</v>
      </c>
      <c r="P572" t="s">
        <v>210</v>
      </c>
      <c r="Q572">
        <f t="shared" si="10"/>
        <v>514</v>
      </c>
      <c r="R572">
        <f>_xlfn.XLOOKUP(E572,'Data Additive'!E:E,'Data Additive'!E:E,0)</f>
        <v>0</v>
      </c>
    </row>
    <row r="573" spans="1:18" x14ac:dyDescent="0.25">
      <c r="A573">
        <v>13193</v>
      </c>
      <c r="B573" t="s">
        <v>210</v>
      </c>
      <c r="C573" t="s">
        <v>211</v>
      </c>
      <c r="D573" s="34">
        <v>96077.53</v>
      </c>
      <c r="E573">
        <v>1246134935</v>
      </c>
      <c r="F573" s="30">
        <v>45598</v>
      </c>
      <c r="G573" s="30"/>
      <c r="H573" t="s">
        <v>173</v>
      </c>
      <c r="I573" t="s">
        <v>174</v>
      </c>
      <c r="J573">
        <v>3128</v>
      </c>
      <c r="K573" s="30">
        <v>45371</v>
      </c>
      <c r="L573">
        <v>1010100</v>
      </c>
      <c r="M573" t="s">
        <v>35</v>
      </c>
      <c r="N573">
        <v>161</v>
      </c>
      <c r="O573" t="s">
        <v>161</v>
      </c>
      <c r="P573" t="s">
        <v>210</v>
      </c>
      <c r="Q573">
        <f t="shared" si="10"/>
        <v>513</v>
      </c>
      <c r="R573">
        <f>_xlfn.XLOOKUP(E573,'Data Additive'!E:E,'Data Additive'!E:E,0)</f>
        <v>0</v>
      </c>
    </row>
    <row r="574" spans="1:18" x14ac:dyDescent="0.25">
      <c r="A574">
        <v>13193</v>
      </c>
      <c r="B574" t="s">
        <v>210</v>
      </c>
      <c r="C574" t="s">
        <v>211</v>
      </c>
      <c r="D574" s="34">
        <v>90503.54</v>
      </c>
      <c r="E574">
        <v>1246134807</v>
      </c>
      <c r="F574" s="30">
        <v>45597</v>
      </c>
      <c r="G574" s="30"/>
      <c r="H574" t="s">
        <v>173</v>
      </c>
      <c r="I574" t="s">
        <v>174</v>
      </c>
      <c r="J574">
        <v>3119</v>
      </c>
      <c r="K574" s="30">
        <v>45370</v>
      </c>
      <c r="L574">
        <v>1010100</v>
      </c>
      <c r="M574" t="s">
        <v>35</v>
      </c>
      <c r="N574">
        <v>161</v>
      </c>
      <c r="O574" t="s">
        <v>161</v>
      </c>
      <c r="P574" t="s">
        <v>210</v>
      </c>
      <c r="Q574">
        <f t="shared" si="10"/>
        <v>514</v>
      </c>
      <c r="R574">
        <f>_xlfn.XLOOKUP(E574,'Data Additive'!E:E,'Data Additive'!E:E,0)</f>
        <v>0</v>
      </c>
    </row>
    <row r="575" spans="1:18" x14ac:dyDescent="0.25">
      <c r="A575">
        <v>13193</v>
      </c>
      <c r="B575" t="s">
        <v>210</v>
      </c>
      <c r="C575" t="s">
        <v>211</v>
      </c>
      <c r="D575" s="34">
        <v>90503.54</v>
      </c>
      <c r="E575">
        <v>1246134540</v>
      </c>
      <c r="F575" s="30">
        <v>45596</v>
      </c>
      <c r="G575" s="30"/>
      <c r="H575" t="s">
        <v>173</v>
      </c>
      <c r="I575" t="s">
        <v>174</v>
      </c>
      <c r="J575">
        <v>3110</v>
      </c>
      <c r="K575" s="30">
        <v>45369</v>
      </c>
      <c r="L575">
        <v>1010100</v>
      </c>
      <c r="M575" t="s">
        <v>35</v>
      </c>
      <c r="N575">
        <v>161</v>
      </c>
      <c r="O575" t="s">
        <v>161</v>
      </c>
      <c r="P575" t="s">
        <v>210</v>
      </c>
      <c r="Q575">
        <f t="shared" ref="Q575:Q626" si="11">$R$1-F575</f>
        <v>515</v>
      </c>
      <c r="R575">
        <f>_xlfn.XLOOKUP(E575,'Data Additive'!E:E,'Data Additive'!E:E,0)</f>
        <v>0</v>
      </c>
    </row>
    <row r="576" spans="1:18" x14ac:dyDescent="0.25">
      <c r="A576">
        <v>13193</v>
      </c>
      <c r="B576" t="s">
        <v>210</v>
      </c>
      <c r="C576" t="s">
        <v>211</v>
      </c>
      <c r="D576" s="34">
        <v>82776.289999999994</v>
      </c>
      <c r="E576">
        <v>1246139327</v>
      </c>
      <c r="F576" s="30">
        <v>45573</v>
      </c>
      <c r="G576" s="30"/>
      <c r="H576" t="s">
        <v>173</v>
      </c>
      <c r="I576" t="s">
        <v>174</v>
      </c>
      <c r="J576">
        <v>3272</v>
      </c>
      <c r="K576" s="30">
        <v>45393</v>
      </c>
      <c r="L576">
        <v>1010100</v>
      </c>
      <c r="M576" t="s">
        <v>35</v>
      </c>
      <c r="N576">
        <v>161</v>
      </c>
      <c r="O576" t="s">
        <v>161</v>
      </c>
      <c r="P576" t="s">
        <v>210</v>
      </c>
      <c r="Q576">
        <f t="shared" si="11"/>
        <v>538</v>
      </c>
      <c r="R576">
        <f>_xlfn.XLOOKUP(E576,'Data Additive'!E:E,'Data Additive'!E:E,0)</f>
        <v>0</v>
      </c>
    </row>
    <row r="577" spans="1:18" x14ac:dyDescent="0.25">
      <c r="A577">
        <v>13193</v>
      </c>
      <c r="B577" t="s">
        <v>210</v>
      </c>
      <c r="C577" t="s">
        <v>211</v>
      </c>
      <c r="D577" s="34">
        <v>64051.68</v>
      </c>
      <c r="E577">
        <v>1246134828</v>
      </c>
      <c r="F577" s="30">
        <v>45597</v>
      </c>
      <c r="G577" s="30"/>
      <c r="H577" t="s">
        <v>173</v>
      </c>
      <c r="I577" t="s">
        <v>174</v>
      </c>
      <c r="J577">
        <v>3123</v>
      </c>
      <c r="K577" s="30">
        <v>45370</v>
      </c>
      <c r="L577">
        <v>1010100</v>
      </c>
      <c r="M577" t="s">
        <v>35</v>
      </c>
      <c r="N577">
        <v>161</v>
      </c>
      <c r="O577" t="s">
        <v>161</v>
      </c>
      <c r="P577" t="s">
        <v>210</v>
      </c>
      <c r="Q577">
        <f t="shared" si="11"/>
        <v>514</v>
      </c>
      <c r="R577">
        <f>_xlfn.XLOOKUP(E577,'Data Additive'!E:E,'Data Additive'!E:E,0)</f>
        <v>0</v>
      </c>
    </row>
    <row r="578" spans="1:18" x14ac:dyDescent="0.25">
      <c r="A578">
        <v>13193</v>
      </c>
      <c r="B578" t="s">
        <v>210</v>
      </c>
      <c r="C578" t="s">
        <v>211</v>
      </c>
      <c r="D578" s="34">
        <v>96077.53</v>
      </c>
      <c r="E578">
        <v>1246134926</v>
      </c>
      <c r="F578" s="30">
        <v>45598</v>
      </c>
      <c r="G578" s="30"/>
      <c r="H578" t="s">
        <v>173</v>
      </c>
      <c r="I578" t="s">
        <v>174</v>
      </c>
      <c r="J578">
        <v>3126</v>
      </c>
      <c r="K578" s="30">
        <v>45371</v>
      </c>
      <c r="L578">
        <v>1010100</v>
      </c>
      <c r="M578" t="s">
        <v>35</v>
      </c>
      <c r="N578">
        <v>161</v>
      </c>
      <c r="O578" t="s">
        <v>161</v>
      </c>
      <c r="P578" t="s">
        <v>210</v>
      </c>
      <c r="Q578">
        <f t="shared" si="11"/>
        <v>513</v>
      </c>
      <c r="R578">
        <f>_xlfn.XLOOKUP(E578,'Data Additive'!E:E,'Data Additive'!E:E,0)</f>
        <v>0</v>
      </c>
    </row>
    <row r="579" spans="1:18" x14ac:dyDescent="0.25">
      <c r="A579">
        <v>13193</v>
      </c>
      <c r="B579" t="s">
        <v>210</v>
      </c>
      <c r="C579" t="s">
        <v>211</v>
      </c>
      <c r="D579" s="34">
        <v>96077.53</v>
      </c>
      <c r="E579">
        <v>1246135475</v>
      </c>
      <c r="F579" s="30">
        <v>45600</v>
      </c>
      <c r="G579" s="30"/>
      <c r="H579" t="s">
        <v>173</v>
      </c>
      <c r="I579" t="s">
        <v>174</v>
      </c>
      <c r="J579">
        <v>3143</v>
      </c>
      <c r="K579" s="30">
        <v>45373</v>
      </c>
      <c r="L579">
        <v>1010100</v>
      </c>
      <c r="M579" t="s">
        <v>35</v>
      </c>
      <c r="N579">
        <v>161</v>
      </c>
      <c r="O579" t="s">
        <v>161</v>
      </c>
      <c r="P579" t="s">
        <v>210</v>
      </c>
      <c r="Q579">
        <f t="shared" si="11"/>
        <v>511</v>
      </c>
      <c r="R579">
        <f>_xlfn.XLOOKUP(E579,'Data Additive'!E:E,'Data Additive'!E:E,0)</f>
        <v>0</v>
      </c>
    </row>
    <row r="580" spans="1:18" x14ac:dyDescent="0.25">
      <c r="A580">
        <v>14094</v>
      </c>
      <c r="B580" t="s">
        <v>265</v>
      </c>
      <c r="C580" t="s">
        <v>266</v>
      </c>
      <c r="D580" s="34">
        <v>100</v>
      </c>
      <c r="E580">
        <v>1246154530</v>
      </c>
      <c r="F580" s="30">
        <v>45474</v>
      </c>
      <c r="G580" s="30"/>
      <c r="I580" t="s">
        <v>373</v>
      </c>
      <c r="J580">
        <v>4088</v>
      </c>
      <c r="K580" s="30">
        <v>45474</v>
      </c>
      <c r="L580">
        <v>4010300</v>
      </c>
      <c r="M580" t="s">
        <v>142</v>
      </c>
      <c r="N580">
        <v>244</v>
      </c>
      <c r="O580" t="s">
        <v>191</v>
      </c>
      <c r="P580" t="s">
        <v>265</v>
      </c>
      <c r="Q580">
        <f t="shared" si="11"/>
        <v>637</v>
      </c>
      <c r="R580">
        <f>_xlfn.XLOOKUP(E580,'Data Additive'!E:E,'Data Additive'!E:E,0)</f>
        <v>1246154530</v>
      </c>
    </row>
    <row r="581" spans="1:18" x14ac:dyDescent="0.25">
      <c r="A581">
        <v>13873</v>
      </c>
      <c r="B581" t="s">
        <v>309</v>
      </c>
      <c r="C581" t="s">
        <v>310</v>
      </c>
      <c r="D581" s="34">
        <v>50</v>
      </c>
      <c r="E581">
        <v>1246166396</v>
      </c>
      <c r="F581" s="30">
        <v>45525</v>
      </c>
      <c r="G581" s="30"/>
      <c r="I581" t="s">
        <v>373</v>
      </c>
      <c r="J581">
        <v>4854</v>
      </c>
      <c r="K581" s="30">
        <v>45525</v>
      </c>
      <c r="L581">
        <v>4010300</v>
      </c>
      <c r="M581" t="s">
        <v>142</v>
      </c>
      <c r="N581">
        <v>244</v>
      </c>
      <c r="O581" t="s">
        <v>191</v>
      </c>
      <c r="P581" t="s">
        <v>309</v>
      </c>
      <c r="Q581">
        <f t="shared" si="11"/>
        <v>586</v>
      </c>
      <c r="R581">
        <f>_xlfn.XLOOKUP(E581,'Data Additive'!E:E,'Data Additive'!E:E,0)</f>
        <v>1246166396</v>
      </c>
    </row>
    <row r="582" spans="1:18" x14ac:dyDescent="0.25">
      <c r="A582">
        <v>14179</v>
      </c>
      <c r="B582" t="s">
        <v>815</v>
      </c>
      <c r="C582" t="s">
        <v>816</v>
      </c>
      <c r="D582" s="34">
        <v>292.08</v>
      </c>
      <c r="E582">
        <v>1246270339</v>
      </c>
      <c r="F582" s="30">
        <v>46125</v>
      </c>
      <c r="G582" s="30"/>
      <c r="I582" t="s">
        <v>373</v>
      </c>
      <c r="J582">
        <v>10469</v>
      </c>
      <c r="K582" s="30">
        <v>46035</v>
      </c>
      <c r="L582">
        <v>4011600</v>
      </c>
      <c r="M582" t="s">
        <v>702</v>
      </c>
      <c r="N582">
        <v>244</v>
      </c>
      <c r="O582" t="s">
        <v>191</v>
      </c>
      <c r="P582" t="s">
        <v>815</v>
      </c>
      <c r="Q582">
        <f t="shared" si="11"/>
        <v>-14</v>
      </c>
      <c r="R582">
        <f>_xlfn.XLOOKUP(E582,'Data Additive'!E:E,'Data Additive'!E:E,0)</f>
        <v>1246270339</v>
      </c>
    </row>
    <row r="583" spans="1:18" x14ac:dyDescent="0.25">
      <c r="A583">
        <v>14106</v>
      </c>
      <c r="B583" t="s">
        <v>383</v>
      </c>
      <c r="C583" t="s">
        <v>384</v>
      </c>
      <c r="D583" s="34">
        <v>300</v>
      </c>
      <c r="E583">
        <v>1246182736</v>
      </c>
      <c r="F583" s="30">
        <v>45625</v>
      </c>
      <c r="G583" s="30"/>
      <c r="I583" t="s">
        <v>373</v>
      </c>
      <c r="J583">
        <v>6092</v>
      </c>
      <c r="K583" s="30">
        <v>45610</v>
      </c>
      <c r="L583">
        <v>1020400</v>
      </c>
      <c r="M583" t="s">
        <v>144</v>
      </c>
      <c r="N583">
        <v>136</v>
      </c>
      <c r="O583" t="s">
        <v>144</v>
      </c>
      <c r="P583" t="s">
        <v>383</v>
      </c>
      <c r="Q583">
        <f t="shared" si="11"/>
        <v>486</v>
      </c>
      <c r="R583">
        <f>_xlfn.XLOOKUP(E583,'Data Additive'!E:E,'Data Additive'!E:E,0)</f>
        <v>1246182736</v>
      </c>
    </row>
    <row r="584" spans="1:18" x14ac:dyDescent="0.25">
      <c r="A584">
        <v>13567</v>
      </c>
      <c r="B584" t="s">
        <v>378</v>
      </c>
      <c r="C584" t="s">
        <v>379</v>
      </c>
      <c r="D584" s="34">
        <v>108547.57</v>
      </c>
      <c r="E584">
        <v>1246235061</v>
      </c>
      <c r="F584" s="30">
        <v>46143</v>
      </c>
      <c r="G584" s="30"/>
      <c r="H584" t="s">
        <v>173</v>
      </c>
      <c r="I584" t="s">
        <v>174</v>
      </c>
      <c r="J584">
        <v>9184</v>
      </c>
      <c r="K584" s="30">
        <v>45904</v>
      </c>
      <c r="L584">
        <v>1010100</v>
      </c>
      <c r="M584" t="s">
        <v>35</v>
      </c>
      <c r="N584">
        <v>56</v>
      </c>
      <c r="O584" t="s">
        <v>162</v>
      </c>
      <c r="P584" t="s">
        <v>378</v>
      </c>
      <c r="Q584">
        <f t="shared" si="11"/>
        <v>-32</v>
      </c>
      <c r="R584">
        <f>_xlfn.XLOOKUP(E584,'Data Additive'!E:E,'Data Additive'!E:E,0)</f>
        <v>0</v>
      </c>
    </row>
    <row r="585" spans="1:18" x14ac:dyDescent="0.25">
      <c r="A585">
        <v>13567</v>
      </c>
      <c r="B585" t="s">
        <v>378</v>
      </c>
      <c r="C585" t="s">
        <v>379</v>
      </c>
      <c r="D585" s="34">
        <v>114260.6</v>
      </c>
      <c r="E585">
        <v>1246235060</v>
      </c>
      <c r="F585" s="30">
        <v>46143</v>
      </c>
      <c r="G585" s="30"/>
      <c r="H585" t="s">
        <v>173</v>
      </c>
      <c r="I585" t="s">
        <v>174</v>
      </c>
      <c r="J585">
        <v>9183</v>
      </c>
      <c r="K585" s="30">
        <v>45904</v>
      </c>
      <c r="L585">
        <v>1010100</v>
      </c>
      <c r="M585" t="s">
        <v>35</v>
      </c>
      <c r="N585">
        <v>56</v>
      </c>
      <c r="O585" t="s">
        <v>162</v>
      </c>
      <c r="P585" t="s">
        <v>378</v>
      </c>
      <c r="Q585">
        <f t="shared" si="11"/>
        <v>-32</v>
      </c>
      <c r="R585">
        <f>_xlfn.XLOOKUP(E585,'Data Additive'!E:E,'Data Additive'!E:E,0)</f>
        <v>0</v>
      </c>
    </row>
    <row r="586" spans="1:18" x14ac:dyDescent="0.25">
      <c r="A586">
        <v>14948</v>
      </c>
      <c r="B586" t="s">
        <v>380</v>
      </c>
      <c r="C586" t="s">
        <v>381</v>
      </c>
      <c r="D586" s="34">
        <v>184217.94</v>
      </c>
      <c r="E586">
        <v>1246221983</v>
      </c>
      <c r="F586" s="30">
        <v>46138</v>
      </c>
      <c r="G586" s="30"/>
      <c r="H586" t="s">
        <v>173</v>
      </c>
      <c r="I586" t="s">
        <v>174</v>
      </c>
      <c r="J586">
        <v>8306</v>
      </c>
      <c r="K586" s="30">
        <v>45838</v>
      </c>
      <c r="L586">
        <v>1010100</v>
      </c>
      <c r="M586" t="s">
        <v>35</v>
      </c>
      <c r="N586">
        <v>56</v>
      </c>
      <c r="O586" t="s">
        <v>162</v>
      </c>
      <c r="P586" t="s">
        <v>380</v>
      </c>
      <c r="Q586">
        <f t="shared" si="11"/>
        <v>-27</v>
      </c>
      <c r="R586">
        <f>_xlfn.XLOOKUP(E586,'Data Additive'!E:E,'Data Additive'!E:E,0)</f>
        <v>0</v>
      </c>
    </row>
    <row r="587" spans="1:18" x14ac:dyDescent="0.25">
      <c r="A587">
        <v>14948</v>
      </c>
      <c r="B587" t="s">
        <v>380</v>
      </c>
      <c r="C587" t="s">
        <v>381</v>
      </c>
      <c r="D587" s="34">
        <v>146464.34</v>
      </c>
      <c r="E587">
        <v>1246228211</v>
      </c>
      <c r="F587" s="30">
        <v>46135</v>
      </c>
      <c r="G587" s="30"/>
      <c r="H587" t="s">
        <v>173</v>
      </c>
      <c r="I587" t="s">
        <v>174</v>
      </c>
      <c r="J587">
        <v>8692</v>
      </c>
      <c r="K587" s="30">
        <v>45869</v>
      </c>
      <c r="L587">
        <v>1010100</v>
      </c>
      <c r="M587" t="s">
        <v>35</v>
      </c>
      <c r="N587">
        <v>56</v>
      </c>
      <c r="O587" t="s">
        <v>162</v>
      </c>
      <c r="P587" t="s">
        <v>380</v>
      </c>
      <c r="Q587">
        <f t="shared" si="11"/>
        <v>-24</v>
      </c>
      <c r="R587">
        <f>_xlfn.XLOOKUP(E587,'Data Additive'!E:E,'Data Additive'!E:E,0)</f>
        <v>0</v>
      </c>
    </row>
    <row r="588" spans="1:18" x14ac:dyDescent="0.25">
      <c r="A588">
        <v>14948</v>
      </c>
      <c r="B588" t="s">
        <v>380</v>
      </c>
      <c r="C588" t="s">
        <v>381</v>
      </c>
      <c r="D588" s="34">
        <v>235730.06</v>
      </c>
      <c r="E588">
        <v>1246228090</v>
      </c>
      <c r="F588" s="30">
        <v>46134</v>
      </c>
      <c r="G588" s="30"/>
      <c r="H588" t="s">
        <v>173</v>
      </c>
      <c r="I588" t="s">
        <v>174</v>
      </c>
      <c r="J588">
        <v>8683</v>
      </c>
      <c r="K588" s="30">
        <v>45868</v>
      </c>
      <c r="L588">
        <v>1010100</v>
      </c>
      <c r="M588" t="s">
        <v>35</v>
      </c>
      <c r="N588">
        <v>56</v>
      </c>
      <c r="O588" t="s">
        <v>162</v>
      </c>
      <c r="P588" t="s">
        <v>380</v>
      </c>
      <c r="Q588">
        <f t="shared" si="11"/>
        <v>-23</v>
      </c>
      <c r="R588">
        <f>_xlfn.XLOOKUP(E588,'Data Additive'!E:E,'Data Additive'!E:E,0)</f>
        <v>0</v>
      </c>
    </row>
    <row r="589" spans="1:18" x14ac:dyDescent="0.25">
      <c r="A589">
        <v>14348</v>
      </c>
      <c r="B589" t="s">
        <v>452</v>
      </c>
      <c r="C589" t="s">
        <v>498</v>
      </c>
      <c r="D589" s="34">
        <v>131567.4</v>
      </c>
      <c r="E589">
        <v>1246216319</v>
      </c>
      <c r="F589" s="30">
        <v>46133</v>
      </c>
      <c r="G589" s="30"/>
      <c r="H589" t="s">
        <v>173</v>
      </c>
      <c r="I589" t="s">
        <v>174</v>
      </c>
      <c r="J589">
        <v>2021</v>
      </c>
      <c r="K589" s="30">
        <v>45806</v>
      </c>
      <c r="L589">
        <v>1010100</v>
      </c>
      <c r="M589" t="s">
        <v>35</v>
      </c>
      <c r="N589">
        <v>161</v>
      </c>
      <c r="O589" t="s">
        <v>161</v>
      </c>
      <c r="P589" t="s">
        <v>452</v>
      </c>
      <c r="Q589">
        <f t="shared" si="11"/>
        <v>-22</v>
      </c>
      <c r="R589">
        <f>_xlfn.XLOOKUP(E589,'Data Additive'!E:E,'Data Additive'!E:E,0)</f>
        <v>0</v>
      </c>
    </row>
    <row r="590" spans="1:18" x14ac:dyDescent="0.25">
      <c r="A590">
        <v>14348</v>
      </c>
      <c r="B590" t="s">
        <v>452</v>
      </c>
      <c r="C590" t="s">
        <v>498</v>
      </c>
      <c r="D590" s="34">
        <v>188669.12</v>
      </c>
      <c r="E590">
        <v>1246215914</v>
      </c>
      <c r="F590" s="30">
        <v>46132</v>
      </c>
      <c r="G590" s="30"/>
      <c r="H590" t="s">
        <v>173</v>
      </c>
      <c r="I590" t="s">
        <v>174</v>
      </c>
      <c r="J590">
        <v>7942</v>
      </c>
      <c r="K590" s="30">
        <v>45805</v>
      </c>
      <c r="L590">
        <v>1010100</v>
      </c>
      <c r="M590" t="s">
        <v>35</v>
      </c>
      <c r="N590">
        <v>161</v>
      </c>
      <c r="O590" t="s">
        <v>161</v>
      </c>
      <c r="P590" t="s">
        <v>452</v>
      </c>
      <c r="Q590">
        <f t="shared" si="11"/>
        <v>-21</v>
      </c>
      <c r="R590">
        <f>_xlfn.XLOOKUP(E590,'Data Additive'!E:E,'Data Additive'!E:E,0)</f>
        <v>0</v>
      </c>
    </row>
    <row r="591" spans="1:18" x14ac:dyDescent="0.25">
      <c r="A591">
        <v>14348</v>
      </c>
      <c r="B591" t="s">
        <v>452</v>
      </c>
      <c r="C591" t="s">
        <v>498</v>
      </c>
      <c r="D591" s="34">
        <v>188669.12</v>
      </c>
      <c r="E591">
        <v>1246215868</v>
      </c>
      <c r="F591" s="30">
        <v>46132</v>
      </c>
      <c r="G591" s="30"/>
      <c r="H591" t="s">
        <v>173</v>
      </c>
      <c r="I591" t="s">
        <v>174</v>
      </c>
      <c r="J591">
        <v>7933</v>
      </c>
      <c r="K591" s="30">
        <v>45805</v>
      </c>
      <c r="L591">
        <v>1010100</v>
      </c>
      <c r="M591" t="s">
        <v>35</v>
      </c>
      <c r="N591">
        <v>161</v>
      </c>
      <c r="O591" t="s">
        <v>161</v>
      </c>
      <c r="P591" t="s">
        <v>452</v>
      </c>
      <c r="Q591">
        <f t="shared" si="11"/>
        <v>-21</v>
      </c>
      <c r="R591">
        <f>_xlfn.XLOOKUP(E591,'Data Additive'!E:E,'Data Additive'!E:E,0)</f>
        <v>0</v>
      </c>
    </row>
    <row r="592" spans="1:18" x14ac:dyDescent="0.25">
      <c r="A592">
        <v>14348</v>
      </c>
      <c r="B592" t="s">
        <v>452</v>
      </c>
      <c r="C592" t="s">
        <v>498</v>
      </c>
      <c r="D592" s="34">
        <v>131567.4</v>
      </c>
      <c r="E592">
        <v>1246216133</v>
      </c>
      <c r="F592" s="30">
        <v>46133</v>
      </c>
      <c r="G592" s="30"/>
      <c r="H592" t="s">
        <v>173</v>
      </c>
      <c r="I592" t="s">
        <v>174</v>
      </c>
      <c r="J592">
        <v>7957</v>
      </c>
      <c r="K592" s="30">
        <v>45806</v>
      </c>
      <c r="L592">
        <v>1010100</v>
      </c>
      <c r="M592" t="s">
        <v>35</v>
      </c>
      <c r="N592">
        <v>161</v>
      </c>
      <c r="O592" t="s">
        <v>161</v>
      </c>
      <c r="P592" t="s">
        <v>452</v>
      </c>
      <c r="Q592">
        <f t="shared" si="11"/>
        <v>-22</v>
      </c>
      <c r="R592">
        <f>_xlfn.XLOOKUP(E592,'Data Additive'!E:E,'Data Additive'!E:E,0)</f>
        <v>0</v>
      </c>
    </row>
    <row r="593" spans="1:18" x14ac:dyDescent="0.25">
      <c r="A593">
        <v>14552</v>
      </c>
      <c r="B593" t="s">
        <v>335</v>
      </c>
      <c r="C593" t="s">
        <v>336</v>
      </c>
      <c r="D593" s="34">
        <v>91336</v>
      </c>
      <c r="E593">
        <v>1246259067</v>
      </c>
      <c r="F593" s="30">
        <v>46141</v>
      </c>
      <c r="G593" s="30"/>
      <c r="H593" t="s">
        <v>173</v>
      </c>
      <c r="I593" t="s">
        <v>174</v>
      </c>
      <c r="J593">
        <v>8636</v>
      </c>
      <c r="K593" s="30">
        <v>45866</v>
      </c>
      <c r="L593">
        <v>1010100</v>
      </c>
      <c r="M593" t="s">
        <v>35</v>
      </c>
      <c r="N593">
        <v>7</v>
      </c>
      <c r="O593" t="s">
        <v>654</v>
      </c>
      <c r="P593" t="s">
        <v>335</v>
      </c>
      <c r="Q593">
        <f t="shared" si="11"/>
        <v>-30</v>
      </c>
      <c r="R593">
        <f>_xlfn.XLOOKUP(E593,'Data Additive'!E:E,'Data Additive'!E:E,0)</f>
        <v>0</v>
      </c>
    </row>
    <row r="594" spans="1:18" x14ac:dyDescent="0.25">
      <c r="A594">
        <v>14552</v>
      </c>
      <c r="B594" t="s">
        <v>335</v>
      </c>
      <c r="C594" t="s">
        <v>336</v>
      </c>
      <c r="D594" s="34">
        <v>85316</v>
      </c>
      <c r="E594">
        <v>1246259061</v>
      </c>
      <c r="F594" s="30">
        <v>46142</v>
      </c>
      <c r="G594" s="30"/>
      <c r="H594" t="s">
        <v>173</v>
      </c>
      <c r="I594" t="s">
        <v>174</v>
      </c>
      <c r="J594">
        <v>8620</v>
      </c>
      <c r="K594" s="30">
        <v>45863</v>
      </c>
      <c r="L594">
        <v>1010100</v>
      </c>
      <c r="M594" t="s">
        <v>35</v>
      </c>
      <c r="N594">
        <v>7</v>
      </c>
      <c r="O594" t="s">
        <v>654</v>
      </c>
      <c r="P594" t="s">
        <v>335</v>
      </c>
      <c r="Q594">
        <f t="shared" si="11"/>
        <v>-31</v>
      </c>
      <c r="R594">
        <f>_xlfn.XLOOKUP(E594,'Data Additive'!E:E,'Data Additive'!E:E,0)</f>
        <v>0</v>
      </c>
    </row>
    <row r="595" spans="1:18" x14ac:dyDescent="0.25">
      <c r="A595">
        <v>14552</v>
      </c>
      <c r="B595" t="s">
        <v>335</v>
      </c>
      <c r="C595" t="s">
        <v>336</v>
      </c>
      <c r="D595" s="34">
        <v>156088</v>
      </c>
      <c r="E595">
        <v>1246226199</v>
      </c>
      <c r="F595" s="30">
        <v>46142</v>
      </c>
      <c r="G595" s="30"/>
      <c r="H595" t="s">
        <v>173</v>
      </c>
      <c r="I595" t="s">
        <v>174</v>
      </c>
      <c r="J595">
        <v>8567</v>
      </c>
      <c r="K595" s="30">
        <v>45859</v>
      </c>
      <c r="L595">
        <v>1010100</v>
      </c>
      <c r="M595" t="s">
        <v>35</v>
      </c>
      <c r="N595">
        <v>161</v>
      </c>
      <c r="O595" t="s">
        <v>161</v>
      </c>
      <c r="P595" t="s">
        <v>335</v>
      </c>
      <c r="Q595">
        <f t="shared" si="11"/>
        <v>-31</v>
      </c>
      <c r="R595">
        <f>_xlfn.XLOOKUP(E595,'Data Additive'!E:E,'Data Additive'!E:E,0)</f>
        <v>0</v>
      </c>
    </row>
    <row r="596" spans="1:18" x14ac:dyDescent="0.25">
      <c r="A596">
        <v>14552</v>
      </c>
      <c r="B596" t="s">
        <v>335</v>
      </c>
      <c r="C596" t="s">
        <v>336</v>
      </c>
      <c r="D596" s="34">
        <v>194626</v>
      </c>
      <c r="E596">
        <v>1246240017</v>
      </c>
      <c r="F596" s="30">
        <v>46143</v>
      </c>
      <c r="G596" s="30"/>
      <c r="H596" t="s">
        <v>173</v>
      </c>
      <c r="I596" t="s">
        <v>174</v>
      </c>
      <c r="J596">
        <v>9500</v>
      </c>
      <c r="K596" s="30">
        <v>45929</v>
      </c>
      <c r="L596">
        <v>1010100</v>
      </c>
      <c r="M596" t="s">
        <v>35</v>
      </c>
      <c r="N596">
        <v>161</v>
      </c>
      <c r="O596" t="s">
        <v>161</v>
      </c>
      <c r="P596" t="s">
        <v>335</v>
      </c>
      <c r="Q596">
        <f t="shared" si="11"/>
        <v>-32</v>
      </c>
      <c r="R596">
        <f>_xlfn.XLOOKUP(E596,'Data Additive'!E:E,'Data Additive'!E:E,0)</f>
        <v>0</v>
      </c>
    </row>
    <row r="597" spans="1:18" x14ac:dyDescent="0.25">
      <c r="A597">
        <v>14552</v>
      </c>
      <c r="B597" t="s">
        <v>335</v>
      </c>
      <c r="C597" t="s">
        <v>336</v>
      </c>
      <c r="D597" s="34">
        <v>176320</v>
      </c>
      <c r="E597">
        <v>1246225706</v>
      </c>
      <c r="F597" s="30">
        <v>46145</v>
      </c>
      <c r="G597" s="30"/>
      <c r="H597" t="s">
        <v>173</v>
      </c>
      <c r="I597" t="s">
        <v>174</v>
      </c>
      <c r="J597">
        <v>8525</v>
      </c>
      <c r="K597" s="30">
        <v>45855</v>
      </c>
      <c r="L597">
        <v>1010100</v>
      </c>
      <c r="M597" t="s">
        <v>35</v>
      </c>
      <c r="N597">
        <v>161</v>
      </c>
      <c r="O597" t="s">
        <v>161</v>
      </c>
      <c r="P597" t="s">
        <v>335</v>
      </c>
      <c r="Q597">
        <f t="shared" si="11"/>
        <v>-34</v>
      </c>
      <c r="R597">
        <f>_xlfn.XLOOKUP(E597,'Data Additive'!E:E,'Data Additive'!E:E,0)</f>
        <v>0</v>
      </c>
    </row>
    <row r="598" spans="1:18" x14ac:dyDescent="0.25">
      <c r="A598">
        <v>14552</v>
      </c>
      <c r="B598" t="s">
        <v>335</v>
      </c>
      <c r="C598" t="s">
        <v>336</v>
      </c>
      <c r="D598" s="34">
        <v>112043</v>
      </c>
      <c r="E598">
        <v>1246240517</v>
      </c>
      <c r="F598" s="30">
        <v>46144</v>
      </c>
      <c r="G598" s="30"/>
      <c r="H598" t="s">
        <v>173</v>
      </c>
      <c r="I598" t="s">
        <v>174</v>
      </c>
      <c r="J598">
        <v>9522</v>
      </c>
      <c r="K598" s="30">
        <v>45930</v>
      </c>
      <c r="L598">
        <v>1010100</v>
      </c>
      <c r="M598" t="s">
        <v>35</v>
      </c>
      <c r="N598">
        <v>161</v>
      </c>
      <c r="O598" t="s">
        <v>161</v>
      </c>
      <c r="P598" t="s">
        <v>335</v>
      </c>
      <c r="Q598">
        <f t="shared" si="11"/>
        <v>-33</v>
      </c>
      <c r="R598">
        <f>_xlfn.XLOOKUP(E598,'Data Additive'!E:E,'Data Additive'!E:E,0)</f>
        <v>0</v>
      </c>
    </row>
    <row r="599" spans="1:18" x14ac:dyDescent="0.25">
      <c r="A599">
        <v>14848</v>
      </c>
      <c r="B599" t="s">
        <v>377</v>
      </c>
      <c r="C599" t="s">
        <v>659</v>
      </c>
      <c r="D599" s="34">
        <v>207773.56999999998</v>
      </c>
      <c r="E599">
        <v>1246230064</v>
      </c>
      <c r="F599" s="30">
        <v>46162</v>
      </c>
      <c r="G599" s="30"/>
      <c r="H599" t="s">
        <v>173</v>
      </c>
      <c r="I599" t="s">
        <v>174</v>
      </c>
      <c r="J599">
        <v>8811</v>
      </c>
      <c r="K599" s="30">
        <v>45877</v>
      </c>
      <c r="L599">
        <v>1010100</v>
      </c>
      <c r="M599" t="s">
        <v>35</v>
      </c>
      <c r="N599">
        <v>161</v>
      </c>
      <c r="O599" t="s">
        <v>161</v>
      </c>
      <c r="P599" t="s">
        <v>377</v>
      </c>
      <c r="Q599">
        <f t="shared" si="11"/>
        <v>-51</v>
      </c>
      <c r="R599">
        <f>_xlfn.XLOOKUP(E599,'Data Additive'!E:E,'Data Additive'!E:E,0)</f>
        <v>0</v>
      </c>
    </row>
    <row r="600" spans="1:18" x14ac:dyDescent="0.25">
      <c r="A600">
        <v>14848</v>
      </c>
      <c r="B600" t="s">
        <v>377</v>
      </c>
      <c r="C600" t="s">
        <v>659</v>
      </c>
      <c r="D600" s="34">
        <v>121554.34</v>
      </c>
      <c r="E600">
        <v>1246230701</v>
      </c>
      <c r="F600" s="30">
        <v>46164</v>
      </c>
      <c r="G600" s="30"/>
      <c r="H600" t="s">
        <v>173</v>
      </c>
      <c r="I600" t="s">
        <v>174</v>
      </c>
      <c r="J600">
        <v>8856</v>
      </c>
      <c r="K600" s="30">
        <v>45881</v>
      </c>
      <c r="L600">
        <v>1010100</v>
      </c>
      <c r="M600" t="s">
        <v>35</v>
      </c>
      <c r="N600">
        <v>161</v>
      </c>
      <c r="O600" t="s">
        <v>161</v>
      </c>
      <c r="P600" t="s">
        <v>377</v>
      </c>
      <c r="Q600">
        <f t="shared" si="11"/>
        <v>-53</v>
      </c>
      <c r="R600">
        <f>_xlfn.XLOOKUP(E600,'Data Additive'!E:E,'Data Additive'!E:E,0)</f>
        <v>0</v>
      </c>
    </row>
    <row r="601" spans="1:18" x14ac:dyDescent="0.25">
      <c r="A601">
        <v>14396</v>
      </c>
      <c r="B601" t="s">
        <v>270</v>
      </c>
      <c r="C601" t="s">
        <v>271</v>
      </c>
      <c r="D601" s="34">
        <v>137598</v>
      </c>
      <c r="E601">
        <v>1246163527</v>
      </c>
      <c r="F601" s="30">
        <v>45779</v>
      </c>
      <c r="G601" s="30"/>
      <c r="H601" t="s">
        <v>173</v>
      </c>
      <c r="I601" t="s">
        <v>174</v>
      </c>
      <c r="J601">
        <v>4649</v>
      </c>
      <c r="K601" s="30">
        <v>45511</v>
      </c>
      <c r="L601">
        <v>1010100</v>
      </c>
      <c r="M601" t="s">
        <v>35</v>
      </c>
      <c r="N601">
        <v>161</v>
      </c>
      <c r="O601" t="s">
        <v>161</v>
      </c>
      <c r="P601" t="s">
        <v>270</v>
      </c>
      <c r="Q601">
        <f t="shared" si="11"/>
        <v>332</v>
      </c>
      <c r="R601">
        <f>_xlfn.XLOOKUP(E601,'Data Additive'!E:E,'Data Additive'!E:E,0)</f>
        <v>0</v>
      </c>
    </row>
    <row r="602" spans="1:18" x14ac:dyDescent="0.25">
      <c r="A602">
        <v>14396</v>
      </c>
      <c r="B602" t="s">
        <v>270</v>
      </c>
      <c r="C602" t="s">
        <v>271</v>
      </c>
      <c r="D602" s="34">
        <v>121086.24</v>
      </c>
      <c r="E602">
        <v>1246160799</v>
      </c>
      <c r="F602" s="30">
        <v>45779</v>
      </c>
      <c r="G602" s="30"/>
      <c r="H602" t="s">
        <v>173</v>
      </c>
      <c r="I602" t="s">
        <v>174</v>
      </c>
      <c r="J602">
        <v>4489</v>
      </c>
      <c r="K602" s="30">
        <v>45499</v>
      </c>
      <c r="L602">
        <v>1010100</v>
      </c>
      <c r="M602" t="s">
        <v>35</v>
      </c>
      <c r="N602">
        <v>161</v>
      </c>
      <c r="O602" t="s">
        <v>161</v>
      </c>
      <c r="P602" t="s">
        <v>270</v>
      </c>
      <c r="Q602">
        <f t="shared" si="11"/>
        <v>332</v>
      </c>
      <c r="R602">
        <f>_xlfn.XLOOKUP(E602,'Data Additive'!E:E,'Data Additive'!E:E,0)</f>
        <v>0</v>
      </c>
    </row>
    <row r="603" spans="1:18" x14ac:dyDescent="0.25">
      <c r="A603">
        <v>14396</v>
      </c>
      <c r="B603" t="s">
        <v>270</v>
      </c>
      <c r="C603" t="s">
        <v>271</v>
      </c>
      <c r="D603" s="34">
        <v>145692</v>
      </c>
      <c r="E603">
        <v>1246160793</v>
      </c>
      <c r="F603" s="30">
        <v>45779</v>
      </c>
      <c r="G603" s="30"/>
      <c r="H603" t="s">
        <v>173</v>
      </c>
      <c r="I603" t="s">
        <v>174</v>
      </c>
      <c r="J603">
        <v>4485</v>
      </c>
      <c r="K603" s="30">
        <v>45499</v>
      </c>
      <c r="L603">
        <v>1010100</v>
      </c>
      <c r="M603" t="s">
        <v>35</v>
      </c>
      <c r="N603">
        <v>161</v>
      </c>
      <c r="O603" t="s">
        <v>161</v>
      </c>
      <c r="P603" t="s">
        <v>270</v>
      </c>
      <c r="Q603">
        <f t="shared" si="11"/>
        <v>332</v>
      </c>
      <c r="R603">
        <f>_xlfn.XLOOKUP(E603,'Data Additive'!E:E,'Data Additive'!E:E,0)</f>
        <v>0</v>
      </c>
    </row>
    <row r="604" spans="1:18" x14ac:dyDescent="0.25">
      <c r="A604">
        <v>14396</v>
      </c>
      <c r="B604" t="s">
        <v>270</v>
      </c>
      <c r="C604" t="s">
        <v>271</v>
      </c>
      <c r="D604" s="34">
        <v>121410</v>
      </c>
      <c r="E604">
        <v>1246180565</v>
      </c>
      <c r="F604" s="30">
        <v>45776</v>
      </c>
      <c r="G604" s="30"/>
      <c r="H604" t="s">
        <v>173</v>
      </c>
      <c r="I604" t="s">
        <v>174</v>
      </c>
      <c r="J604">
        <v>5953</v>
      </c>
      <c r="K604" s="30">
        <v>45600</v>
      </c>
      <c r="L604">
        <v>1010100</v>
      </c>
      <c r="M604" t="s">
        <v>35</v>
      </c>
      <c r="N604">
        <v>161</v>
      </c>
      <c r="O604" t="s">
        <v>161</v>
      </c>
      <c r="P604" t="s">
        <v>270</v>
      </c>
      <c r="Q604">
        <f t="shared" si="11"/>
        <v>335</v>
      </c>
      <c r="R604">
        <f>_xlfn.XLOOKUP(E604,'Data Additive'!E:E,'Data Additive'!E:E,0)</f>
        <v>0</v>
      </c>
    </row>
    <row r="605" spans="1:18" x14ac:dyDescent="0.25">
      <c r="A605">
        <v>14396</v>
      </c>
      <c r="B605" t="s">
        <v>270</v>
      </c>
      <c r="C605" t="s">
        <v>271</v>
      </c>
      <c r="D605" s="34">
        <v>171360</v>
      </c>
      <c r="E605">
        <v>1246202562</v>
      </c>
      <c r="F605" s="30">
        <v>45930</v>
      </c>
      <c r="G605" s="30"/>
      <c r="H605" t="s">
        <v>173</v>
      </c>
      <c r="I605" t="s">
        <v>174</v>
      </c>
      <c r="J605">
        <v>7204</v>
      </c>
      <c r="K605" s="30">
        <v>45728</v>
      </c>
      <c r="L605">
        <v>1010100</v>
      </c>
      <c r="M605" t="s">
        <v>35</v>
      </c>
      <c r="N605">
        <v>161</v>
      </c>
      <c r="O605" t="s">
        <v>161</v>
      </c>
      <c r="P605" t="s">
        <v>270</v>
      </c>
      <c r="Q605">
        <f t="shared" si="11"/>
        <v>181</v>
      </c>
      <c r="R605">
        <f>_xlfn.XLOOKUP(E605,'Data Additive'!E:E,'Data Additive'!E:E,0)</f>
        <v>0</v>
      </c>
    </row>
    <row r="606" spans="1:18" x14ac:dyDescent="0.25">
      <c r="A606">
        <v>14396</v>
      </c>
      <c r="B606" t="s">
        <v>270</v>
      </c>
      <c r="C606" t="s">
        <v>271</v>
      </c>
      <c r="D606" s="34">
        <v>4000</v>
      </c>
      <c r="E606">
        <v>1246203613</v>
      </c>
      <c r="F606" s="30">
        <v>45920</v>
      </c>
      <c r="G606" s="30"/>
      <c r="H606" t="s">
        <v>173</v>
      </c>
      <c r="I606" t="s">
        <v>174</v>
      </c>
      <c r="J606">
        <v>7286</v>
      </c>
      <c r="K606" s="30">
        <v>45735</v>
      </c>
      <c r="L606">
        <v>1010100</v>
      </c>
      <c r="M606" t="s">
        <v>35</v>
      </c>
      <c r="N606">
        <v>161</v>
      </c>
      <c r="O606" t="s">
        <v>161</v>
      </c>
      <c r="P606" t="s">
        <v>270</v>
      </c>
      <c r="Q606">
        <f t="shared" si="11"/>
        <v>191</v>
      </c>
      <c r="R606">
        <f>_xlfn.XLOOKUP(E606,'Data Additive'!E:E,'Data Additive'!E:E,0)</f>
        <v>0</v>
      </c>
    </row>
    <row r="607" spans="1:18" x14ac:dyDescent="0.25">
      <c r="A607">
        <v>14396</v>
      </c>
      <c r="B607" t="s">
        <v>270</v>
      </c>
      <c r="C607" t="s">
        <v>271</v>
      </c>
      <c r="D607" s="34">
        <v>139680</v>
      </c>
      <c r="E607">
        <v>1246199147</v>
      </c>
      <c r="F607" s="30">
        <v>45889</v>
      </c>
      <c r="G607" s="30"/>
      <c r="H607" t="s">
        <v>173</v>
      </c>
      <c r="I607" t="s">
        <v>174</v>
      </c>
      <c r="J607">
        <v>6996</v>
      </c>
      <c r="K607" s="30">
        <v>45706</v>
      </c>
      <c r="L607">
        <v>1010100</v>
      </c>
      <c r="M607" t="s">
        <v>35</v>
      </c>
      <c r="N607">
        <v>161</v>
      </c>
      <c r="O607" t="s">
        <v>161</v>
      </c>
      <c r="P607" t="s">
        <v>270</v>
      </c>
      <c r="Q607">
        <f t="shared" si="11"/>
        <v>222</v>
      </c>
      <c r="R607">
        <f>_xlfn.XLOOKUP(E607,'Data Additive'!E:E,'Data Additive'!E:E,0)</f>
        <v>0</v>
      </c>
    </row>
    <row r="608" spans="1:18" x14ac:dyDescent="0.25">
      <c r="A608">
        <v>14396</v>
      </c>
      <c r="B608" t="s">
        <v>270</v>
      </c>
      <c r="C608" t="s">
        <v>271</v>
      </c>
      <c r="D608" s="34">
        <v>139680</v>
      </c>
      <c r="E608">
        <v>1246199209</v>
      </c>
      <c r="F608" s="30">
        <v>45889</v>
      </c>
      <c r="G608" s="30"/>
      <c r="H608" t="s">
        <v>173</v>
      </c>
      <c r="I608" t="s">
        <v>174</v>
      </c>
      <c r="J608">
        <v>7005</v>
      </c>
      <c r="K608" s="30">
        <v>45706</v>
      </c>
      <c r="L608">
        <v>1010100</v>
      </c>
      <c r="M608" t="s">
        <v>35</v>
      </c>
      <c r="N608">
        <v>161</v>
      </c>
      <c r="O608" t="s">
        <v>161</v>
      </c>
      <c r="P608" t="s">
        <v>270</v>
      </c>
      <c r="Q608">
        <f t="shared" si="11"/>
        <v>222</v>
      </c>
      <c r="R608">
        <f>_xlfn.XLOOKUP(E608,'Data Additive'!E:E,'Data Additive'!E:E,0)</f>
        <v>0</v>
      </c>
    </row>
    <row r="609" spans="1:18" x14ac:dyDescent="0.25">
      <c r="A609">
        <v>14396</v>
      </c>
      <c r="B609" t="s">
        <v>270</v>
      </c>
      <c r="C609" t="s">
        <v>271</v>
      </c>
      <c r="D609" s="34">
        <v>8000</v>
      </c>
      <c r="E609">
        <v>1246205781</v>
      </c>
      <c r="F609" s="30">
        <v>45920</v>
      </c>
      <c r="G609" s="30"/>
      <c r="H609" t="s">
        <v>173</v>
      </c>
      <c r="I609" t="s">
        <v>174</v>
      </c>
      <c r="J609">
        <v>7423</v>
      </c>
      <c r="K609" s="30">
        <v>45744</v>
      </c>
      <c r="L609">
        <v>1010100</v>
      </c>
      <c r="M609" t="s">
        <v>35</v>
      </c>
      <c r="N609">
        <v>161</v>
      </c>
      <c r="O609" t="s">
        <v>161</v>
      </c>
      <c r="P609" t="s">
        <v>270</v>
      </c>
      <c r="Q609">
        <f t="shared" si="11"/>
        <v>191</v>
      </c>
      <c r="R609">
        <f>_xlfn.XLOOKUP(E609,'Data Additive'!E:E,'Data Additive'!E:E,0)</f>
        <v>0</v>
      </c>
    </row>
    <row r="610" spans="1:18" x14ac:dyDescent="0.25">
      <c r="A610">
        <v>15749</v>
      </c>
      <c r="B610" t="s">
        <v>555</v>
      </c>
      <c r="C610" t="s">
        <v>908</v>
      </c>
      <c r="D610" s="34">
        <v>66740</v>
      </c>
      <c r="E610">
        <v>1246268739</v>
      </c>
      <c r="F610" s="30">
        <v>46133</v>
      </c>
      <c r="G610" s="30"/>
      <c r="H610" t="s">
        <v>28</v>
      </c>
      <c r="I610" t="s">
        <v>29</v>
      </c>
      <c r="J610">
        <v>2838</v>
      </c>
      <c r="K610" s="30">
        <v>46105</v>
      </c>
      <c r="L610">
        <v>1010100</v>
      </c>
      <c r="M610" t="s">
        <v>35</v>
      </c>
      <c r="N610">
        <v>161</v>
      </c>
      <c r="O610" t="s">
        <v>161</v>
      </c>
      <c r="P610" t="s">
        <v>555</v>
      </c>
      <c r="Q610">
        <f t="shared" si="11"/>
        <v>-22</v>
      </c>
      <c r="R610">
        <f>_xlfn.XLOOKUP(E610,'Data Additive'!E:E,'Data Additive'!E:E,0)</f>
        <v>1246268739</v>
      </c>
    </row>
    <row r="611" spans="1:18" x14ac:dyDescent="0.25">
      <c r="A611">
        <v>15543</v>
      </c>
      <c r="B611" t="s">
        <v>853</v>
      </c>
      <c r="C611" t="s">
        <v>854</v>
      </c>
      <c r="D611" s="34">
        <v>45718.46</v>
      </c>
      <c r="E611">
        <v>1246264533</v>
      </c>
      <c r="F611" s="30">
        <v>46181</v>
      </c>
      <c r="G611" s="30"/>
      <c r="I611" t="s">
        <v>373</v>
      </c>
      <c r="J611">
        <v>10745</v>
      </c>
      <c r="K611" s="30">
        <v>46076</v>
      </c>
      <c r="L611">
        <v>1010200</v>
      </c>
      <c r="M611" t="s">
        <v>125</v>
      </c>
      <c r="N611">
        <v>40</v>
      </c>
      <c r="O611" t="s">
        <v>171</v>
      </c>
      <c r="P611" t="s">
        <v>853</v>
      </c>
      <c r="Q611">
        <f t="shared" si="11"/>
        <v>-70</v>
      </c>
      <c r="R611">
        <f>_xlfn.XLOOKUP(E611,'Data Additive'!E:E,'Data Additive'!E:E,0)</f>
        <v>0</v>
      </c>
    </row>
    <row r="612" spans="1:18" x14ac:dyDescent="0.25">
      <c r="A612">
        <v>16032</v>
      </c>
      <c r="B612" t="s">
        <v>855</v>
      </c>
      <c r="C612" t="s">
        <v>856</v>
      </c>
      <c r="D612" s="34">
        <v>583.33000000000004</v>
      </c>
      <c r="E612">
        <v>1246264382</v>
      </c>
      <c r="F612" s="30">
        <v>46133</v>
      </c>
      <c r="G612" s="30"/>
      <c r="I612" t="s">
        <v>373</v>
      </c>
      <c r="J612">
        <v>10732</v>
      </c>
      <c r="K612" s="30">
        <v>46073</v>
      </c>
      <c r="L612">
        <v>4011600</v>
      </c>
      <c r="M612" t="s">
        <v>702</v>
      </c>
      <c r="N612">
        <v>244</v>
      </c>
      <c r="O612" t="s">
        <v>191</v>
      </c>
      <c r="P612" t="s">
        <v>855</v>
      </c>
      <c r="Q612">
        <f t="shared" si="11"/>
        <v>-22</v>
      </c>
      <c r="R612">
        <f>_xlfn.XLOOKUP(E612,'Data Additive'!E:E,'Data Additive'!E:E,0)</f>
        <v>1246264382</v>
      </c>
    </row>
    <row r="613" spans="1:18" x14ac:dyDescent="0.25">
      <c r="A613">
        <v>16032</v>
      </c>
      <c r="B613" t="s">
        <v>855</v>
      </c>
      <c r="C613" t="s">
        <v>856</v>
      </c>
      <c r="D613" s="34">
        <v>583.34</v>
      </c>
      <c r="E613">
        <v>1246264383</v>
      </c>
      <c r="F613" s="30">
        <v>46163</v>
      </c>
      <c r="G613" s="30"/>
      <c r="I613" t="s">
        <v>373</v>
      </c>
      <c r="J613">
        <v>10732</v>
      </c>
      <c r="K613" s="30">
        <v>46073</v>
      </c>
      <c r="L613">
        <v>4011600</v>
      </c>
      <c r="M613" t="s">
        <v>702</v>
      </c>
      <c r="N613">
        <v>244</v>
      </c>
      <c r="O613" t="s">
        <v>191</v>
      </c>
      <c r="P613" t="s">
        <v>855</v>
      </c>
      <c r="Q613">
        <f t="shared" si="11"/>
        <v>-52</v>
      </c>
      <c r="R613">
        <f>_xlfn.XLOOKUP(E613,'Data Additive'!E:E,'Data Additive'!E:E,0)</f>
        <v>1246264383</v>
      </c>
    </row>
    <row r="614" spans="1:18" x14ac:dyDescent="0.25">
      <c r="A614">
        <v>16107</v>
      </c>
      <c r="B614" t="s">
        <v>581</v>
      </c>
      <c r="C614" t="s">
        <v>582</v>
      </c>
      <c r="D614" s="34">
        <v>58579.74</v>
      </c>
      <c r="E614">
        <v>1246235692</v>
      </c>
      <c r="F614" s="30">
        <v>46142</v>
      </c>
      <c r="G614" s="30"/>
      <c r="H614" t="s">
        <v>173</v>
      </c>
      <c r="I614" t="s">
        <v>174</v>
      </c>
      <c r="J614">
        <v>9246</v>
      </c>
      <c r="K614" s="30">
        <v>45908</v>
      </c>
      <c r="L614">
        <v>1010100</v>
      </c>
      <c r="M614" t="s">
        <v>35</v>
      </c>
      <c r="N614">
        <v>161</v>
      </c>
      <c r="O614" t="s">
        <v>161</v>
      </c>
      <c r="P614" t="s">
        <v>581</v>
      </c>
      <c r="Q614">
        <f t="shared" si="11"/>
        <v>-31</v>
      </c>
      <c r="R614">
        <f>_xlfn.XLOOKUP(E614,'Data Additive'!E:E,'Data Additive'!E:E,0)</f>
        <v>0</v>
      </c>
    </row>
    <row r="615" spans="1:18" x14ac:dyDescent="0.25">
      <c r="A615">
        <v>16107</v>
      </c>
      <c r="B615" t="s">
        <v>581</v>
      </c>
      <c r="C615" t="s">
        <v>582</v>
      </c>
      <c r="D615" s="34">
        <v>120293.94</v>
      </c>
      <c r="E615">
        <v>1246234013</v>
      </c>
      <c r="F615" s="30">
        <v>46164</v>
      </c>
      <c r="G615" s="30"/>
      <c r="H615" t="s">
        <v>173</v>
      </c>
      <c r="I615" t="s">
        <v>174</v>
      </c>
      <c r="J615">
        <v>9130</v>
      </c>
      <c r="K615" s="30">
        <v>45898</v>
      </c>
      <c r="L615">
        <v>1010100</v>
      </c>
      <c r="M615" t="s">
        <v>35</v>
      </c>
      <c r="N615">
        <v>161</v>
      </c>
      <c r="O615" t="s">
        <v>161</v>
      </c>
      <c r="P615" t="s">
        <v>581</v>
      </c>
      <c r="Q615">
        <f t="shared" si="11"/>
        <v>-53</v>
      </c>
      <c r="R615">
        <f>_xlfn.XLOOKUP(E615,'Data Additive'!E:E,'Data Additive'!E:E,0)</f>
        <v>0</v>
      </c>
    </row>
    <row r="616" spans="1:18" x14ac:dyDescent="0.25">
      <c r="A616">
        <v>16107</v>
      </c>
      <c r="B616" t="s">
        <v>581</v>
      </c>
      <c r="C616" t="s">
        <v>582</v>
      </c>
      <c r="D616" s="34">
        <v>52795.360000000001</v>
      </c>
      <c r="E616">
        <v>1246231811</v>
      </c>
      <c r="F616" s="30">
        <v>46144</v>
      </c>
      <c r="G616" s="30"/>
      <c r="H616" t="s">
        <v>173</v>
      </c>
      <c r="I616" t="s">
        <v>174</v>
      </c>
      <c r="J616">
        <v>8929</v>
      </c>
      <c r="K616" s="30">
        <v>45888</v>
      </c>
      <c r="L616">
        <v>1010100</v>
      </c>
      <c r="M616" t="s">
        <v>35</v>
      </c>
      <c r="N616">
        <v>161</v>
      </c>
      <c r="O616" t="s">
        <v>161</v>
      </c>
      <c r="P616" t="s">
        <v>581</v>
      </c>
      <c r="Q616">
        <f t="shared" si="11"/>
        <v>-33</v>
      </c>
      <c r="R616">
        <f>_xlfn.XLOOKUP(E616,'Data Additive'!E:E,'Data Additive'!E:E,0)</f>
        <v>0</v>
      </c>
    </row>
    <row r="617" spans="1:18" x14ac:dyDescent="0.25">
      <c r="A617">
        <v>16107</v>
      </c>
      <c r="B617" t="s">
        <v>581</v>
      </c>
      <c r="C617" t="s">
        <v>582</v>
      </c>
      <c r="D617" s="34">
        <v>92391.88</v>
      </c>
      <c r="E617">
        <v>1246232362</v>
      </c>
      <c r="F617" s="30">
        <v>46144</v>
      </c>
      <c r="G617" s="30"/>
      <c r="H617" t="s">
        <v>173</v>
      </c>
      <c r="I617" t="s">
        <v>174</v>
      </c>
      <c r="J617">
        <v>8978</v>
      </c>
      <c r="K617" s="30">
        <v>45890</v>
      </c>
      <c r="L617">
        <v>1010100</v>
      </c>
      <c r="M617" t="s">
        <v>35</v>
      </c>
      <c r="N617">
        <v>161</v>
      </c>
      <c r="O617" t="s">
        <v>161</v>
      </c>
      <c r="P617" t="s">
        <v>581</v>
      </c>
      <c r="Q617">
        <f t="shared" si="11"/>
        <v>-33</v>
      </c>
      <c r="R617">
        <f>_xlfn.XLOOKUP(E617,'Data Additive'!E:E,'Data Additive'!E:E,0)</f>
        <v>0</v>
      </c>
    </row>
    <row r="618" spans="1:18" x14ac:dyDescent="0.25">
      <c r="A618">
        <v>16107</v>
      </c>
      <c r="B618" t="s">
        <v>581</v>
      </c>
      <c r="C618" t="s">
        <v>582</v>
      </c>
      <c r="D618" s="34">
        <v>94968.9</v>
      </c>
      <c r="E618">
        <v>1246234271</v>
      </c>
      <c r="F618" s="30">
        <v>46167</v>
      </c>
      <c r="G618" s="30"/>
      <c r="H618" t="s">
        <v>173</v>
      </c>
      <c r="I618" t="s">
        <v>174</v>
      </c>
      <c r="J618">
        <v>9136</v>
      </c>
      <c r="K618" s="30">
        <v>45901</v>
      </c>
      <c r="L618">
        <v>1010100</v>
      </c>
      <c r="M618" t="s">
        <v>35</v>
      </c>
      <c r="N618">
        <v>161</v>
      </c>
      <c r="O618" t="s">
        <v>161</v>
      </c>
      <c r="P618" t="s">
        <v>581</v>
      </c>
      <c r="Q618">
        <f t="shared" si="11"/>
        <v>-56</v>
      </c>
      <c r="R618">
        <f>_xlfn.XLOOKUP(E618,'Data Additive'!E:E,'Data Additive'!E:E,0)</f>
        <v>0</v>
      </c>
    </row>
    <row r="619" spans="1:18" x14ac:dyDescent="0.25">
      <c r="A619">
        <v>16107</v>
      </c>
      <c r="B619" t="s">
        <v>581</v>
      </c>
      <c r="C619" t="s">
        <v>582</v>
      </c>
      <c r="D619" s="34">
        <v>101300.16</v>
      </c>
      <c r="E619">
        <v>1246233237</v>
      </c>
      <c r="F619" s="30">
        <v>46162</v>
      </c>
      <c r="G619" s="30"/>
      <c r="H619" t="s">
        <v>173</v>
      </c>
      <c r="I619" t="s">
        <v>174</v>
      </c>
      <c r="J619">
        <v>9072</v>
      </c>
      <c r="K619" s="30">
        <v>45896</v>
      </c>
      <c r="L619">
        <v>1010100</v>
      </c>
      <c r="M619" t="s">
        <v>35</v>
      </c>
      <c r="N619">
        <v>161</v>
      </c>
      <c r="O619" t="s">
        <v>161</v>
      </c>
      <c r="P619" t="s">
        <v>581</v>
      </c>
      <c r="Q619">
        <f t="shared" si="11"/>
        <v>-51</v>
      </c>
      <c r="R619">
        <f>_xlfn.XLOOKUP(E619,'Data Additive'!E:E,'Data Additive'!E:E,0)</f>
        <v>0</v>
      </c>
    </row>
    <row r="620" spans="1:18" x14ac:dyDescent="0.25">
      <c r="A620">
        <v>16107</v>
      </c>
      <c r="B620" t="s">
        <v>581</v>
      </c>
      <c r="C620" t="s">
        <v>582</v>
      </c>
      <c r="D620" s="34">
        <v>27054.5</v>
      </c>
      <c r="E620">
        <v>1246235694</v>
      </c>
      <c r="F620" s="30">
        <v>46142</v>
      </c>
      <c r="G620" s="30"/>
      <c r="H620" t="s">
        <v>173</v>
      </c>
      <c r="I620" t="s">
        <v>174</v>
      </c>
      <c r="J620">
        <v>9247</v>
      </c>
      <c r="K620" s="30">
        <v>45908</v>
      </c>
      <c r="L620">
        <v>1010100</v>
      </c>
      <c r="M620" t="s">
        <v>35</v>
      </c>
      <c r="N620">
        <v>161</v>
      </c>
      <c r="O620" t="s">
        <v>161</v>
      </c>
      <c r="P620" t="s">
        <v>581</v>
      </c>
      <c r="Q620">
        <f t="shared" si="11"/>
        <v>-31</v>
      </c>
      <c r="R620">
        <f>_xlfn.XLOOKUP(E620,'Data Additive'!E:E,'Data Additive'!E:E,0)</f>
        <v>0</v>
      </c>
    </row>
    <row r="621" spans="1:18" x14ac:dyDescent="0.25">
      <c r="A621">
        <v>16107</v>
      </c>
      <c r="B621" t="s">
        <v>581</v>
      </c>
      <c r="C621" t="s">
        <v>582</v>
      </c>
      <c r="D621" s="34">
        <v>94968.9</v>
      </c>
      <c r="E621">
        <v>1246233894</v>
      </c>
      <c r="F621" s="30">
        <v>46164</v>
      </c>
      <c r="G621" s="30"/>
      <c r="H621" t="s">
        <v>173</v>
      </c>
      <c r="I621" t="s">
        <v>174</v>
      </c>
      <c r="J621">
        <v>9120</v>
      </c>
      <c r="K621" s="30">
        <v>45898</v>
      </c>
      <c r="L621">
        <v>1010100</v>
      </c>
      <c r="M621" t="s">
        <v>35</v>
      </c>
      <c r="N621">
        <v>161</v>
      </c>
      <c r="O621" t="s">
        <v>161</v>
      </c>
      <c r="P621" t="s">
        <v>581</v>
      </c>
      <c r="Q621">
        <f t="shared" si="11"/>
        <v>-53</v>
      </c>
      <c r="R621">
        <f>_xlfn.XLOOKUP(E621,'Data Additive'!E:E,'Data Additive'!E:E,0)</f>
        <v>0</v>
      </c>
    </row>
    <row r="622" spans="1:18" x14ac:dyDescent="0.25">
      <c r="A622">
        <v>16107</v>
      </c>
      <c r="B622" t="s">
        <v>581</v>
      </c>
      <c r="C622" t="s">
        <v>582</v>
      </c>
      <c r="D622" s="34">
        <v>94968.9</v>
      </c>
      <c r="E622">
        <v>1246238555</v>
      </c>
      <c r="F622" s="30">
        <v>46164</v>
      </c>
      <c r="G622" s="30"/>
      <c r="H622" t="s">
        <v>173</v>
      </c>
      <c r="I622" t="s">
        <v>174</v>
      </c>
      <c r="J622">
        <v>9444</v>
      </c>
      <c r="K622" s="30">
        <v>45924</v>
      </c>
      <c r="L622">
        <v>1010100</v>
      </c>
      <c r="M622" t="s">
        <v>35</v>
      </c>
      <c r="N622">
        <v>161</v>
      </c>
      <c r="O622" t="s">
        <v>161</v>
      </c>
      <c r="P622" t="s">
        <v>581</v>
      </c>
      <c r="Q622">
        <f t="shared" si="11"/>
        <v>-53</v>
      </c>
      <c r="R622">
        <f>_xlfn.XLOOKUP(E622,'Data Additive'!E:E,'Data Additive'!E:E,0)</f>
        <v>0</v>
      </c>
    </row>
    <row r="623" spans="1:18" x14ac:dyDescent="0.25">
      <c r="A623">
        <v>16107</v>
      </c>
      <c r="B623" t="s">
        <v>581</v>
      </c>
      <c r="C623" t="s">
        <v>582</v>
      </c>
      <c r="D623" s="34">
        <v>2217.7800000000002</v>
      </c>
      <c r="E623">
        <v>1246235696</v>
      </c>
      <c r="F623" s="30">
        <v>46142</v>
      </c>
      <c r="G623" s="30"/>
      <c r="H623" t="s">
        <v>173</v>
      </c>
      <c r="I623" t="s">
        <v>174</v>
      </c>
      <c r="J623">
        <v>9248</v>
      </c>
      <c r="K623" s="30">
        <v>45908</v>
      </c>
      <c r="L623">
        <v>1010100</v>
      </c>
      <c r="M623" t="s">
        <v>35</v>
      </c>
      <c r="N623">
        <v>161</v>
      </c>
      <c r="O623" t="s">
        <v>161</v>
      </c>
      <c r="P623" t="s">
        <v>581</v>
      </c>
      <c r="Q623">
        <f t="shared" si="11"/>
        <v>-31</v>
      </c>
      <c r="R623">
        <f>_xlfn.XLOOKUP(E623,'Data Additive'!E:E,'Data Additive'!E:E,0)</f>
        <v>0</v>
      </c>
    </row>
    <row r="624" spans="1:18" x14ac:dyDescent="0.25">
      <c r="A624">
        <v>16189</v>
      </c>
      <c r="B624" t="s">
        <v>842</v>
      </c>
      <c r="C624" t="s">
        <v>843</v>
      </c>
      <c r="D624" s="34">
        <v>49440</v>
      </c>
      <c r="E624">
        <v>1246261824</v>
      </c>
      <c r="F624" s="30">
        <v>46087</v>
      </c>
      <c r="G624" s="30"/>
      <c r="I624" t="s">
        <v>373</v>
      </c>
      <c r="J624">
        <v>1246261824</v>
      </c>
      <c r="K624" s="30">
        <v>46055</v>
      </c>
      <c r="L624">
        <v>7240000</v>
      </c>
      <c r="M624" t="s">
        <v>844</v>
      </c>
      <c r="N624">
        <v>46</v>
      </c>
      <c r="O624" t="s">
        <v>163</v>
      </c>
      <c r="P624" t="s">
        <v>842</v>
      </c>
      <c r="Q624">
        <f t="shared" si="11"/>
        <v>24</v>
      </c>
      <c r="R624">
        <f>_xlfn.XLOOKUP(E624,'Data Additive'!E:E,'Data Additive'!E:E,0)</f>
        <v>1246261824</v>
      </c>
    </row>
    <row r="625" spans="1:18" x14ac:dyDescent="0.25">
      <c r="A625">
        <v>15917</v>
      </c>
      <c r="B625" t="s">
        <v>671</v>
      </c>
      <c r="C625" t="s">
        <v>695</v>
      </c>
      <c r="D625" s="34">
        <v>8176</v>
      </c>
      <c r="E625">
        <v>1246241844</v>
      </c>
      <c r="F625" s="30">
        <v>46143</v>
      </c>
      <c r="G625" s="30"/>
      <c r="H625" t="s">
        <v>173</v>
      </c>
      <c r="I625" t="s">
        <v>174</v>
      </c>
      <c r="J625">
        <v>9608</v>
      </c>
      <c r="K625" s="30">
        <v>45937</v>
      </c>
      <c r="L625">
        <v>1010100</v>
      </c>
      <c r="M625" t="s">
        <v>35</v>
      </c>
      <c r="N625">
        <v>161</v>
      </c>
      <c r="O625" t="s">
        <v>161</v>
      </c>
      <c r="P625" t="s">
        <v>671</v>
      </c>
      <c r="Q625">
        <f t="shared" si="11"/>
        <v>-32</v>
      </c>
      <c r="R625">
        <f>_xlfn.XLOOKUP(E625,'Data Additive'!E:E,'Data Additive'!E:E,0)</f>
        <v>0</v>
      </c>
    </row>
    <row r="626" spans="1:18" x14ac:dyDescent="0.25">
      <c r="A626">
        <v>15917</v>
      </c>
      <c r="B626" t="s">
        <v>671</v>
      </c>
      <c r="C626" t="s">
        <v>695</v>
      </c>
      <c r="D626" s="34">
        <v>2564.1</v>
      </c>
      <c r="E626">
        <v>1246237253</v>
      </c>
      <c r="F626" s="30">
        <v>46142</v>
      </c>
      <c r="G626" s="30"/>
      <c r="H626" t="s">
        <v>173</v>
      </c>
      <c r="I626" t="s">
        <v>174</v>
      </c>
      <c r="J626">
        <v>9360</v>
      </c>
      <c r="K626" s="30">
        <v>45918</v>
      </c>
      <c r="L626">
        <v>1010100</v>
      </c>
      <c r="M626" t="s">
        <v>35</v>
      </c>
      <c r="N626">
        <v>161</v>
      </c>
      <c r="O626" t="s">
        <v>161</v>
      </c>
      <c r="P626" t="s">
        <v>671</v>
      </c>
      <c r="Q626">
        <f t="shared" si="11"/>
        <v>-31</v>
      </c>
      <c r="R626">
        <f>_xlfn.XLOOKUP(E626,'Data Additive'!E:E,'Data Additive'!E:E,0)</f>
        <v>0</v>
      </c>
    </row>
    <row r="627" spans="1:18" x14ac:dyDescent="0.25">
      <c r="A627">
        <v>15917</v>
      </c>
      <c r="B627" t="s">
        <v>671</v>
      </c>
      <c r="C627" t="s">
        <v>695</v>
      </c>
      <c r="D627" s="34">
        <v>3492</v>
      </c>
      <c r="E627">
        <v>1246240189</v>
      </c>
      <c r="F627" s="30">
        <v>46154</v>
      </c>
      <c r="G627" s="30"/>
      <c r="H627" t="s">
        <v>173</v>
      </c>
      <c r="I627" t="s">
        <v>174</v>
      </c>
      <c r="J627">
        <v>9509</v>
      </c>
      <c r="K627" s="30">
        <v>45930</v>
      </c>
      <c r="L627">
        <v>1010100</v>
      </c>
      <c r="M627" t="s">
        <v>35</v>
      </c>
      <c r="N627">
        <v>161</v>
      </c>
      <c r="O627" t="s">
        <v>161</v>
      </c>
      <c r="P627" t="s">
        <v>671</v>
      </c>
      <c r="Q627">
        <f t="shared" ref="Q627:Q680" si="12">$R$1-F627</f>
        <v>-43</v>
      </c>
      <c r="R627">
        <f>_xlfn.XLOOKUP(E627,'Data Additive'!E:E,'Data Additive'!E:E,0)</f>
        <v>0</v>
      </c>
    </row>
    <row r="628" spans="1:18" x14ac:dyDescent="0.25">
      <c r="A628">
        <v>15917</v>
      </c>
      <c r="B628" t="s">
        <v>671</v>
      </c>
      <c r="C628" t="s">
        <v>695</v>
      </c>
      <c r="D628" s="34">
        <v>6293.7</v>
      </c>
      <c r="E628">
        <v>1246241843</v>
      </c>
      <c r="F628" s="30">
        <v>46143</v>
      </c>
      <c r="G628" s="30"/>
      <c r="H628" t="s">
        <v>173</v>
      </c>
      <c r="I628" t="s">
        <v>174</v>
      </c>
      <c r="J628">
        <v>9607</v>
      </c>
      <c r="K628" s="30">
        <v>45937</v>
      </c>
      <c r="L628">
        <v>1010100</v>
      </c>
      <c r="M628" t="s">
        <v>35</v>
      </c>
      <c r="N628">
        <v>161</v>
      </c>
      <c r="O628" t="s">
        <v>161</v>
      </c>
      <c r="P628" t="s">
        <v>671</v>
      </c>
      <c r="Q628">
        <f t="shared" si="12"/>
        <v>-32</v>
      </c>
      <c r="R628">
        <f>_xlfn.XLOOKUP(E628,'Data Additive'!E:E,'Data Additive'!E:E,0)</f>
        <v>0</v>
      </c>
    </row>
    <row r="629" spans="1:18" x14ac:dyDescent="0.25">
      <c r="A629">
        <v>16802</v>
      </c>
      <c r="B629" t="s">
        <v>795</v>
      </c>
      <c r="C629" t="s">
        <v>796</v>
      </c>
      <c r="D629" s="34">
        <v>1750</v>
      </c>
      <c r="E629">
        <v>1246254799</v>
      </c>
      <c r="F629" s="30">
        <v>46099</v>
      </c>
      <c r="G629" s="30"/>
      <c r="I629" t="s">
        <v>373</v>
      </c>
      <c r="J629">
        <v>10318</v>
      </c>
      <c r="K629" s="30">
        <v>46009</v>
      </c>
      <c r="L629">
        <v>4010300</v>
      </c>
      <c r="M629" t="s">
        <v>142</v>
      </c>
      <c r="N629">
        <v>244</v>
      </c>
      <c r="O629" t="s">
        <v>191</v>
      </c>
      <c r="P629" t="s">
        <v>795</v>
      </c>
      <c r="Q629">
        <f t="shared" si="12"/>
        <v>12</v>
      </c>
      <c r="R629">
        <f>_xlfn.XLOOKUP(E629,'Data Additive'!E:E,'Data Additive'!E:E,0)</f>
        <v>1246254799</v>
      </c>
    </row>
    <row r="630" spans="1:18" x14ac:dyDescent="0.25">
      <c r="A630">
        <v>17497</v>
      </c>
      <c r="B630" t="s">
        <v>864</v>
      </c>
      <c r="C630" t="s">
        <v>883</v>
      </c>
      <c r="D630" s="34">
        <v>11278.17</v>
      </c>
      <c r="E630">
        <v>1246267007</v>
      </c>
      <c r="F630" s="30">
        <v>46120</v>
      </c>
      <c r="G630" s="30"/>
      <c r="H630" t="s">
        <v>173</v>
      </c>
      <c r="I630" t="s">
        <v>174</v>
      </c>
      <c r="J630">
        <v>10842</v>
      </c>
      <c r="K630" s="30">
        <v>46090</v>
      </c>
      <c r="L630">
        <v>1010100</v>
      </c>
      <c r="M630" t="s">
        <v>35</v>
      </c>
      <c r="N630">
        <v>161</v>
      </c>
      <c r="O630" t="s">
        <v>161</v>
      </c>
      <c r="P630" t="s">
        <v>864</v>
      </c>
      <c r="Q630">
        <f t="shared" si="12"/>
        <v>-9</v>
      </c>
      <c r="R630">
        <f>_xlfn.XLOOKUP(E630,'Data Additive'!E:E,'Data Additive'!E:E,0)</f>
        <v>0</v>
      </c>
    </row>
    <row r="631" spans="1:18" x14ac:dyDescent="0.25">
      <c r="D631" s="34"/>
      <c r="F631" s="30"/>
      <c r="K631" s="30"/>
      <c r="Q631">
        <f t="shared" si="12"/>
        <v>46111</v>
      </c>
      <c r="R631">
        <f>_xlfn.XLOOKUP(E631,'Data Additive'!E:E,'Data Additive'!E:E,0)</f>
        <v>0</v>
      </c>
    </row>
    <row r="632" spans="1:18" x14ac:dyDescent="0.25">
      <c r="D632" s="34"/>
      <c r="F632" s="30"/>
      <c r="K632" s="30"/>
      <c r="Q632">
        <f t="shared" si="12"/>
        <v>46111</v>
      </c>
      <c r="R632">
        <f>_xlfn.XLOOKUP(E632,'Data Additive'!E:E,'Data Additive'!E:E,0)</f>
        <v>0</v>
      </c>
    </row>
    <row r="633" spans="1:18" x14ac:dyDescent="0.25">
      <c r="D633" s="34"/>
      <c r="F633" s="30"/>
      <c r="K633" s="30"/>
      <c r="Q633">
        <f t="shared" si="12"/>
        <v>46111</v>
      </c>
      <c r="R633">
        <f>_xlfn.XLOOKUP(E633,'Data Additive'!E:E,'Data Additive'!E:E,0)</f>
        <v>0</v>
      </c>
    </row>
    <row r="634" spans="1:18" x14ac:dyDescent="0.25">
      <c r="D634" s="34"/>
      <c r="F634" s="30"/>
      <c r="K634" s="30"/>
      <c r="Q634">
        <f t="shared" si="12"/>
        <v>46111</v>
      </c>
      <c r="R634">
        <f>_xlfn.XLOOKUP(E634,'Data Additive'!E:E,'Data Additive'!E:E,0)</f>
        <v>0</v>
      </c>
    </row>
    <row r="635" spans="1:18" x14ac:dyDescent="0.25">
      <c r="D635" s="34"/>
      <c r="F635" s="30"/>
      <c r="K635" s="30"/>
      <c r="Q635">
        <f t="shared" si="12"/>
        <v>46111</v>
      </c>
      <c r="R635">
        <f>_xlfn.XLOOKUP(E635,'Data Additive'!E:E,'Data Additive'!E:E,0)</f>
        <v>0</v>
      </c>
    </row>
    <row r="636" spans="1:18" x14ac:dyDescent="0.25">
      <c r="D636" s="34"/>
      <c r="F636" s="30"/>
      <c r="K636" s="30"/>
      <c r="Q636">
        <f t="shared" si="12"/>
        <v>46111</v>
      </c>
      <c r="R636">
        <f>_xlfn.XLOOKUP(E636,'Data Additive'!E:E,'Data Additive'!E:E,0)</f>
        <v>0</v>
      </c>
    </row>
    <row r="637" spans="1:18" x14ac:dyDescent="0.25">
      <c r="D637" s="34"/>
      <c r="F637" s="30"/>
      <c r="K637" s="30"/>
      <c r="Q637">
        <f t="shared" si="12"/>
        <v>46111</v>
      </c>
      <c r="R637">
        <f>_xlfn.XLOOKUP(E637,'Data Additive'!E:E,'Data Additive'!E:E,0)</f>
        <v>0</v>
      </c>
    </row>
    <row r="638" spans="1:18" x14ac:dyDescent="0.25">
      <c r="D638" s="34"/>
      <c r="F638" s="30"/>
      <c r="K638" s="30"/>
      <c r="Q638">
        <f t="shared" si="12"/>
        <v>46111</v>
      </c>
      <c r="R638">
        <f>_xlfn.XLOOKUP(E638,'Data Additive'!E:E,'Data Additive'!E:E,0)</f>
        <v>0</v>
      </c>
    </row>
    <row r="639" spans="1:18" x14ac:dyDescent="0.25">
      <c r="D639" s="34"/>
      <c r="F639" s="30"/>
      <c r="K639" s="30"/>
      <c r="Q639">
        <f t="shared" si="12"/>
        <v>46111</v>
      </c>
      <c r="R639">
        <f>_xlfn.XLOOKUP(E639,'Data Additive'!E:E,'Data Additive'!E:E,0)</f>
        <v>0</v>
      </c>
    </row>
    <row r="640" spans="1:18" x14ac:dyDescent="0.25">
      <c r="D640" s="34"/>
      <c r="F640" s="30"/>
      <c r="K640" s="30"/>
      <c r="Q640">
        <f t="shared" si="12"/>
        <v>46111</v>
      </c>
      <c r="R640">
        <f>_xlfn.XLOOKUP(E640,'Data Additive'!E:E,'Data Additive'!E:E,0)</f>
        <v>0</v>
      </c>
    </row>
    <row r="641" spans="4:18" x14ac:dyDescent="0.25">
      <c r="D641" s="34"/>
      <c r="F641" s="30"/>
      <c r="K641" s="30"/>
      <c r="Q641">
        <f t="shared" si="12"/>
        <v>46111</v>
      </c>
      <c r="R641">
        <f>_xlfn.XLOOKUP(E641,'Data Additive'!E:E,'Data Additive'!E:E,0)</f>
        <v>0</v>
      </c>
    </row>
    <row r="642" spans="4:18" x14ac:dyDescent="0.25">
      <c r="D642" s="34"/>
      <c r="F642" s="30"/>
      <c r="K642" s="30"/>
      <c r="Q642">
        <f t="shared" si="12"/>
        <v>46111</v>
      </c>
      <c r="R642">
        <f>_xlfn.XLOOKUP(E642,'Data Additive'!E:E,'Data Additive'!E:E,0)</f>
        <v>0</v>
      </c>
    </row>
    <row r="643" spans="4:18" x14ac:dyDescent="0.25">
      <c r="D643" s="34"/>
      <c r="F643" s="30"/>
      <c r="K643" s="30"/>
      <c r="Q643">
        <f t="shared" si="12"/>
        <v>46111</v>
      </c>
      <c r="R643">
        <f>_xlfn.XLOOKUP(E643,'Data Additive'!E:E,'Data Additive'!E:E,0)</f>
        <v>0</v>
      </c>
    </row>
    <row r="644" spans="4:18" x14ac:dyDescent="0.25">
      <c r="D644" s="34"/>
      <c r="F644" s="30"/>
      <c r="K644" s="30"/>
      <c r="Q644">
        <f t="shared" si="12"/>
        <v>46111</v>
      </c>
      <c r="R644">
        <f>_xlfn.XLOOKUP(E644,'Data Additive'!E:E,'Data Additive'!E:E,0)</f>
        <v>0</v>
      </c>
    </row>
    <row r="645" spans="4:18" x14ac:dyDescent="0.25">
      <c r="D645" s="34"/>
      <c r="F645" s="30"/>
      <c r="K645" s="30"/>
      <c r="Q645">
        <f t="shared" si="12"/>
        <v>46111</v>
      </c>
      <c r="R645">
        <f>_xlfn.XLOOKUP(E645,'Data Additive'!E:E,'Data Additive'!E:E,0)</f>
        <v>0</v>
      </c>
    </row>
    <row r="646" spans="4:18" x14ac:dyDescent="0.25">
      <c r="D646" s="34"/>
      <c r="F646" s="30"/>
      <c r="K646" s="30"/>
      <c r="Q646">
        <f t="shared" si="12"/>
        <v>46111</v>
      </c>
      <c r="R646">
        <f>_xlfn.XLOOKUP(E646,'Data Additive'!E:E,'Data Additive'!E:E,0)</f>
        <v>0</v>
      </c>
    </row>
    <row r="647" spans="4:18" x14ac:dyDescent="0.25">
      <c r="D647" s="34"/>
      <c r="F647" s="30"/>
      <c r="K647" s="30"/>
      <c r="Q647">
        <f t="shared" si="12"/>
        <v>46111</v>
      </c>
      <c r="R647">
        <f>_xlfn.XLOOKUP(E647,'Data Additive'!E:E,'Data Additive'!E:E,0)</f>
        <v>0</v>
      </c>
    </row>
    <row r="648" spans="4:18" x14ac:dyDescent="0.25">
      <c r="D648" s="34"/>
      <c r="F648" s="30"/>
      <c r="K648" s="30"/>
      <c r="Q648">
        <f>$R$1-F648</f>
        <v>46111</v>
      </c>
      <c r="R648">
        <f>_xlfn.XLOOKUP(E648,'Data Additive'!E:E,'Data Additive'!E:E,0)</f>
        <v>0</v>
      </c>
    </row>
    <row r="649" spans="4:18" x14ac:dyDescent="0.25">
      <c r="D649" s="34"/>
      <c r="F649" s="30"/>
      <c r="K649" s="30"/>
      <c r="Q649">
        <f t="shared" si="12"/>
        <v>46111</v>
      </c>
      <c r="R649">
        <f>_xlfn.XLOOKUP(E649,'Data Additive'!E:E,'Data Additive'!E:E,0)</f>
        <v>0</v>
      </c>
    </row>
    <row r="650" spans="4:18" x14ac:dyDescent="0.25">
      <c r="D650" s="34"/>
      <c r="F650" s="30"/>
      <c r="K650" s="30"/>
      <c r="Q650">
        <f t="shared" si="12"/>
        <v>46111</v>
      </c>
      <c r="R650">
        <f>_xlfn.XLOOKUP(E650,'Data Additive'!E:E,'Data Additive'!E:E,0)</f>
        <v>0</v>
      </c>
    </row>
    <row r="651" spans="4:18" x14ac:dyDescent="0.25">
      <c r="D651" s="34"/>
      <c r="F651" s="30"/>
      <c r="K651" s="30"/>
      <c r="Q651">
        <f t="shared" si="12"/>
        <v>46111</v>
      </c>
      <c r="R651">
        <f>_xlfn.XLOOKUP(E651,'Data Additive'!E:E,'Data Additive'!E:E,0)</f>
        <v>0</v>
      </c>
    </row>
    <row r="652" spans="4:18" x14ac:dyDescent="0.25">
      <c r="D652" s="34"/>
      <c r="F652" s="30"/>
      <c r="K652" s="30"/>
      <c r="Q652">
        <f t="shared" si="12"/>
        <v>46111</v>
      </c>
      <c r="R652">
        <f>_xlfn.XLOOKUP(E652,'Data Additive'!E:E,'Data Additive'!E:E,0)</f>
        <v>0</v>
      </c>
    </row>
    <row r="653" spans="4:18" x14ac:dyDescent="0.25">
      <c r="D653" s="34"/>
      <c r="F653" s="30"/>
      <c r="K653" s="30"/>
      <c r="Q653">
        <f t="shared" si="12"/>
        <v>46111</v>
      </c>
      <c r="R653">
        <f>_xlfn.XLOOKUP(E653,'Data Additive'!E:E,'Data Additive'!E:E,0)</f>
        <v>0</v>
      </c>
    </row>
    <row r="654" spans="4:18" x14ac:dyDescent="0.25">
      <c r="D654" s="34"/>
      <c r="F654" s="30"/>
      <c r="K654" s="30"/>
      <c r="Q654">
        <f t="shared" si="12"/>
        <v>46111</v>
      </c>
      <c r="R654">
        <f>_xlfn.XLOOKUP(E654,'Data Additive'!E:E,'Data Additive'!E:E,0)</f>
        <v>0</v>
      </c>
    </row>
    <row r="655" spans="4:18" x14ac:dyDescent="0.25">
      <c r="D655" s="34"/>
      <c r="F655" s="30"/>
      <c r="K655" s="30"/>
      <c r="Q655">
        <f t="shared" si="12"/>
        <v>46111</v>
      </c>
      <c r="R655">
        <f>_xlfn.XLOOKUP(E655,'Data Additive'!E:E,'Data Additive'!E:E,0)</f>
        <v>0</v>
      </c>
    </row>
    <row r="656" spans="4:18" x14ac:dyDescent="0.25">
      <c r="D656" s="34"/>
      <c r="F656" s="30"/>
      <c r="K656" s="30"/>
      <c r="Q656">
        <f t="shared" si="12"/>
        <v>46111</v>
      </c>
      <c r="R656">
        <f>_xlfn.XLOOKUP(E656,'Data Additive'!E:E,'Data Additive'!E:E,0)</f>
        <v>0</v>
      </c>
    </row>
    <row r="657" spans="4:18" x14ac:dyDescent="0.25">
      <c r="D657" s="34"/>
      <c r="F657" s="30"/>
      <c r="K657" s="30"/>
      <c r="Q657">
        <f t="shared" si="12"/>
        <v>46111</v>
      </c>
      <c r="R657">
        <f>_xlfn.XLOOKUP(E657,'Data Additive'!E:E,'Data Additive'!E:E,0)</f>
        <v>0</v>
      </c>
    </row>
    <row r="658" spans="4:18" x14ac:dyDescent="0.25">
      <c r="D658" s="34"/>
      <c r="F658" s="30"/>
      <c r="K658" s="30"/>
      <c r="Q658">
        <f t="shared" si="12"/>
        <v>46111</v>
      </c>
      <c r="R658">
        <f>_xlfn.XLOOKUP(E658,'Data Additive'!E:E,'Data Additive'!E:E,0)</f>
        <v>0</v>
      </c>
    </row>
    <row r="659" spans="4:18" x14ac:dyDescent="0.25">
      <c r="D659" s="34"/>
      <c r="F659" s="30"/>
      <c r="K659" s="30"/>
      <c r="Q659">
        <f t="shared" si="12"/>
        <v>46111</v>
      </c>
      <c r="R659">
        <f>_xlfn.XLOOKUP(E659,'Data Additive'!E:E,'Data Additive'!E:E,0)</f>
        <v>0</v>
      </c>
    </row>
    <row r="660" spans="4:18" x14ac:dyDescent="0.25">
      <c r="D660" s="34"/>
      <c r="F660" s="30"/>
      <c r="K660" s="30"/>
      <c r="Q660">
        <f t="shared" si="12"/>
        <v>46111</v>
      </c>
      <c r="R660">
        <f>_xlfn.XLOOKUP(E660,'Data Additive'!E:E,'Data Additive'!E:E,0)</f>
        <v>0</v>
      </c>
    </row>
    <row r="661" spans="4:18" x14ac:dyDescent="0.25">
      <c r="D661" s="34"/>
      <c r="F661" s="30"/>
      <c r="K661" s="30"/>
      <c r="Q661">
        <f t="shared" si="12"/>
        <v>46111</v>
      </c>
      <c r="R661">
        <f>_xlfn.XLOOKUP(E661,'Data Additive'!E:E,'Data Additive'!E:E,0)</f>
        <v>0</v>
      </c>
    </row>
    <row r="662" spans="4:18" x14ac:dyDescent="0.25">
      <c r="D662" s="34"/>
      <c r="F662" s="30"/>
      <c r="K662" s="30"/>
      <c r="Q662">
        <f t="shared" si="12"/>
        <v>46111</v>
      </c>
      <c r="R662">
        <f>_xlfn.XLOOKUP(E662,'Data Additive'!E:E,'Data Additive'!E:E,0)</f>
        <v>0</v>
      </c>
    </row>
    <row r="663" spans="4:18" x14ac:dyDescent="0.25">
      <c r="D663" s="34"/>
      <c r="F663" s="30"/>
      <c r="K663" s="30"/>
      <c r="Q663">
        <f t="shared" si="12"/>
        <v>46111</v>
      </c>
      <c r="R663">
        <f>_xlfn.XLOOKUP(E663,'Data Additive'!E:E,'Data Additive'!E:E,0)</f>
        <v>0</v>
      </c>
    </row>
    <row r="664" spans="4:18" x14ac:dyDescent="0.25">
      <c r="D664" s="34"/>
      <c r="F664" s="30"/>
      <c r="K664" s="30"/>
      <c r="Q664">
        <f t="shared" si="12"/>
        <v>46111</v>
      </c>
      <c r="R664">
        <f>_xlfn.XLOOKUP(E664,'Data Additive'!E:E,'Data Additive'!E:E,0)</f>
        <v>0</v>
      </c>
    </row>
    <row r="665" spans="4:18" x14ac:dyDescent="0.25">
      <c r="D665" s="34"/>
      <c r="F665" s="30"/>
      <c r="K665" s="30"/>
      <c r="Q665">
        <f t="shared" si="12"/>
        <v>46111</v>
      </c>
      <c r="R665">
        <f>_xlfn.XLOOKUP(E665,'Data Additive'!E:E,'Data Additive'!E:E,0)</f>
        <v>0</v>
      </c>
    </row>
    <row r="666" spans="4:18" x14ac:dyDescent="0.25">
      <c r="D666" s="34"/>
      <c r="F666" s="30"/>
      <c r="K666" s="30"/>
      <c r="Q666">
        <f t="shared" si="12"/>
        <v>46111</v>
      </c>
      <c r="R666">
        <f>_xlfn.XLOOKUP(E666,'Data Additive'!E:E,'Data Additive'!E:E,0)</f>
        <v>0</v>
      </c>
    </row>
    <row r="667" spans="4:18" x14ac:dyDescent="0.25">
      <c r="D667" s="34"/>
      <c r="F667" s="30"/>
      <c r="K667" s="30"/>
      <c r="Q667">
        <f t="shared" si="12"/>
        <v>46111</v>
      </c>
      <c r="R667">
        <f>_xlfn.XLOOKUP(E667,'Data Additive'!E:E,'Data Additive'!E:E,0)</f>
        <v>0</v>
      </c>
    </row>
    <row r="668" spans="4:18" x14ac:dyDescent="0.25">
      <c r="D668" s="34"/>
      <c r="F668" s="30"/>
      <c r="K668" s="30"/>
      <c r="Q668">
        <f t="shared" si="12"/>
        <v>46111</v>
      </c>
      <c r="R668">
        <f>_xlfn.XLOOKUP(E668,'Data Additive'!E:E,'Data Additive'!E:E,0)</f>
        <v>0</v>
      </c>
    </row>
    <row r="669" spans="4:18" x14ac:dyDescent="0.25">
      <c r="D669" s="34"/>
      <c r="F669" s="30"/>
      <c r="K669" s="30"/>
      <c r="Q669">
        <f t="shared" si="12"/>
        <v>46111</v>
      </c>
      <c r="R669">
        <f>_xlfn.XLOOKUP(E669,'Data Additive'!E:E,'Data Additive'!E:E,0)</f>
        <v>0</v>
      </c>
    </row>
    <row r="670" spans="4:18" x14ac:dyDescent="0.25">
      <c r="D670" s="34"/>
      <c r="F670" s="30"/>
      <c r="K670" s="30"/>
      <c r="Q670">
        <f t="shared" si="12"/>
        <v>46111</v>
      </c>
      <c r="R670">
        <f>_xlfn.XLOOKUP(E670,'Data Additive'!E:E,'Data Additive'!E:E,0)</f>
        <v>0</v>
      </c>
    </row>
    <row r="671" spans="4:18" x14ac:dyDescent="0.25">
      <c r="D671" s="34"/>
      <c r="F671" s="30"/>
      <c r="K671" s="30"/>
      <c r="Q671">
        <f t="shared" si="12"/>
        <v>46111</v>
      </c>
      <c r="R671">
        <f>_xlfn.XLOOKUP(E671,'Data Additive'!E:E,'Data Additive'!E:E,0)</f>
        <v>0</v>
      </c>
    </row>
    <row r="672" spans="4:18" x14ac:dyDescent="0.25">
      <c r="D672" s="34"/>
      <c r="F672" s="30"/>
      <c r="K672" s="30"/>
      <c r="Q672">
        <f t="shared" si="12"/>
        <v>46111</v>
      </c>
      <c r="R672">
        <f>_xlfn.XLOOKUP(E672,'Data Additive'!E:E,'Data Additive'!E:E,0)</f>
        <v>0</v>
      </c>
    </row>
    <row r="673" spans="4:18" x14ac:dyDescent="0.25">
      <c r="D673" s="34"/>
      <c r="F673" s="30"/>
      <c r="K673" s="30"/>
      <c r="Q673">
        <f t="shared" si="12"/>
        <v>46111</v>
      </c>
      <c r="R673">
        <f>_xlfn.XLOOKUP(E673,'Data Additive'!E:E,'Data Additive'!E:E,0)</f>
        <v>0</v>
      </c>
    </row>
    <row r="674" spans="4:18" x14ac:dyDescent="0.25">
      <c r="D674" s="34"/>
      <c r="F674" s="30"/>
      <c r="K674" s="30"/>
      <c r="Q674">
        <f t="shared" si="12"/>
        <v>46111</v>
      </c>
      <c r="R674">
        <f>_xlfn.XLOOKUP(E674,'Data Additive'!E:E,'Data Additive'!E:E,0)</f>
        <v>0</v>
      </c>
    </row>
    <row r="675" spans="4:18" x14ac:dyDescent="0.25">
      <c r="D675" s="34"/>
      <c r="F675" s="30"/>
      <c r="K675" s="30"/>
      <c r="Q675">
        <f t="shared" si="12"/>
        <v>46111</v>
      </c>
      <c r="R675">
        <f>_xlfn.XLOOKUP(E675,'Data Additive'!E:E,'Data Additive'!E:E,0)</f>
        <v>0</v>
      </c>
    </row>
    <row r="676" spans="4:18" x14ac:dyDescent="0.25">
      <c r="D676" s="34"/>
      <c r="F676" s="30"/>
      <c r="K676" s="30"/>
      <c r="Q676">
        <f t="shared" si="12"/>
        <v>46111</v>
      </c>
      <c r="R676">
        <f>_xlfn.XLOOKUP(E676,'Data Additive'!E:E,'Data Additive'!E:E,0)</f>
        <v>0</v>
      </c>
    </row>
    <row r="677" spans="4:18" x14ac:dyDescent="0.25">
      <c r="D677" s="34"/>
      <c r="F677" s="30"/>
      <c r="K677" s="30"/>
      <c r="Q677">
        <f t="shared" si="12"/>
        <v>46111</v>
      </c>
      <c r="R677">
        <f>_xlfn.XLOOKUP(E677,'Data Additive'!E:E,'Data Additive'!E:E,0)</f>
        <v>0</v>
      </c>
    </row>
    <row r="678" spans="4:18" x14ac:dyDescent="0.25">
      <c r="D678" s="34"/>
      <c r="F678" s="30"/>
      <c r="K678" s="30"/>
      <c r="Q678">
        <f t="shared" si="12"/>
        <v>46111</v>
      </c>
      <c r="R678">
        <f>_xlfn.XLOOKUP(E678,'Data Additive'!E:E,'Data Additive'!E:E,0)</f>
        <v>0</v>
      </c>
    </row>
    <row r="679" spans="4:18" x14ac:dyDescent="0.25">
      <c r="D679" s="34"/>
      <c r="F679" s="30"/>
      <c r="K679" s="30"/>
      <c r="Q679">
        <f t="shared" si="12"/>
        <v>46111</v>
      </c>
      <c r="R679">
        <f>_xlfn.XLOOKUP(E679,'Data Additive'!E:E,'Data Additive'!E:E,0)</f>
        <v>0</v>
      </c>
    </row>
    <row r="680" spans="4:18" x14ac:dyDescent="0.25">
      <c r="D680" s="34"/>
      <c r="F680" s="30"/>
      <c r="K680" s="30"/>
      <c r="Q680">
        <f t="shared" si="12"/>
        <v>46111</v>
      </c>
      <c r="R680">
        <f>_xlfn.XLOOKUP(E680,'Data Additive'!E:E,'Data Additive'!E:E,0)</f>
        <v>0</v>
      </c>
    </row>
    <row r="681" spans="4:18" x14ac:dyDescent="0.25">
      <c r="D681" s="34"/>
      <c r="F681" s="30"/>
      <c r="K681" s="30"/>
      <c r="Q681">
        <f t="shared" ref="Q681:Q740" si="13">$R$1-F681</f>
        <v>46111</v>
      </c>
      <c r="R681">
        <f>_xlfn.XLOOKUP(E681,'Data Additive'!E:E,'Data Additive'!E:E,0)</f>
        <v>0</v>
      </c>
    </row>
    <row r="682" spans="4:18" x14ac:dyDescent="0.25">
      <c r="D682" s="34"/>
      <c r="F682" s="30"/>
      <c r="K682" s="30"/>
      <c r="Q682">
        <f t="shared" si="13"/>
        <v>46111</v>
      </c>
      <c r="R682">
        <f>_xlfn.XLOOKUP(E682,'Data Additive'!E:E,'Data Additive'!E:E,0)</f>
        <v>0</v>
      </c>
    </row>
    <row r="683" spans="4:18" x14ac:dyDescent="0.25">
      <c r="D683" s="34"/>
      <c r="F683" s="30"/>
      <c r="K683" s="30"/>
      <c r="Q683">
        <f t="shared" si="13"/>
        <v>46111</v>
      </c>
      <c r="R683">
        <f>_xlfn.XLOOKUP(E683,'Data Additive'!E:E,'Data Additive'!E:E,0)</f>
        <v>0</v>
      </c>
    </row>
    <row r="684" spans="4:18" x14ac:dyDescent="0.25">
      <c r="D684" s="34"/>
      <c r="F684" s="30"/>
      <c r="K684" s="30"/>
      <c r="Q684">
        <f t="shared" si="13"/>
        <v>46111</v>
      </c>
      <c r="R684">
        <f>_xlfn.XLOOKUP(E684,'Data Additive'!E:E,'Data Additive'!E:E,0)</f>
        <v>0</v>
      </c>
    </row>
    <row r="685" spans="4:18" x14ac:dyDescent="0.25">
      <c r="D685" s="34"/>
      <c r="F685" s="30"/>
      <c r="K685" s="30"/>
      <c r="Q685">
        <f t="shared" si="13"/>
        <v>46111</v>
      </c>
      <c r="R685">
        <f>_xlfn.XLOOKUP(E685,'Data Additive'!E:E,'Data Additive'!E:E,0)</f>
        <v>0</v>
      </c>
    </row>
    <row r="686" spans="4:18" x14ac:dyDescent="0.25">
      <c r="D686" s="34"/>
      <c r="F686" s="30"/>
      <c r="K686" s="30"/>
      <c r="Q686">
        <f t="shared" si="13"/>
        <v>46111</v>
      </c>
      <c r="R686">
        <f>_xlfn.XLOOKUP(E686,'Data Additive'!E:E,'Data Additive'!E:E,0)</f>
        <v>0</v>
      </c>
    </row>
    <row r="687" spans="4:18" x14ac:dyDescent="0.25">
      <c r="D687" s="34"/>
      <c r="F687" s="30"/>
      <c r="K687" s="30"/>
      <c r="Q687">
        <f t="shared" si="13"/>
        <v>46111</v>
      </c>
      <c r="R687">
        <f>_xlfn.XLOOKUP(E687,'Data Additive'!E:E,'Data Additive'!E:E,0)</f>
        <v>0</v>
      </c>
    </row>
    <row r="688" spans="4:18" x14ac:dyDescent="0.25">
      <c r="D688" s="34"/>
      <c r="F688" s="30"/>
      <c r="K688" s="30"/>
      <c r="Q688">
        <f t="shared" si="13"/>
        <v>46111</v>
      </c>
      <c r="R688">
        <f>_xlfn.XLOOKUP(E688,'Data Additive'!E:E,'Data Additive'!E:E,0)</f>
        <v>0</v>
      </c>
    </row>
    <row r="689" spans="4:18" x14ac:dyDescent="0.25">
      <c r="D689" s="34"/>
      <c r="F689" s="30"/>
      <c r="K689" s="30"/>
      <c r="Q689">
        <f t="shared" si="13"/>
        <v>46111</v>
      </c>
      <c r="R689">
        <f>_xlfn.XLOOKUP(E689,'Data Additive'!E:E,'Data Additive'!E:E,0)</f>
        <v>0</v>
      </c>
    </row>
    <row r="690" spans="4:18" x14ac:dyDescent="0.25">
      <c r="D690" s="34"/>
      <c r="F690" s="30"/>
      <c r="K690" s="30"/>
      <c r="Q690">
        <f t="shared" si="13"/>
        <v>46111</v>
      </c>
      <c r="R690">
        <f>_xlfn.XLOOKUP(E690,'Data Additive'!E:E,'Data Additive'!E:E,0)</f>
        <v>0</v>
      </c>
    </row>
    <row r="691" spans="4:18" x14ac:dyDescent="0.25">
      <c r="D691" s="34"/>
      <c r="F691" s="30"/>
      <c r="K691" s="30"/>
      <c r="Q691">
        <f t="shared" si="13"/>
        <v>46111</v>
      </c>
      <c r="R691">
        <f>_xlfn.XLOOKUP(E691,'Data Additive'!E:E,'Data Additive'!E:E,0)</f>
        <v>0</v>
      </c>
    </row>
    <row r="692" spans="4:18" x14ac:dyDescent="0.25">
      <c r="D692" s="34"/>
      <c r="F692" s="30"/>
      <c r="K692" s="30"/>
      <c r="Q692">
        <f t="shared" si="13"/>
        <v>46111</v>
      </c>
      <c r="R692">
        <f>_xlfn.XLOOKUP(E692,'Data Additive'!E:E,'Data Additive'!E:E,0)</f>
        <v>0</v>
      </c>
    </row>
    <row r="693" spans="4:18" x14ac:dyDescent="0.25">
      <c r="D693" s="34"/>
      <c r="F693" s="30"/>
      <c r="K693" s="30"/>
      <c r="Q693">
        <f t="shared" si="13"/>
        <v>46111</v>
      </c>
      <c r="R693">
        <f>_xlfn.XLOOKUP(E693,'Data Additive'!E:E,'Data Additive'!E:E,0)</f>
        <v>0</v>
      </c>
    </row>
    <row r="694" spans="4:18" x14ac:dyDescent="0.25">
      <c r="D694" s="34"/>
      <c r="F694" s="30"/>
      <c r="K694" s="30"/>
      <c r="Q694">
        <f t="shared" si="13"/>
        <v>46111</v>
      </c>
      <c r="R694">
        <f>_xlfn.XLOOKUP(E694,'Data Additive'!E:E,'Data Additive'!E:E,0)</f>
        <v>0</v>
      </c>
    </row>
    <row r="695" spans="4:18" x14ac:dyDescent="0.25">
      <c r="D695" s="34"/>
      <c r="F695" s="30"/>
      <c r="K695" s="30"/>
      <c r="Q695">
        <f t="shared" si="13"/>
        <v>46111</v>
      </c>
      <c r="R695">
        <f>_xlfn.XLOOKUP(E695,'Data Additive'!E:E,'Data Additive'!E:E,0)</f>
        <v>0</v>
      </c>
    </row>
    <row r="696" spans="4:18" x14ac:dyDescent="0.25">
      <c r="D696" s="34"/>
      <c r="F696" s="30"/>
      <c r="K696" s="30"/>
      <c r="Q696">
        <f t="shared" si="13"/>
        <v>46111</v>
      </c>
      <c r="R696">
        <f>_xlfn.XLOOKUP(E696,'Data Additive'!E:E,'Data Additive'!E:E,0)</f>
        <v>0</v>
      </c>
    </row>
    <row r="697" spans="4:18" x14ac:dyDescent="0.25">
      <c r="D697" s="34"/>
      <c r="F697" s="30"/>
      <c r="K697" s="30"/>
      <c r="Q697">
        <f t="shared" si="13"/>
        <v>46111</v>
      </c>
      <c r="R697">
        <f>_xlfn.XLOOKUP(E697,'Data Additive'!E:E,'Data Additive'!E:E,0)</f>
        <v>0</v>
      </c>
    </row>
    <row r="698" spans="4:18" x14ac:dyDescent="0.25">
      <c r="D698" s="34"/>
      <c r="F698" s="30"/>
      <c r="K698" s="30"/>
      <c r="Q698">
        <f t="shared" si="13"/>
        <v>46111</v>
      </c>
      <c r="R698">
        <f>_xlfn.XLOOKUP(E698,'Data Additive'!E:E,'Data Additive'!E:E,0)</f>
        <v>0</v>
      </c>
    </row>
    <row r="699" spans="4:18" x14ac:dyDescent="0.25">
      <c r="D699" s="34"/>
      <c r="F699" s="30"/>
      <c r="K699" s="30"/>
      <c r="Q699">
        <f t="shared" si="13"/>
        <v>46111</v>
      </c>
      <c r="R699">
        <f>_xlfn.XLOOKUP(E699,'Data Additive'!E:E,'Data Additive'!E:E,0)</f>
        <v>0</v>
      </c>
    </row>
    <row r="700" spans="4:18" x14ac:dyDescent="0.25">
      <c r="D700" s="34"/>
      <c r="F700" s="30"/>
      <c r="K700" s="30"/>
      <c r="Q700">
        <f t="shared" si="13"/>
        <v>46111</v>
      </c>
      <c r="R700">
        <f>_xlfn.XLOOKUP(E700,'Data Additive'!E:E,'Data Additive'!E:E,0)</f>
        <v>0</v>
      </c>
    </row>
    <row r="701" spans="4:18" x14ac:dyDescent="0.25">
      <c r="D701" s="34"/>
      <c r="F701" s="30"/>
      <c r="K701" s="30"/>
      <c r="Q701">
        <f t="shared" si="13"/>
        <v>46111</v>
      </c>
      <c r="R701">
        <f>_xlfn.XLOOKUP(E701,'Data Additive'!E:E,'Data Additive'!E:E,0)</f>
        <v>0</v>
      </c>
    </row>
    <row r="702" spans="4:18" x14ac:dyDescent="0.25">
      <c r="D702" s="34"/>
      <c r="F702" s="30"/>
      <c r="K702" s="30"/>
      <c r="Q702">
        <f t="shared" si="13"/>
        <v>46111</v>
      </c>
      <c r="R702">
        <f>_xlfn.XLOOKUP(E702,'Data Additive'!E:E,'Data Additive'!E:E,0)</f>
        <v>0</v>
      </c>
    </row>
    <row r="703" spans="4:18" x14ac:dyDescent="0.25">
      <c r="D703" s="34"/>
      <c r="F703" s="30"/>
      <c r="K703" s="30"/>
      <c r="Q703">
        <f t="shared" si="13"/>
        <v>46111</v>
      </c>
      <c r="R703">
        <f>_xlfn.XLOOKUP(E703,'Data Additive'!E:E,'Data Additive'!E:E,0)</f>
        <v>0</v>
      </c>
    </row>
    <row r="704" spans="4:18" x14ac:dyDescent="0.25">
      <c r="D704" s="34"/>
      <c r="F704" s="30"/>
      <c r="K704" s="30"/>
      <c r="Q704">
        <f t="shared" si="13"/>
        <v>46111</v>
      </c>
      <c r="R704">
        <f>_xlfn.XLOOKUP(E704,'Data Additive'!E:E,'Data Additive'!E:E,0)</f>
        <v>0</v>
      </c>
    </row>
    <row r="705" spans="4:18" x14ac:dyDescent="0.25">
      <c r="D705" s="34"/>
      <c r="F705" s="30"/>
      <c r="K705" s="30"/>
      <c r="Q705">
        <f t="shared" si="13"/>
        <v>46111</v>
      </c>
      <c r="R705">
        <f>_xlfn.XLOOKUP(E705,'Data Additive'!E:E,'Data Additive'!E:E,0)</f>
        <v>0</v>
      </c>
    </row>
    <row r="706" spans="4:18" x14ac:dyDescent="0.25">
      <c r="D706" s="34"/>
      <c r="F706" s="30"/>
      <c r="K706" s="30"/>
      <c r="Q706">
        <f t="shared" si="13"/>
        <v>46111</v>
      </c>
      <c r="R706">
        <f>_xlfn.XLOOKUP(E706,'Data Additive'!E:E,'Data Additive'!E:E,0)</f>
        <v>0</v>
      </c>
    </row>
    <row r="707" spans="4:18" x14ac:dyDescent="0.25">
      <c r="D707" s="34"/>
      <c r="F707" s="30"/>
      <c r="K707" s="30"/>
      <c r="Q707">
        <f t="shared" si="13"/>
        <v>46111</v>
      </c>
      <c r="R707">
        <f>_xlfn.XLOOKUP(E707,'Data Additive'!E:E,'Data Additive'!E:E,0)</f>
        <v>0</v>
      </c>
    </row>
    <row r="708" spans="4:18" x14ac:dyDescent="0.25">
      <c r="D708" s="34"/>
      <c r="F708" s="30"/>
      <c r="K708" s="30"/>
      <c r="Q708">
        <f t="shared" si="13"/>
        <v>46111</v>
      </c>
      <c r="R708">
        <f>_xlfn.XLOOKUP(E708,'Data Additive'!E:E,'Data Additive'!E:E,0)</f>
        <v>0</v>
      </c>
    </row>
    <row r="709" spans="4:18" x14ac:dyDescent="0.25">
      <c r="D709" s="34"/>
      <c r="F709" s="30"/>
      <c r="K709" s="30"/>
      <c r="Q709">
        <f t="shared" si="13"/>
        <v>46111</v>
      </c>
      <c r="R709">
        <f>_xlfn.XLOOKUP(E709,'Data Additive'!E:E,'Data Additive'!E:E,0)</f>
        <v>0</v>
      </c>
    </row>
    <row r="710" spans="4:18" x14ac:dyDescent="0.25">
      <c r="D710" s="34"/>
      <c r="F710" s="30"/>
      <c r="K710" s="30"/>
      <c r="Q710">
        <f t="shared" si="13"/>
        <v>46111</v>
      </c>
      <c r="R710">
        <f>_xlfn.XLOOKUP(E710,'Data Additive'!E:E,'Data Additive'!E:E,0)</f>
        <v>0</v>
      </c>
    </row>
    <row r="711" spans="4:18" x14ac:dyDescent="0.25">
      <c r="D711" s="34"/>
      <c r="F711" s="30"/>
      <c r="K711" s="30"/>
      <c r="Q711">
        <f t="shared" si="13"/>
        <v>46111</v>
      </c>
      <c r="R711">
        <f>_xlfn.XLOOKUP(E711,'Data Additive'!E:E,'Data Additive'!E:E,0)</f>
        <v>0</v>
      </c>
    </row>
    <row r="712" spans="4:18" x14ac:dyDescent="0.25">
      <c r="D712" s="34"/>
      <c r="F712" s="30"/>
      <c r="K712" s="30"/>
      <c r="Q712">
        <f t="shared" si="13"/>
        <v>46111</v>
      </c>
      <c r="R712">
        <f>_xlfn.XLOOKUP(E712,'Data Additive'!E:E,'Data Additive'!E:E,0)</f>
        <v>0</v>
      </c>
    </row>
    <row r="713" spans="4:18" x14ac:dyDescent="0.25">
      <c r="D713" s="34"/>
      <c r="F713" s="30"/>
      <c r="K713" s="30"/>
      <c r="Q713">
        <f t="shared" si="13"/>
        <v>46111</v>
      </c>
      <c r="R713">
        <f>_xlfn.XLOOKUP(E713,'Data Additive'!E:E,'Data Additive'!E:E,0)</f>
        <v>0</v>
      </c>
    </row>
    <row r="714" spans="4:18" x14ac:dyDescent="0.25">
      <c r="D714" s="34"/>
      <c r="F714" s="30"/>
      <c r="K714" s="30"/>
      <c r="Q714">
        <f t="shared" si="13"/>
        <v>46111</v>
      </c>
      <c r="R714">
        <f>_xlfn.XLOOKUP(E714,'Data Additive'!E:E,'Data Additive'!E:E,0)</f>
        <v>0</v>
      </c>
    </row>
    <row r="715" spans="4:18" x14ac:dyDescent="0.25">
      <c r="D715" s="34"/>
      <c r="F715" s="30"/>
      <c r="K715" s="30"/>
      <c r="Q715">
        <f t="shared" si="13"/>
        <v>46111</v>
      </c>
      <c r="R715">
        <f>_xlfn.XLOOKUP(E715,'Data Additive'!E:E,'Data Additive'!E:E,0)</f>
        <v>0</v>
      </c>
    </row>
    <row r="716" spans="4:18" x14ac:dyDescent="0.25">
      <c r="D716" s="34"/>
      <c r="F716" s="30"/>
      <c r="K716" s="30"/>
      <c r="Q716">
        <f t="shared" si="13"/>
        <v>46111</v>
      </c>
      <c r="R716">
        <f>_xlfn.XLOOKUP(E716,'Data Additive'!E:E,'Data Additive'!E:E,0)</f>
        <v>0</v>
      </c>
    </row>
    <row r="717" spans="4:18" x14ac:dyDescent="0.25">
      <c r="D717" s="34"/>
      <c r="F717" s="30"/>
      <c r="K717" s="30"/>
      <c r="Q717">
        <f t="shared" si="13"/>
        <v>46111</v>
      </c>
      <c r="R717">
        <f>_xlfn.XLOOKUP(E717,'Data Additive'!E:E,'Data Additive'!E:E,0)</f>
        <v>0</v>
      </c>
    </row>
    <row r="718" spans="4:18" x14ac:dyDescent="0.25">
      <c r="D718" s="34"/>
      <c r="F718" s="30"/>
      <c r="K718" s="30"/>
      <c r="Q718">
        <f t="shared" si="13"/>
        <v>46111</v>
      </c>
      <c r="R718">
        <f>_xlfn.XLOOKUP(E718,'Data Additive'!E:E,'Data Additive'!E:E,0)</f>
        <v>0</v>
      </c>
    </row>
    <row r="719" spans="4:18" x14ac:dyDescent="0.25">
      <c r="D719" s="34"/>
      <c r="F719" s="30"/>
      <c r="K719" s="30"/>
      <c r="Q719">
        <f t="shared" si="13"/>
        <v>46111</v>
      </c>
      <c r="R719">
        <f>_xlfn.XLOOKUP(E719,'Data Additive'!E:E,'Data Additive'!E:E,0)</f>
        <v>0</v>
      </c>
    </row>
    <row r="720" spans="4:18" x14ac:dyDescent="0.25">
      <c r="D720" s="34"/>
      <c r="F720" s="30"/>
      <c r="K720" s="30"/>
      <c r="Q720">
        <f t="shared" si="13"/>
        <v>46111</v>
      </c>
      <c r="R720">
        <f>_xlfn.XLOOKUP(E720,'Data Additive'!E:E,'Data Additive'!E:E,0)</f>
        <v>0</v>
      </c>
    </row>
    <row r="721" spans="4:18" x14ac:dyDescent="0.25">
      <c r="D721" s="34"/>
      <c r="F721" s="30"/>
      <c r="K721" s="30"/>
      <c r="Q721">
        <f t="shared" si="13"/>
        <v>46111</v>
      </c>
      <c r="R721">
        <f>_xlfn.XLOOKUP(E721,'Data Additive'!E:E,'Data Additive'!E:E,0)</f>
        <v>0</v>
      </c>
    </row>
    <row r="722" spans="4:18" x14ac:dyDescent="0.25">
      <c r="D722" s="34"/>
      <c r="F722" s="30"/>
      <c r="K722" s="30"/>
      <c r="Q722">
        <f t="shared" si="13"/>
        <v>46111</v>
      </c>
      <c r="R722">
        <f>_xlfn.XLOOKUP(E722,'Data Additive'!E:E,'Data Additive'!E:E,0)</f>
        <v>0</v>
      </c>
    </row>
    <row r="723" spans="4:18" x14ac:dyDescent="0.25">
      <c r="D723" s="34"/>
      <c r="F723" s="30"/>
      <c r="K723" s="30"/>
      <c r="Q723">
        <f t="shared" si="13"/>
        <v>46111</v>
      </c>
      <c r="R723">
        <f>_xlfn.XLOOKUP(E723,'Data Additive'!E:E,'Data Additive'!E:E,0)</f>
        <v>0</v>
      </c>
    </row>
    <row r="724" spans="4:18" x14ac:dyDescent="0.25">
      <c r="D724" s="34"/>
      <c r="F724" s="30"/>
      <c r="K724" s="30"/>
      <c r="Q724">
        <f t="shared" si="13"/>
        <v>46111</v>
      </c>
      <c r="R724">
        <f>_xlfn.XLOOKUP(E724,'Data Additive'!E:E,'Data Additive'!E:E,0)</f>
        <v>0</v>
      </c>
    </row>
    <row r="725" spans="4:18" x14ac:dyDescent="0.25">
      <c r="D725" s="34"/>
      <c r="F725" s="30"/>
      <c r="K725" s="30"/>
      <c r="Q725">
        <f t="shared" si="13"/>
        <v>46111</v>
      </c>
      <c r="R725">
        <f>_xlfn.XLOOKUP(E725,'Data Additive'!E:E,'Data Additive'!E:E,0)</f>
        <v>0</v>
      </c>
    </row>
    <row r="726" spans="4:18" x14ac:dyDescent="0.25">
      <c r="D726" s="34"/>
      <c r="F726" s="30"/>
      <c r="K726" s="30"/>
      <c r="Q726">
        <f t="shared" si="13"/>
        <v>46111</v>
      </c>
      <c r="R726">
        <f>_xlfn.XLOOKUP(E726,'Data Additive'!E:E,'Data Additive'!E:E,0)</f>
        <v>0</v>
      </c>
    </row>
    <row r="727" spans="4:18" x14ac:dyDescent="0.25">
      <c r="D727" s="34"/>
      <c r="F727" s="30"/>
      <c r="K727" s="30"/>
      <c r="Q727">
        <f t="shared" si="13"/>
        <v>46111</v>
      </c>
      <c r="R727">
        <f>_xlfn.XLOOKUP(E727,'Data Additive'!E:E,'Data Additive'!E:E,0)</f>
        <v>0</v>
      </c>
    </row>
    <row r="728" spans="4:18" x14ac:dyDescent="0.25">
      <c r="D728" s="34"/>
      <c r="F728" s="30"/>
      <c r="K728" s="30"/>
      <c r="Q728">
        <f t="shared" si="13"/>
        <v>46111</v>
      </c>
      <c r="R728">
        <f>_xlfn.XLOOKUP(E728,'Data Additive'!E:E,'Data Additive'!E:E,0)</f>
        <v>0</v>
      </c>
    </row>
    <row r="729" spans="4:18" x14ac:dyDescent="0.25">
      <c r="D729" s="34"/>
      <c r="F729" s="30"/>
      <c r="K729" s="30"/>
      <c r="Q729">
        <f t="shared" si="13"/>
        <v>46111</v>
      </c>
      <c r="R729">
        <f>_xlfn.XLOOKUP(E729,'Data Additive'!E:E,'Data Additive'!E:E,0)</f>
        <v>0</v>
      </c>
    </row>
    <row r="730" spans="4:18" x14ac:dyDescent="0.25">
      <c r="D730" s="34"/>
      <c r="F730" s="30"/>
      <c r="K730" s="30"/>
      <c r="Q730">
        <f t="shared" si="13"/>
        <v>46111</v>
      </c>
      <c r="R730">
        <f>_xlfn.XLOOKUP(E730,'Data Additive'!E:E,'Data Additive'!E:E,0)</f>
        <v>0</v>
      </c>
    </row>
    <row r="731" spans="4:18" x14ac:dyDescent="0.25">
      <c r="D731" s="34"/>
      <c r="F731" s="30"/>
      <c r="K731" s="30"/>
      <c r="Q731">
        <f t="shared" si="13"/>
        <v>46111</v>
      </c>
      <c r="R731">
        <f>_xlfn.XLOOKUP(E731,'Data Additive'!E:E,'Data Additive'!E:E,0)</f>
        <v>0</v>
      </c>
    </row>
    <row r="732" spans="4:18" x14ac:dyDescent="0.25">
      <c r="D732" s="34"/>
      <c r="F732" s="30"/>
      <c r="K732" s="30"/>
      <c r="Q732">
        <f t="shared" si="13"/>
        <v>46111</v>
      </c>
      <c r="R732">
        <f>_xlfn.XLOOKUP(E732,'Data Additive'!E:E,'Data Additive'!E:E,0)</f>
        <v>0</v>
      </c>
    </row>
    <row r="733" spans="4:18" x14ac:dyDescent="0.25">
      <c r="D733" s="34"/>
      <c r="F733" s="30"/>
      <c r="K733" s="30"/>
      <c r="Q733">
        <f t="shared" si="13"/>
        <v>46111</v>
      </c>
      <c r="R733">
        <f>_xlfn.XLOOKUP(E733,'Data Additive'!E:E,'Data Additive'!E:E,0)</f>
        <v>0</v>
      </c>
    </row>
    <row r="734" spans="4:18" x14ac:dyDescent="0.25">
      <c r="D734" s="34"/>
      <c r="F734" s="30"/>
      <c r="K734" s="30"/>
      <c r="Q734">
        <f t="shared" si="13"/>
        <v>46111</v>
      </c>
      <c r="R734">
        <f>_xlfn.XLOOKUP(E734,'Data Additive'!E:E,'Data Additive'!E:E,0)</f>
        <v>0</v>
      </c>
    </row>
    <row r="735" spans="4:18" x14ac:dyDescent="0.25">
      <c r="D735" s="34"/>
      <c r="F735" s="30"/>
      <c r="K735" s="30"/>
      <c r="Q735">
        <f t="shared" si="13"/>
        <v>46111</v>
      </c>
      <c r="R735">
        <f>_xlfn.XLOOKUP(E735,'Data Additive'!E:E,'Data Additive'!E:E,0)</f>
        <v>0</v>
      </c>
    </row>
    <row r="736" spans="4:18" x14ac:dyDescent="0.25">
      <c r="D736" s="34"/>
      <c r="F736" s="30"/>
      <c r="K736" s="30"/>
      <c r="Q736">
        <f t="shared" si="13"/>
        <v>46111</v>
      </c>
      <c r="R736">
        <f>_xlfn.XLOOKUP(E736,'Data Additive'!E:E,'Data Additive'!E:E,0)</f>
        <v>0</v>
      </c>
    </row>
    <row r="737" spans="4:18" x14ac:dyDescent="0.25">
      <c r="D737" s="34"/>
      <c r="F737" s="30"/>
      <c r="K737" s="30"/>
      <c r="Q737">
        <f t="shared" si="13"/>
        <v>46111</v>
      </c>
      <c r="R737">
        <f>_xlfn.XLOOKUP(E737,'Data Additive'!E:E,'Data Additive'!E:E,0)</f>
        <v>0</v>
      </c>
    </row>
    <row r="738" spans="4:18" x14ac:dyDescent="0.25">
      <c r="D738" s="34"/>
      <c r="F738" s="30"/>
      <c r="K738" s="30"/>
      <c r="Q738">
        <f t="shared" si="13"/>
        <v>46111</v>
      </c>
      <c r="R738">
        <f>_xlfn.XLOOKUP(E738,'Data Additive'!E:E,'Data Additive'!E:E,0)</f>
        <v>0</v>
      </c>
    </row>
    <row r="739" spans="4:18" x14ac:dyDescent="0.25">
      <c r="D739" s="34"/>
      <c r="F739" s="30"/>
      <c r="K739" s="30"/>
      <c r="Q739">
        <f t="shared" si="13"/>
        <v>46111</v>
      </c>
      <c r="R739">
        <f>_xlfn.XLOOKUP(E739,'Data Additive'!E:E,'Data Additive'!E:E,0)</f>
        <v>0</v>
      </c>
    </row>
    <row r="740" spans="4:18" x14ac:dyDescent="0.25">
      <c r="D740" s="34"/>
      <c r="F740" s="30"/>
      <c r="K740" s="30"/>
      <c r="Q740">
        <f t="shared" si="13"/>
        <v>46111</v>
      </c>
      <c r="R740">
        <f>_xlfn.XLOOKUP(E740,'Data Additive'!E:E,'Data Additive'!E:E,0)</f>
        <v>0</v>
      </c>
    </row>
    <row r="741" spans="4:18" x14ac:dyDescent="0.25">
      <c r="D741" s="34"/>
      <c r="F741" s="30"/>
      <c r="K741" s="30"/>
      <c r="Q741">
        <f t="shared" ref="Q741:Q789" si="14">$R$1-F741</f>
        <v>46111</v>
      </c>
      <c r="R741">
        <f>_xlfn.XLOOKUP(E741,'Data Additive'!E:E,'Data Additive'!E:E,0)</f>
        <v>0</v>
      </c>
    </row>
    <row r="742" spans="4:18" x14ac:dyDescent="0.25">
      <c r="D742" s="34"/>
      <c r="F742" s="30"/>
      <c r="K742" s="30"/>
      <c r="Q742">
        <f t="shared" si="14"/>
        <v>46111</v>
      </c>
      <c r="R742">
        <f>_xlfn.XLOOKUP(E742,'Data Additive'!E:E,'Data Additive'!E:E,0)</f>
        <v>0</v>
      </c>
    </row>
    <row r="743" spans="4:18" x14ac:dyDescent="0.25">
      <c r="D743" s="34"/>
      <c r="F743" s="30"/>
      <c r="K743" s="30"/>
      <c r="Q743">
        <f t="shared" si="14"/>
        <v>46111</v>
      </c>
      <c r="R743">
        <f>_xlfn.XLOOKUP(E743,'Data Additive'!E:E,'Data Additive'!E:E,0)</f>
        <v>0</v>
      </c>
    </row>
    <row r="744" spans="4:18" x14ac:dyDescent="0.25">
      <c r="D744" s="34"/>
      <c r="F744" s="30"/>
      <c r="K744" s="30"/>
      <c r="Q744">
        <f t="shared" si="14"/>
        <v>46111</v>
      </c>
      <c r="R744">
        <f>_xlfn.XLOOKUP(E744,'Data Additive'!E:E,'Data Additive'!E:E,0)</f>
        <v>0</v>
      </c>
    </row>
    <row r="745" spans="4:18" x14ac:dyDescent="0.25">
      <c r="D745" s="34"/>
      <c r="F745" s="30"/>
      <c r="K745" s="30"/>
      <c r="Q745">
        <f t="shared" si="14"/>
        <v>46111</v>
      </c>
      <c r="R745">
        <f>_xlfn.XLOOKUP(E745,'Data Additive'!E:E,'Data Additive'!E:E,0)</f>
        <v>0</v>
      </c>
    </row>
    <row r="746" spans="4:18" x14ac:dyDescent="0.25">
      <c r="D746" s="34"/>
      <c r="F746" s="30"/>
      <c r="K746" s="30"/>
      <c r="Q746">
        <f t="shared" si="14"/>
        <v>46111</v>
      </c>
      <c r="R746">
        <f>_xlfn.XLOOKUP(E746,'Data Additive'!E:E,'Data Additive'!E:E,0)</f>
        <v>0</v>
      </c>
    </row>
    <row r="747" spans="4:18" x14ac:dyDescent="0.25">
      <c r="D747" s="34"/>
      <c r="F747" s="30"/>
      <c r="K747" s="30"/>
      <c r="Q747">
        <f t="shared" si="14"/>
        <v>46111</v>
      </c>
      <c r="R747">
        <f>_xlfn.XLOOKUP(E747,'Data Additive'!E:E,'Data Additive'!E:E,0)</f>
        <v>0</v>
      </c>
    </row>
    <row r="748" spans="4:18" x14ac:dyDescent="0.25">
      <c r="D748" s="34"/>
      <c r="F748" s="30"/>
      <c r="K748" s="30"/>
      <c r="Q748">
        <f t="shared" si="14"/>
        <v>46111</v>
      </c>
      <c r="R748">
        <f>_xlfn.XLOOKUP(E748,'Data Additive'!E:E,'Data Additive'!E:E,0)</f>
        <v>0</v>
      </c>
    </row>
    <row r="749" spans="4:18" x14ac:dyDescent="0.25">
      <c r="D749" s="34"/>
      <c r="F749" s="30"/>
      <c r="K749" s="30"/>
      <c r="Q749">
        <f t="shared" si="14"/>
        <v>46111</v>
      </c>
      <c r="R749">
        <f>_xlfn.XLOOKUP(E749,'Data Additive'!E:E,'Data Additive'!E:E,0)</f>
        <v>0</v>
      </c>
    </row>
    <row r="750" spans="4:18" x14ac:dyDescent="0.25">
      <c r="D750" s="34"/>
      <c r="F750" s="30"/>
      <c r="K750" s="30"/>
      <c r="Q750">
        <f t="shared" si="14"/>
        <v>46111</v>
      </c>
      <c r="R750">
        <f>_xlfn.XLOOKUP(E750,'Data Additive'!E:E,'Data Additive'!E:E,0)</f>
        <v>0</v>
      </c>
    </row>
    <row r="751" spans="4:18" x14ac:dyDescent="0.25">
      <c r="D751" s="34"/>
      <c r="F751" s="30"/>
      <c r="K751" s="30"/>
      <c r="Q751">
        <f t="shared" si="14"/>
        <v>46111</v>
      </c>
      <c r="R751">
        <f>_xlfn.XLOOKUP(E751,'Data Additive'!E:E,'Data Additive'!E:E,0)</f>
        <v>0</v>
      </c>
    </row>
    <row r="752" spans="4:18" x14ac:dyDescent="0.25">
      <c r="D752" s="34"/>
      <c r="F752" s="30"/>
      <c r="K752" s="30"/>
      <c r="Q752">
        <f t="shared" si="14"/>
        <v>46111</v>
      </c>
      <c r="R752">
        <f>_xlfn.XLOOKUP(E752,'Data Additive'!E:E,'Data Additive'!E:E,0)</f>
        <v>0</v>
      </c>
    </row>
    <row r="753" spans="4:18" x14ac:dyDescent="0.25">
      <c r="D753" s="34"/>
      <c r="F753" s="30"/>
      <c r="K753" s="30"/>
      <c r="Q753">
        <f t="shared" si="14"/>
        <v>46111</v>
      </c>
      <c r="R753">
        <f>_xlfn.XLOOKUP(E753,'Data Additive'!E:E,'Data Additive'!E:E,0)</f>
        <v>0</v>
      </c>
    </row>
    <row r="754" spans="4:18" x14ac:dyDescent="0.25">
      <c r="D754" s="34"/>
      <c r="F754" s="30"/>
      <c r="K754" s="30"/>
      <c r="Q754">
        <f t="shared" si="14"/>
        <v>46111</v>
      </c>
      <c r="R754">
        <f>_xlfn.XLOOKUP(E754,'Data Additive'!E:E,'Data Additive'!E:E,0)</f>
        <v>0</v>
      </c>
    </row>
    <row r="755" spans="4:18" x14ac:dyDescent="0.25">
      <c r="D755" s="34"/>
      <c r="F755" s="30"/>
      <c r="K755" s="30"/>
      <c r="Q755">
        <f t="shared" si="14"/>
        <v>46111</v>
      </c>
      <c r="R755">
        <f>_xlfn.XLOOKUP(E755,'Data Additive'!E:E,'Data Additive'!E:E,0)</f>
        <v>0</v>
      </c>
    </row>
    <row r="756" spans="4:18" x14ac:dyDescent="0.25">
      <c r="D756" s="34"/>
      <c r="F756" s="30"/>
      <c r="K756" s="30"/>
      <c r="Q756">
        <f t="shared" si="14"/>
        <v>46111</v>
      </c>
      <c r="R756">
        <f>_xlfn.XLOOKUP(E756,'Data Additive'!E:E,'Data Additive'!E:E,0)</f>
        <v>0</v>
      </c>
    </row>
    <row r="757" spans="4:18" x14ac:dyDescent="0.25">
      <c r="D757" s="34"/>
      <c r="F757" s="30"/>
      <c r="K757" s="30"/>
      <c r="Q757">
        <f t="shared" si="14"/>
        <v>46111</v>
      </c>
      <c r="R757">
        <f>_xlfn.XLOOKUP(E757,'Data Additive'!E:E,'Data Additive'!E:E,0)</f>
        <v>0</v>
      </c>
    </row>
    <row r="758" spans="4:18" x14ac:dyDescent="0.25">
      <c r="D758" s="34"/>
      <c r="F758" s="30"/>
      <c r="K758" s="30"/>
      <c r="Q758">
        <f t="shared" si="14"/>
        <v>46111</v>
      </c>
      <c r="R758">
        <f>_xlfn.XLOOKUP(E758,'Data Additive'!E:E,'Data Additive'!E:E,0)</f>
        <v>0</v>
      </c>
    </row>
    <row r="759" spans="4:18" x14ac:dyDescent="0.25">
      <c r="D759" s="34"/>
      <c r="F759" s="30"/>
      <c r="K759" s="30"/>
      <c r="Q759">
        <f t="shared" si="14"/>
        <v>46111</v>
      </c>
      <c r="R759">
        <f>_xlfn.XLOOKUP(E759,'Data Additive'!E:E,'Data Additive'!E:E,0)</f>
        <v>0</v>
      </c>
    </row>
    <row r="760" spans="4:18" x14ac:dyDescent="0.25">
      <c r="D760" s="34"/>
      <c r="F760" s="30"/>
      <c r="K760" s="30"/>
      <c r="Q760">
        <f t="shared" si="14"/>
        <v>46111</v>
      </c>
      <c r="R760">
        <f>_xlfn.XLOOKUP(E760,'Data Additive'!E:E,'Data Additive'!E:E,0)</f>
        <v>0</v>
      </c>
    </row>
    <row r="761" spans="4:18" x14ac:dyDescent="0.25">
      <c r="D761" s="34"/>
      <c r="F761" s="30"/>
      <c r="K761" s="30"/>
      <c r="Q761">
        <f t="shared" si="14"/>
        <v>46111</v>
      </c>
      <c r="R761">
        <f>_xlfn.XLOOKUP(E761,'Data Additive'!E:E,'Data Additive'!E:E,0)</f>
        <v>0</v>
      </c>
    </row>
    <row r="762" spans="4:18" x14ac:dyDescent="0.25">
      <c r="D762" s="34"/>
      <c r="F762" s="30"/>
      <c r="K762" s="30"/>
      <c r="Q762">
        <f t="shared" si="14"/>
        <v>46111</v>
      </c>
      <c r="R762">
        <f>_xlfn.XLOOKUP(E762,'Data Additive'!E:E,'Data Additive'!E:E,0)</f>
        <v>0</v>
      </c>
    </row>
    <row r="763" spans="4:18" x14ac:dyDescent="0.25">
      <c r="D763" s="34"/>
      <c r="F763" s="30"/>
      <c r="K763" s="30"/>
      <c r="Q763">
        <f t="shared" si="14"/>
        <v>46111</v>
      </c>
      <c r="R763">
        <f>_xlfn.XLOOKUP(E763,'Data Additive'!E:E,'Data Additive'!E:E,0)</f>
        <v>0</v>
      </c>
    </row>
    <row r="764" spans="4:18" x14ac:dyDescent="0.25">
      <c r="D764" s="34"/>
      <c r="F764" s="30"/>
      <c r="K764" s="30"/>
      <c r="Q764">
        <f t="shared" si="14"/>
        <v>46111</v>
      </c>
      <c r="R764">
        <f>_xlfn.XLOOKUP(E764,'Data Additive'!E:E,'Data Additive'!E:E,0)</f>
        <v>0</v>
      </c>
    </row>
    <row r="765" spans="4:18" x14ac:dyDescent="0.25">
      <c r="D765" s="34"/>
      <c r="F765" s="30"/>
      <c r="K765" s="30"/>
      <c r="Q765">
        <f t="shared" si="14"/>
        <v>46111</v>
      </c>
      <c r="R765">
        <f>_xlfn.XLOOKUP(E765,'Data Additive'!E:E,'Data Additive'!E:E,0)</f>
        <v>0</v>
      </c>
    </row>
    <row r="766" spans="4:18" x14ac:dyDescent="0.25">
      <c r="D766" s="34"/>
      <c r="F766" s="30"/>
      <c r="K766" s="30"/>
      <c r="Q766">
        <f t="shared" si="14"/>
        <v>46111</v>
      </c>
      <c r="R766">
        <f>_xlfn.XLOOKUP(E766,'Data Additive'!E:E,'Data Additive'!E:E,0)</f>
        <v>0</v>
      </c>
    </row>
    <row r="767" spans="4:18" x14ac:dyDescent="0.25">
      <c r="D767" s="34"/>
      <c r="F767" s="30"/>
      <c r="K767" s="30"/>
      <c r="Q767">
        <f t="shared" si="14"/>
        <v>46111</v>
      </c>
      <c r="R767">
        <f>_xlfn.XLOOKUP(E767,'Data Additive'!E:E,'Data Additive'!E:E,0)</f>
        <v>0</v>
      </c>
    </row>
    <row r="768" spans="4:18" x14ac:dyDescent="0.25">
      <c r="D768" s="34"/>
      <c r="F768" s="30"/>
      <c r="K768" s="30"/>
      <c r="Q768">
        <f t="shared" si="14"/>
        <v>46111</v>
      </c>
      <c r="R768">
        <f>_xlfn.XLOOKUP(E768,'Data Additive'!E:E,'Data Additive'!E:E,0)</f>
        <v>0</v>
      </c>
    </row>
    <row r="769" spans="4:18" x14ac:dyDescent="0.25">
      <c r="D769" s="34"/>
      <c r="F769" s="30"/>
      <c r="K769" s="30"/>
      <c r="Q769">
        <f t="shared" si="14"/>
        <v>46111</v>
      </c>
      <c r="R769">
        <f>_xlfn.XLOOKUP(E769,'Data Additive'!E:E,'Data Additive'!E:E,0)</f>
        <v>0</v>
      </c>
    </row>
    <row r="770" spans="4:18" x14ac:dyDescent="0.25">
      <c r="D770" s="34"/>
      <c r="F770" s="30"/>
      <c r="K770" s="30"/>
      <c r="Q770">
        <f t="shared" si="14"/>
        <v>46111</v>
      </c>
      <c r="R770">
        <f>_xlfn.XLOOKUP(E770,'Data Additive'!E:E,'Data Additive'!E:E,0)</f>
        <v>0</v>
      </c>
    </row>
    <row r="771" spans="4:18" x14ac:dyDescent="0.25">
      <c r="D771" s="34"/>
      <c r="F771" s="30"/>
      <c r="K771" s="30"/>
      <c r="Q771">
        <f t="shared" si="14"/>
        <v>46111</v>
      </c>
      <c r="R771">
        <f>_xlfn.XLOOKUP(E771,'Data Additive'!E:E,'Data Additive'!E:E,0)</f>
        <v>0</v>
      </c>
    </row>
    <row r="772" spans="4:18" x14ac:dyDescent="0.25">
      <c r="D772" s="34"/>
      <c r="F772" s="30"/>
      <c r="K772" s="30"/>
      <c r="Q772">
        <f t="shared" si="14"/>
        <v>46111</v>
      </c>
      <c r="R772">
        <f>_xlfn.XLOOKUP(E772,'Data Additive'!E:E,'Data Additive'!E:E,0)</f>
        <v>0</v>
      </c>
    </row>
    <row r="773" spans="4:18" x14ac:dyDescent="0.25">
      <c r="D773" s="34"/>
      <c r="F773" s="30"/>
      <c r="K773" s="30"/>
      <c r="Q773">
        <f t="shared" si="14"/>
        <v>46111</v>
      </c>
      <c r="R773">
        <f>_xlfn.XLOOKUP(E773,'Data Additive'!E:E,'Data Additive'!E:E,0)</f>
        <v>0</v>
      </c>
    </row>
    <row r="774" spans="4:18" x14ac:dyDescent="0.25">
      <c r="D774" s="34"/>
      <c r="F774" s="30"/>
      <c r="K774" s="30"/>
      <c r="Q774">
        <f t="shared" si="14"/>
        <v>46111</v>
      </c>
      <c r="R774">
        <f>_xlfn.XLOOKUP(E774,'Data Additive'!E:E,'Data Additive'!E:E,0)</f>
        <v>0</v>
      </c>
    </row>
    <row r="775" spans="4:18" x14ac:dyDescent="0.25">
      <c r="D775" s="34"/>
      <c r="F775" s="30"/>
      <c r="K775" s="30"/>
      <c r="Q775">
        <f t="shared" si="14"/>
        <v>46111</v>
      </c>
      <c r="R775">
        <f>_xlfn.XLOOKUP(E775,'Data Additive'!E:E,'Data Additive'!E:E,0)</f>
        <v>0</v>
      </c>
    </row>
    <row r="776" spans="4:18" x14ac:dyDescent="0.25">
      <c r="D776" s="34"/>
      <c r="F776" s="30"/>
      <c r="K776" s="30"/>
      <c r="Q776">
        <f t="shared" si="14"/>
        <v>46111</v>
      </c>
      <c r="R776">
        <f>_xlfn.XLOOKUP(E776,'Data Additive'!E:E,'Data Additive'!E:E,0)</f>
        <v>0</v>
      </c>
    </row>
    <row r="777" spans="4:18" x14ac:dyDescent="0.25">
      <c r="D777" s="34"/>
      <c r="F777" s="30"/>
      <c r="K777" s="30"/>
      <c r="Q777">
        <f t="shared" si="14"/>
        <v>46111</v>
      </c>
      <c r="R777">
        <f>_xlfn.XLOOKUP(E777,'Data Additive'!E:E,'Data Additive'!E:E,0)</f>
        <v>0</v>
      </c>
    </row>
    <row r="778" spans="4:18" x14ac:dyDescent="0.25">
      <c r="D778" s="34"/>
      <c r="F778" s="30"/>
      <c r="K778" s="30"/>
      <c r="Q778">
        <f t="shared" si="14"/>
        <v>46111</v>
      </c>
      <c r="R778">
        <f>_xlfn.XLOOKUP(E778,'Data Additive'!E:E,'Data Additive'!E:E,0)</f>
        <v>0</v>
      </c>
    </row>
    <row r="779" spans="4:18" x14ac:dyDescent="0.25">
      <c r="D779" s="34"/>
      <c r="F779" s="30"/>
      <c r="K779" s="30"/>
      <c r="Q779">
        <f t="shared" si="14"/>
        <v>46111</v>
      </c>
      <c r="R779">
        <f>_xlfn.XLOOKUP(E779,'Data Additive'!E:E,'Data Additive'!E:E,0)</f>
        <v>0</v>
      </c>
    </row>
    <row r="780" spans="4:18" x14ac:dyDescent="0.25">
      <c r="D780" s="34"/>
      <c r="F780" s="30"/>
      <c r="K780" s="30"/>
      <c r="Q780">
        <f t="shared" si="14"/>
        <v>46111</v>
      </c>
      <c r="R780">
        <f>_xlfn.XLOOKUP(E780,'Data Additive'!E:E,'Data Additive'!E:E,0)</f>
        <v>0</v>
      </c>
    </row>
    <row r="781" spans="4:18" x14ac:dyDescent="0.25">
      <c r="D781" s="34"/>
      <c r="F781" s="30"/>
      <c r="K781" s="30"/>
      <c r="Q781">
        <f t="shared" si="14"/>
        <v>46111</v>
      </c>
      <c r="R781">
        <f>_xlfn.XLOOKUP(E781,'Data Additive'!E:E,'Data Additive'!E:E,0)</f>
        <v>0</v>
      </c>
    </row>
    <row r="782" spans="4:18" x14ac:dyDescent="0.25">
      <c r="D782" s="34"/>
      <c r="F782" s="30"/>
      <c r="K782" s="30"/>
      <c r="Q782">
        <f t="shared" si="14"/>
        <v>46111</v>
      </c>
      <c r="R782">
        <f>_xlfn.XLOOKUP(E782,'Data Additive'!E:E,'Data Additive'!E:E,0)</f>
        <v>0</v>
      </c>
    </row>
    <row r="783" spans="4:18" x14ac:dyDescent="0.25">
      <c r="D783" s="34"/>
      <c r="F783" s="30"/>
      <c r="K783" s="30"/>
      <c r="Q783">
        <f t="shared" si="14"/>
        <v>46111</v>
      </c>
      <c r="R783">
        <f>_xlfn.XLOOKUP(E783,'Data Additive'!E:E,'Data Additive'!E:E,0)</f>
        <v>0</v>
      </c>
    </row>
    <row r="784" spans="4:18" x14ac:dyDescent="0.25">
      <c r="D784" s="34"/>
      <c r="F784" s="30"/>
      <c r="K784" s="30"/>
      <c r="Q784">
        <f t="shared" si="14"/>
        <v>46111</v>
      </c>
      <c r="R784">
        <f>_xlfn.XLOOKUP(E784,'Data Additive'!E:E,'Data Additive'!E:E,0)</f>
        <v>0</v>
      </c>
    </row>
    <row r="785" spans="4:18" x14ac:dyDescent="0.25">
      <c r="D785" s="34"/>
      <c r="F785" s="30"/>
      <c r="K785" s="30"/>
      <c r="Q785">
        <f t="shared" si="14"/>
        <v>46111</v>
      </c>
      <c r="R785">
        <f>_xlfn.XLOOKUP(E785,'Data Additive'!E:E,'Data Additive'!E:E,0)</f>
        <v>0</v>
      </c>
    </row>
    <row r="786" spans="4:18" x14ac:dyDescent="0.25">
      <c r="D786" s="34"/>
      <c r="F786" s="30"/>
      <c r="K786" s="30"/>
      <c r="Q786">
        <f t="shared" si="14"/>
        <v>46111</v>
      </c>
      <c r="R786">
        <f>_xlfn.XLOOKUP(E786,'Data Additive'!E:E,'Data Additive'!E:E,0)</f>
        <v>0</v>
      </c>
    </row>
    <row r="787" spans="4:18" x14ac:dyDescent="0.25">
      <c r="D787" s="34"/>
      <c r="F787" s="30"/>
      <c r="K787" s="30"/>
      <c r="Q787">
        <f t="shared" si="14"/>
        <v>46111</v>
      </c>
      <c r="R787">
        <f>_xlfn.XLOOKUP(E787,'Data Additive'!E:E,'Data Additive'!E:E,0)</f>
        <v>0</v>
      </c>
    </row>
    <row r="788" spans="4:18" x14ac:dyDescent="0.25">
      <c r="D788" s="34"/>
      <c r="F788" s="30"/>
      <c r="K788" s="30"/>
      <c r="Q788">
        <f t="shared" si="14"/>
        <v>46111</v>
      </c>
      <c r="R788">
        <f>_xlfn.XLOOKUP(E788,'Data Additive'!E:E,'Data Additive'!E:E,0)</f>
        <v>0</v>
      </c>
    </row>
    <row r="789" spans="4:18" x14ac:dyDescent="0.25">
      <c r="D789" s="34"/>
      <c r="F789" s="30"/>
      <c r="K789" s="30"/>
      <c r="Q789">
        <f t="shared" si="14"/>
        <v>46111</v>
      </c>
      <c r="R789">
        <f>_xlfn.XLOOKUP(E789,'Data Additive'!E:E,'Data Additive'!E:E,0)</f>
        <v>0</v>
      </c>
    </row>
    <row r="790" spans="4:18" x14ac:dyDescent="0.25">
      <c r="D790" s="34"/>
      <c r="F790" s="30"/>
      <c r="K790" s="30"/>
      <c r="Q790">
        <f t="shared" ref="Q790:Q791" si="15">$R$1-F790</f>
        <v>46111</v>
      </c>
      <c r="R790">
        <f>_xlfn.XLOOKUP(E790,'Data Additive'!E:E,'Data Additive'!E:E,0)</f>
        <v>0</v>
      </c>
    </row>
    <row r="791" spans="4:18" x14ac:dyDescent="0.25">
      <c r="D791" s="34"/>
      <c r="F791" s="30"/>
      <c r="K791" s="30"/>
      <c r="Q791">
        <f t="shared" si="15"/>
        <v>46111</v>
      </c>
      <c r="R791">
        <f>_xlfn.XLOOKUP(E791,'Data Additive'!E:E,'Data Additive'!E:E,0)</f>
        <v>0</v>
      </c>
    </row>
    <row r="792" spans="4:18" x14ac:dyDescent="0.25">
      <c r="D792" s="34"/>
      <c r="F792" s="30"/>
      <c r="K792" s="30"/>
      <c r="Q792">
        <f t="shared" ref="Q792:Q809" si="16">$R$1-F792</f>
        <v>46111</v>
      </c>
      <c r="R792">
        <f>_xlfn.XLOOKUP(E792,'Data Additive'!E:E,'Data Additive'!E:E,0)</f>
        <v>0</v>
      </c>
    </row>
    <row r="793" spans="4:18" x14ac:dyDescent="0.25">
      <c r="D793" s="34"/>
      <c r="F793" s="30"/>
      <c r="K793" s="30"/>
      <c r="Q793">
        <f t="shared" si="16"/>
        <v>46111</v>
      </c>
      <c r="R793">
        <f>_xlfn.XLOOKUP(E793,'Data Additive'!E:E,'Data Additive'!E:E,0)</f>
        <v>0</v>
      </c>
    </row>
    <row r="794" spans="4:18" x14ac:dyDescent="0.25">
      <c r="D794" s="34"/>
      <c r="F794" s="30"/>
      <c r="K794" s="30"/>
      <c r="Q794">
        <f t="shared" si="16"/>
        <v>46111</v>
      </c>
      <c r="R794">
        <f>_xlfn.XLOOKUP(E794,'Data Additive'!E:E,'Data Additive'!E:E,0)</f>
        <v>0</v>
      </c>
    </row>
    <row r="795" spans="4:18" x14ac:dyDescent="0.25">
      <c r="D795" s="34"/>
      <c r="F795" s="30"/>
      <c r="K795" s="30"/>
      <c r="Q795">
        <f t="shared" si="16"/>
        <v>46111</v>
      </c>
      <c r="R795">
        <f>_xlfn.XLOOKUP(E795,'Data Additive'!E:E,'Data Additive'!E:E,0)</f>
        <v>0</v>
      </c>
    </row>
    <row r="796" spans="4:18" x14ac:dyDescent="0.25">
      <c r="D796" s="34"/>
      <c r="F796" s="30"/>
      <c r="K796" s="30"/>
      <c r="Q796">
        <f t="shared" si="16"/>
        <v>46111</v>
      </c>
      <c r="R796">
        <f>_xlfn.XLOOKUP(E796,'Data Additive'!E:E,'Data Additive'!E:E,0)</f>
        <v>0</v>
      </c>
    </row>
    <row r="797" spans="4:18" x14ac:dyDescent="0.25">
      <c r="D797" s="34"/>
      <c r="F797" s="30"/>
      <c r="K797" s="30"/>
      <c r="Q797">
        <f t="shared" si="16"/>
        <v>46111</v>
      </c>
      <c r="R797">
        <f>_xlfn.XLOOKUP(E797,'Data Additive'!E:E,'Data Additive'!E:E,0)</f>
        <v>0</v>
      </c>
    </row>
    <row r="798" spans="4:18" x14ac:dyDescent="0.25">
      <c r="D798" s="34"/>
      <c r="F798" s="30"/>
      <c r="K798" s="30"/>
      <c r="Q798">
        <f t="shared" si="16"/>
        <v>46111</v>
      </c>
      <c r="R798">
        <f>_xlfn.XLOOKUP(E798,'Data Additive'!E:E,'Data Additive'!E:E,0)</f>
        <v>0</v>
      </c>
    </row>
    <row r="799" spans="4:18" x14ac:dyDescent="0.25">
      <c r="D799" s="34"/>
      <c r="F799" s="30"/>
      <c r="K799" s="30"/>
      <c r="Q799">
        <f t="shared" si="16"/>
        <v>46111</v>
      </c>
      <c r="R799">
        <f>_xlfn.XLOOKUP(E799,'Data Additive'!E:E,'Data Additive'!E:E,0)</f>
        <v>0</v>
      </c>
    </row>
    <row r="800" spans="4:18" x14ac:dyDescent="0.25">
      <c r="D800" s="34"/>
      <c r="F800" s="30"/>
      <c r="K800" s="30"/>
      <c r="Q800">
        <f t="shared" si="16"/>
        <v>46111</v>
      </c>
      <c r="R800">
        <f>_xlfn.XLOOKUP(E800,'Data Additive'!E:E,'Data Additive'!E:E,0)</f>
        <v>0</v>
      </c>
    </row>
    <row r="801" spans="4:18" x14ac:dyDescent="0.25">
      <c r="D801" s="34"/>
      <c r="F801" s="30"/>
      <c r="K801" s="30"/>
      <c r="Q801">
        <f t="shared" si="16"/>
        <v>46111</v>
      </c>
      <c r="R801">
        <f>_xlfn.XLOOKUP(E801,'Data Additive'!E:E,'Data Additive'!E:E,0)</f>
        <v>0</v>
      </c>
    </row>
    <row r="802" spans="4:18" x14ac:dyDescent="0.25">
      <c r="D802" s="34"/>
      <c r="F802" s="30"/>
      <c r="K802" s="30"/>
      <c r="Q802">
        <f t="shared" si="16"/>
        <v>46111</v>
      </c>
      <c r="R802">
        <f>_xlfn.XLOOKUP(E802,'Data Additive'!E:E,'Data Additive'!E:E,0)</f>
        <v>0</v>
      </c>
    </row>
    <row r="803" spans="4:18" x14ac:dyDescent="0.25">
      <c r="D803" s="34"/>
      <c r="F803" s="30"/>
      <c r="K803" s="30"/>
      <c r="Q803">
        <f t="shared" si="16"/>
        <v>46111</v>
      </c>
      <c r="R803">
        <f>_xlfn.XLOOKUP(E803,'Data Additive'!E:E,'Data Additive'!E:E,0)</f>
        <v>0</v>
      </c>
    </row>
    <row r="804" spans="4:18" x14ac:dyDescent="0.25">
      <c r="D804" s="34"/>
      <c r="F804" s="30"/>
      <c r="K804" s="30"/>
      <c r="Q804">
        <f t="shared" si="16"/>
        <v>46111</v>
      </c>
      <c r="R804">
        <f>_xlfn.XLOOKUP(E804,'Data Additive'!E:E,'Data Additive'!E:E,0)</f>
        <v>0</v>
      </c>
    </row>
    <row r="805" spans="4:18" x14ac:dyDescent="0.25">
      <c r="D805" s="34"/>
      <c r="F805" s="30"/>
      <c r="K805" s="30"/>
      <c r="Q805">
        <f t="shared" si="16"/>
        <v>46111</v>
      </c>
      <c r="R805">
        <f>_xlfn.XLOOKUP(E805,'Data Additive'!E:E,'Data Additive'!E:E,0)</f>
        <v>0</v>
      </c>
    </row>
    <row r="806" spans="4:18" x14ac:dyDescent="0.25">
      <c r="D806" s="34"/>
      <c r="F806" s="30"/>
      <c r="K806" s="30"/>
      <c r="Q806">
        <f t="shared" si="16"/>
        <v>46111</v>
      </c>
      <c r="R806">
        <f>_xlfn.XLOOKUP(E806,'Data Additive'!E:E,'Data Additive'!E:E,0)</f>
        <v>0</v>
      </c>
    </row>
    <row r="807" spans="4:18" x14ac:dyDescent="0.25">
      <c r="D807" s="34"/>
      <c r="F807" s="30"/>
      <c r="K807" s="30"/>
      <c r="Q807">
        <f t="shared" si="16"/>
        <v>46111</v>
      </c>
      <c r="R807">
        <f>_xlfn.XLOOKUP(E807,'Data Additive'!E:E,'Data Additive'!E:E,0)</f>
        <v>0</v>
      </c>
    </row>
    <row r="808" spans="4:18" x14ac:dyDescent="0.25">
      <c r="D808" s="34"/>
      <c r="F808" s="30"/>
      <c r="K808" s="30"/>
      <c r="Q808">
        <f t="shared" si="16"/>
        <v>46111</v>
      </c>
      <c r="R808">
        <f>_xlfn.XLOOKUP(E808,'Data Additive'!E:E,'Data Additive'!E:E,0)</f>
        <v>0</v>
      </c>
    </row>
    <row r="809" spans="4:18" x14ac:dyDescent="0.25">
      <c r="D809" s="34"/>
      <c r="F809" s="30"/>
      <c r="K809" s="30"/>
      <c r="Q809">
        <f t="shared" si="16"/>
        <v>46111</v>
      </c>
      <c r="R809">
        <f>_xlfn.XLOOKUP(E809,'Data Additive'!E:E,'Data Additive'!E:E,0)</f>
        <v>0</v>
      </c>
    </row>
    <row r="810" spans="4:18" x14ac:dyDescent="0.25">
      <c r="D810" s="34"/>
      <c r="F810" s="30"/>
      <c r="K810" s="30"/>
    </row>
    <row r="811" spans="4:18" x14ac:dyDescent="0.25">
      <c r="D811" s="34"/>
      <c r="F811" s="30"/>
      <c r="K811" s="30"/>
    </row>
    <row r="812" spans="4:18" x14ac:dyDescent="0.25">
      <c r="D812" s="34"/>
      <c r="F812" s="30"/>
      <c r="K812" s="30"/>
    </row>
    <row r="813" spans="4:18" x14ac:dyDescent="0.25">
      <c r="D813" s="34"/>
      <c r="F813" s="30"/>
      <c r="K813" s="30"/>
    </row>
    <row r="814" spans="4:18" x14ac:dyDescent="0.25">
      <c r="D814" s="34"/>
      <c r="F814" s="30"/>
      <c r="K814" s="30"/>
    </row>
    <row r="815" spans="4:18" x14ac:dyDescent="0.25">
      <c r="D815" s="34"/>
      <c r="F815" s="30"/>
      <c r="K815" s="30"/>
    </row>
    <row r="816" spans="4:18"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K1225" s="30"/>
    </row>
    <row r="1226" spans="4:11" x14ac:dyDescent="0.25">
      <c r="D1226" s="34"/>
      <c r="F1226" s="30"/>
      <c r="K1226" s="30"/>
    </row>
    <row r="1227" spans="4:11" x14ac:dyDescent="0.25">
      <c r="D1227" s="34"/>
      <c r="F1227" s="30"/>
      <c r="K1227" s="30"/>
    </row>
    <row r="1228" spans="4:11" x14ac:dyDescent="0.25">
      <c r="D1228" s="34"/>
      <c r="F1228" s="30"/>
      <c r="K1228" s="30"/>
    </row>
    <row r="1229" spans="4:11" x14ac:dyDescent="0.25">
      <c r="D1229" s="34"/>
      <c r="F1229" s="30"/>
      <c r="K1229" s="30"/>
    </row>
    <row r="1230" spans="4:11" x14ac:dyDescent="0.25">
      <c r="D1230" s="34"/>
      <c r="F1230" s="30"/>
      <c r="K1230" s="30"/>
    </row>
    <row r="1231" spans="4:11" x14ac:dyDescent="0.25">
      <c r="D1231" s="34"/>
      <c r="F1231" s="30"/>
      <c r="K1231" s="30"/>
    </row>
    <row r="1232" spans="4:11" x14ac:dyDescent="0.25">
      <c r="D1232" s="34"/>
      <c r="F1232" s="30"/>
      <c r="K1232" s="30"/>
    </row>
    <row r="1233" spans="4:11" x14ac:dyDescent="0.25">
      <c r="D1233" s="34"/>
      <c r="F1233" s="30"/>
      <c r="K1233" s="30"/>
    </row>
    <row r="1234" spans="4:11" x14ac:dyDescent="0.25">
      <c r="D1234" s="34"/>
      <c r="F1234" s="30"/>
      <c r="K1234" s="30"/>
    </row>
    <row r="1235" spans="4:11" x14ac:dyDescent="0.25">
      <c r="D1235" s="34"/>
      <c r="F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row r="1531" spans="4:11" x14ac:dyDescent="0.25">
      <c r="D1531" s="34"/>
      <c r="F1531" s="30"/>
      <c r="G1531" s="30"/>
      <c r="K1531" s="30"/>
    </row>
    <row r="1532" spans="4:11" x14ac:dyDescent="0.25">
      <c r="D1532" s="34"/>
      <c r="F1532" s="30"/>
      <c r="G1532" s="30"/>
      <c r="K1532" s="30"/>
    </row>
    <row r="1533" spans="4:11" x14ac:dyDescent="0.25">
      <c r="D1533" s="34"/>
      <c r="F1533" s="30"/>
      <c r="G1533" s="30"/>
      <c r="K1533" s="30"/>
    </row>
    <row r="1534" spans="4:11" x14ac:dyDescent="0.25">
      <c r="D1534" s="34"/>
      <c r="F1534" s="30"/>
      <c r="G1534" s="30"/>
      <c r="K1534" s="30"/>
    </row>
    <row r="1535" spans="4:11" x14ac:dyDescent="0.25">
      <c r="D1535" s="34"/>
      <c r="F1535" s="30"/>
      <c r="G1535" s="30"/>
      <c r="K1535" s="30"/>
    </row>
    <row r="1536" spans="4:11" x14ac:dyDescent="0.25">
      <c r="D1536" s="34"/>
      <c r="F1536" s="30"/>
      <c r="G1536" s="30"/>
      <c r="K1536" s="30"/>
    </row>
    <row r="1537" spans="4:11" x14ac:dyDescent="0.25">
      <c r="D1537" s="34"/>
      <c r="F1537" s="30"/>
      <c r="G1537" s="30"/>
      <c r="K1537" s="30"/>
    </row>
    <row r="1538" spans="4:11" x14ac:dyDescent="0.25">
      <c r="D1538" s="34"/>
      <c r="F1538" s="30"/>
      <c r="G1538" s="30"/>
      <c r="K1538" s="30"/>
    </row>
    <row r="1539" spans="4:11" x14ac:dyDescent="0.25">
      <c r="D1539" s="34"/>
      <c r="F1539" s="30"/>
      <c r="G1539" s="30"/>
      <c r="K1539" s="30"/>
    </row>
    <row r="1540" spans="4:11" x14ac:dyDescent="0.25">
      <c r="D1540" s="34"/>
      <c r="F1540" s="30"/>
      <c r="G1540" s="30"/>
      <c r="K1540" s="30"/>
    </row>
    <row r="1541" spans="4:11" x14ac:dyDescent="0.25">
      <c r="D1541" s="34"/>
      <c r="F1541" s="30"/>
      <c r="G1541" s="30"/>
      <c r="K1541" s="30"/>
    </row>
  </sheetData>
  <autoFilter ref="A2:R789" xr:uid="{75FD4D84-AD5B-4C84-B52D-A79E2A24F32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2"/>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A3" sqref="A3:P264"/>
    </sheetView>
  </sheetViews>
  <sheetFormatPr defaultRowHeight="13.2" x14ac:dyDescent="0.25"/>
  <cols>
    <col min="1" max="1" width="12.6640625" bestFit="1" customWidth="1"/>
    <col min="2" max="2" width="43" bestFit="1" customWidth="1"/>
    <col min="3" max="3" width="18.33203125" bestFit="1" customWidth="1"/>
    <col min="4" max="4" width="13.8867187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SUBTOTAL(9,$D$3:$D$907)</f>
        <v>25407156.539999992</v>
      </c>
      <c r="E1" s="1"/>
      <c r="R1" s="3">
        <v>46111</v>
      </c>
    </row>
    <row r="2" spans="1:19"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9" x14ac:dyDescent="0.25">
      <c r="A3">
        <v>205</v>
      </c>
      <c r="B3" t="s">
        <v>43</v>
      </c>
      <c r="C3" t="s">
        <v>548</v>
      </c>
      <c r="D3" s="34">
        <v>37800</v>
      </c>
      <c r="E3">
        <v>1246267728</v>
      </c>
      <c r="F3" s="30">
        <v>46122</v>
      </c>
      <c r="G3" s="30"/>
      <c r="H3" t="s">
        <v>28</v>
      </c>
      <c r="I3" t="s">
        <v>29</v>
      </c>
      <c r="J3">
        <v>10881</v>
      </c>
      <c r="K3" s="30">
        <v>46094</v>
      </c>
      <c r="L3">
        <v>1010100</v>
      </c>
      <c r="M3" t="s">
        <v>35</v>
      </c>
      <c r="N3">
        <v>161</v>
      </c>
      <c r="O3" t="s">
        <v>161</v>
      </c>
      <c r="P3" t="s">
        <v>576</v>
      </c>
      <c r="Q3">
        <f t="shared" ref="Q3:Q66" si="0">$R$1-F3</f>
        <v>-11</v>
      </c>
      <c r="R3" t="str">
        <f>_xlfn.XLOOKUP(P3,'Painel Additive'!$B:$B,'Painel Additive'!$B:$B,0)</f>
        <v>GRUPO FERTIPAR FERTILIZANTES MATO GROSSO</v>
      </c>
      <c r="S3">
        <f t="shared" ref="S3:S66" si="1">F3-K3</f>
        <v>28</v>
      </c>
    </row>
    <row r="4" spans="1:19" x14ac:dyDescent="0.25">
      <c r="A4">
        <v>205</v>
      </c>
      <c r="B4" t="s">
        <v>43</v>
      </c>
      <c r="C4" t="s">
        <v>548</v>
      </c>
      <c r="D4" s="34">
        <v>37638</v>
      </c>
      <c r="E4">
        <v>1246267750</v>
      </c>
      <c r="F4" s="30">
        <v>46122</v>
      </c>
      <c r="G4" s="30"/>
      <c r="H4" t="s">
        <v>28</v>
      </c>
      <c r="I4" t="s">
        <v>29</v>
      </c>
      <c r="J4">
        <v>10883</v>
      </c>
      <c r="K4" s="30">
        <v>46094</v>
      </c>
      <c r="L4">
        <v>1010100</v>
      </c>
      <c r="M4" t="s">
        <v>35</v>
      </c>
      <c r="N4">
        <v>161</v>
      </c>
      <c r="O4" t="s">
        <v>161</v>
      </c>
      <c r="P4" t="s">
        <v>576</v>
      </c>
      <c r="Q4">
        <f t="shared" si="0"/>
        <v>-11</v>
      </c>
      <c r="R4" t="str">
        <f>_xlfn.XLOOKUP(P4,'Painel Additive'!$B:$B,'Painel Additive'!$B:$B,0)</f>
        <v>GRUPO FERTIPAR FERTILIZANTES MATO GROSSO</v>
      </c>
      <c r="S4">
        <f t="shared" si="1"/>
        <v>28</v>
      </c>
    </row>
    <row r="5" spans="1:19" x14ac:dyDescent="0.25">
      <c r="A5">
        <v>205</v>
      </c>
      <c r="B5" t="s">
        <v>43</v>
      </c>
      <c r="C5" t="s">
        <v>548</v>
      </c>
      <c r="D5" s="34">
        <v>76330.8</v>
      </c>
      <c r="E5">
        <v>1246267832</v>
      </c>
      <c r="F5" s="30">
        <v>46125</v>
      </c>
      <c r="G5" s="30"/>
      <c r="H5" t="s">
        <v>28</v>
      </c>
      <c r="I5" t="s">
        <v>29</v>
      </c>
      <c r="J5">
        <v>10892</v>
      </c>
      <c r="K5" s="30">
        <v>46097</v>
      </c>
      <c r="L5">
        <v>1010100</v>
      </c>
      <c r="M5" t="s">
        <v>35</v>
      </c>
      <c r="N5">
        <v>161</v>
      </c>
      <c r="O5" t="s">
        <v>161</v>
      </c>
      <c r="P5" t="s">
        <v>576</v>
      </c>
      <c r="Q5">
        <f t="shared" si="0"/>
        <v>-14</v>
      </c>
      <c r="R5" t="str">
        <f>_xlfn.XLOOKUP(P5,'Painel Additive'!$B:$B,'Painel Additive'!$B:$B,0)</f>
        <v>GRUPO FERTIPAR FERTILIZANTES MATO GROSSO</v>
      </c>
      <c r="S5">
        <f t="shared" si="1"/>
        <v>28</v>
      </c>
    </row>
    <row r="6" spans="1:19" x14ac:dyDescent="0.25">
      <c r="A6">
        <v>205</v>
      </c>
      <c r="B6" t="s">
        <v>43</v>
      </c>
      <c r="C6" t="s">
        <v>548</v>
      </c>
      <c r="D6" s="34">
        <v>75196.800000000003</v>
      </c>
      <c r="E6">
        <v>1246268731</v>
      </c>
      <c r="F6" s="30">
        <v>46133</v>
      </c>
      <c r="G6" s="30"/>
      <c r="H6" t="s">
        <v>28</v>
      </c>
      <c r="I6" t="s">
        <v>29</v>
      </c>
      <c r="J6">
        <v>10962</v>
      </c>
      <c r="K6" s="30">
        <v>46105</v>
      </c>
      <c r="L6">
        <v>1010100</v>
      </c>
      <c r="M6" t="s">
        <v>35</v>
      </c>
      <c r="N6">
        <v>161</v>
      </c>
      <c r="O6" t="s">
        <v>161</v>
      </c>
      <c r="P6" t="s">
        <v>576</v>
      </c>
      <c r="Q6">
        <f t="shared" si="0"/>
        <v>-22</v>
      </c>
      <c r="R6" t="str">
        <f>_xlfn.XLOOKUP(P6,'Painel Additive'!$B:$B,'Painel Additive'!$B:$B,0)</f>
        <v>GRUPO FERTIPAR FERTILIZANTES MATO GROSSO</v>
      </c>
      <c r="S6">
        <f t="shared" si="1"/>
        <v>28</v>
      </c>
    </row>
    <row r="7" spans="1:19" x14ac:dyDescent="0.25">
      <c r="A7">
        <v>205</v>
      </c>
      <c r="B7" t="s">
        <v>43</v>
      </c>
      <c r="C7" t="s">
        <v>548</v>
      </c>
      <c r="D7" s="34">
        <v>75952.800000000003</v>
      </c>
      <c r="E7">
        <v>1246269330</v>
      </c>
      <c r="F7" s="30">
        <v>46135</v>
      </c>
      <c r="G7" s="30"/>
      <c r="H7" t="s">
        <v>28</v>
      </c>
      <c r="I7" t="s">
        <v>29</v>
      </c>
      <c r="J7">
        <v>10983</v>
      </c>
      <c r="K7" s="30">
        <v>46107</v>
      </c>
      <c r="L7">
        <v>1010100</v>
      </c>
      <c r="M7" t="s">
        <v>35</v>
      </c>
      <c r="N7">
        <v>161</v>
      </c>
      <c r="O7" t="s">
        <v>161</v>
      </c>
      <c r="P7" t="s">
        <v>576</v>
      </c>
      <c r="Q7">
        <f t="shared" si="0"/>
        <v>-24</v>
      </c>
      <c r="R7" t="str">
        <f>_xlfn.XLOOKUP(P7,'Painel Additive'!$B:$B,'Painel Additive'!$B:$B,0)</f>
        <v>GRUPO FERTIPAR FERTILIZANTES MATO GROSSO</v>
      </c>
      <c r="S7">
        <f t="shared" si="1"/>
        <v>28</v>
      </c>
    </row>
    <row r="8" spans="1:19" x14ac:dyDescent="0.25">
      <c r="A8">
        <v>205</v>
      </c>
      <c r="B8" t="s">
        <v>43</v>
      </c>
      <c r="C8" t="s">
        <v>548</v>
      </c>
      <c r="D8" s="34">
        <v>80816.399999999994</v>
      </c>
      <c r="E8">
        <v>1246267018</v>
      </c>
      <c r="F8" s="30">
        <v>46118</v>
      </c>
      <c r="G8" s="30"/>
      <c r="H8" t="s">
        <v>28</v>
      </c>
      <c r="I8" t="s">
        <v>29</v>
      </c>
      <c r="J8">
        <v>10845</v>
      </c>
      <c r="K8" s="30">
        <v>46090</v>
      </c>
      <c r="L8">
        <v>1010100</v>
      </c>
      <c r="M8" t="s">
        <v>35</v>
      </c>
      <c r="N8">
        <v>161</v>
      </c>
      <c r="O8" t="s">
        <v>161</v>
      </c>
      <c r="P8" t="s">
        <v>576</v>
      </c>
      <c r="Q8">
        <f t="shared" si="0"/>
        <v>-7</v>
      </c>
      <c r="R8" t="str">
        <f>_xlfn.XLOOKUP(P8,'Painel Additive'!$B:$B,'Painel Additive'!$B:$B,0)</f>
        <v>GRUPO FERTIPAR FERTILIZANTES MATO GROSSO</v>
      </c>
      <c r="S8">
        <f t="shared" si="1"/>
        <v>28</v>
      </c>
    </row>
    <row r="9" spans="1:19" x14ac:dyDescent="0.25">
      <c r="A9">
        <v>205</v>
      </c>
      <c r="B9" t="s">
        <v>43</v>
      </c>
      <c r="C9" t="s">
        <v>548</v>
      </c>
      <c r="D9" s="34">
        <v>75474</v>
      </c>
      <c r="E9">
        <v>1246269597</v>
      </c>
      <c r="F9" s="30">
        <v>46139</v>
      </c>
      <c r="G9" s="30"/>
      <c r="H9" t="s">
        <v>28</v>
      </c>
      <c r="I9" t="s">
        <v>29</v>
      </c>
      <c r="J9">
        <v>11003</v>
      </c>
      <c r="K9" s="30">
        <v>46111</v>
      </c>
      <c r="L9">
        <v>1010100</v>
      </c>
      <c r="M9" t="s">
        <v>35</v>
      </c>
      <c r="N9">
        <v>161</v>
      </c>
      <c r="O9" t="s">
        <v>161</v>
      </c>
      <c r="P9" t="s">
        <v>576</v>
      </c>
      <c r="Q9">
        <f t="shared" si="0"/>
        <v>-28</v>
      </c>
      <c r="R9" t="str">
        <f>_xlfn.XLOOKUP(P9,'Painel Additive'!$B:$B,'Painel Additive'!$B:$B,0)</f>
        <v>GRUPO FERTIPAR FERTILIZANTES MATO GROSSO</v>
      </c>
      <c r="S9">
        <f t="shared" si="1"/>
        <v>28</v>
      </c>
    </row>
    <row r="10" spans="1:19" x14ac:dyDescent="0.25">
      <c r="A10">
        <v>205</v>
      </c>
      <c r="B10" t="s">
        <v>43</v>
      </c>
      <c r="C10" t="s">
        <v>548</v>
      </c>
      <c r="D10" s="34">
        <v>76255.199999999997</v>
      </c>
      <c r="E10">
        <v>1246267196</v>
      </c>
      <c r="F10" s="30">
        <v>46119</v>
      </c>
      <c r="G10" s="30"/>
      <c r="H10" t="s">
        <v>28</v>
      </c>
      <c r="I10" t="s">
        <v>29</v>
      </c>
      <c r="J10">
        <v>10854</v>
      </c>
      <c r="K10" s="30">
        <v>46091</v>
      </c>
      <c r="L10">
        <v>1010100</v>
      </c>
      <c r="M10" t="s">
        <v>35</v>
      </c>
      <c r="N10">
        <v>161</v>
      </c>
      <c r="O10" t="s">
        <v>161</v>
      </c>
      <c r="P10" t="s">
        <v>576</v>
      </c>
      <c r="Q10">
        <f t="shared" si="0"/>
        <v>-8</v>
      </c>
      <c r="R10" t="str">
        <f>_xlfn.XLOOKUP(P10,'Painel Additive'!$B:$B,'Painel Additive'!$B:$B,0)</f>
        <v>GRUPO FERTIPAR FERTILIZANTES MATO GROSSO</v>
      </c>
      <c r="S10">
        <f t="shared" si="1"/>
        <v>28</v>
      </c>
    </row>
    <row r="11" spans="1:19" x14ac:dyDescent="0.25">
      <c r="A11">
        <v>205</v>
      </c>
      <c r="B11" t="s">
        <v>43</v>
      </c>
      <c r="C11" t="s">
        <v>548</v>
      </c>
      <c r="D11" s="34">
        <v>76179.600000000006</v>
      </c>
      <c r="E11">
        <v>1246268622</v>
      </c>
      <c r="F11" s="30">
        <v>46132</v>
      </c>
      <c r="G11" s="30"/>
      <c r="H11" t="s">
        <v>28</v>
      </c>
      <c r="I11" t="s">
        <v>29</v>
      </c>
      <c r="J11">
        <v>10956</v>
      </c>
      <c r="K11" s="30">
        <v>46104</v>
      </c>
      <c r="L11">
        <v>1010100</v>
      </c>
      <c r="M11" t="s">
        <v>35</v>
      </c>
      <c r="N11">
        <v>161</v>
      </c>
      <c r="O11" t="s">
        <v>161</v>
      </c>
      <c r="P11" t="s">
        <v>576</v>
      </c>
      <c r="Q11">
        <f t="shared" si="0"/>
        <v>-21</v>
      </c>
      <c r="R11" t="str">
        <f>_xlfn.XLOOKUP(P11,'Painel Additive'!$B:$B,'Painel Additive'!$B:$B,0)</f>
        <v>GRUPO FERTIPAR FERTILIZANTES MATO GROSSO</v>
      </c>
      <c r="S11">
        <f t="shared" si="1"/>
        <v>28</v>
      </c>
    </row>
    <row r="12" spans="1:19" x14ac:dyDescent="0.25">
      <c r="A12">
        <v>1257</v>
      </c>
      <c r="B12" t="s">
        <v>62</v>
      </c>
      <c r="C12" t="s">
        <v>63</v>
      </c>
      <c r="D12" s="34">
        <v>1980.8</v>
      </c>
      <c r="E12">
        <v>1246032946</v>
      </c>
      <c r="F12" s="30">
        <v>44774</v>
      </c>
      <c r="G12" s="30"/>
      <c r="H12" t="s">
        <v>28</v>
      </c>
      <c r="I12" t="s">
        <v>29</v>
      </c>
      <c r="J12">
        <v>17935</v>
      </c>
      <c r="K12" s="30">
        <v>44714</v>
      </c>
      <c r="L12">
        <v>1010100</v>
      </c>
      <c r="M12" t="s">
        <v>35</v>
      </c>
      <c r="N12">
        <v>56</v>
      </c>
      <c r="O12" t="s">
        <v>162</v>
      </c>
      <c r="P12" t="s">
        <v>500</v>
      </c>
      <c r="Q12">
        <f t="shared" si="0"/>
        <v>1337</v>
      </c>
      <c r="R12" t="str">
        <f>_xlfn.XLOOKUP(P12,'Painel Additive'!$B:$B,'Painel Additive'!$B:$B,0)</f>
        <v>GRUPO MOSAIC FERTILIZANTES DO BRASIL</v>
      </c>
      <c r="S12">
        <f t="shared" si="1"/>
        <v>60</v>
      </c>
    </row>
    <row r="13" spans="1:19" x14ac:dyDescent="0.25">
      <c r="A13">
        <v>1953</v>
      </c>
      <c r="B13" t="s">
        <v>76</v>
      </c>
      <c r="C13" t="s">
        <v>884</v>
      </c>
      <c r="D13" s="34">
        <v>1200</v>
      </c>
      <c r="E13">
        <v>1246268567</v>
      </c>
      <c r="F13" s="30">
        <v>46116</v>
      </c>
      <c r="G13" s="30">
        <v>46113</v>
      </c>
      <c r="H13" t="s">
        <v>28</v>
      </c>
      <c r="I13" t="s">
        <v>29</v>
      </c>
      <c r="J13">
        <v>1246268567</v>
      </c>
      <c r="K13" s="30">
        <v>46101</v>
      </c>
      <c r="L13">
        <v>3042200</v>
      </c>
      <c r="M13" t="s">
        <v>859</v>
      </c>
      <c r="N13">
        <v>46</v>
      </c>
      <c r="O13" t="s">
        <v>163</v>
      </c>
      <c r="P13" t="s">
        <v>414</v>
      </c>
      <c r="Q13">
        <f t="shared" si="0"/>
        <v>-5</v>
      </c>
      <c r="R13" t="str">
        <f>_xlfn.XLOOKUP(P13,'Painel Additive'!$B:$B,'Painel Additive'!$B:$B,0)</f>
        <v>GRUPO AMAGGI</v>
      </c>
      <c r="S13">
        <f t="shared" si="1"/>
        <v>15</v>
      </c>
    </row>
    <row r="14" spans="1:19" x14ac:dyDescent="0.25">
      <c r="A14">
        <v>1953</v>
      </c>
      <c r="B14" t="s">
        <v>76</v>
      </c>
      <c r="C14" t="s">
        <v>884</v>
      </c>
      <c r="D14" s="34">
        <v>58917.8</v>
      </c>
      <c r="E14">
        <v>1246267986</v>
      </c>
      <c r="F14" s="30">
        <v>46158</v>
      </c>
      <c r="G14" s="30"/>
      <c r="H14" t="s">
        <v>28</v>
      </c>
      <c r="I14" t="s">
        <v>29</v>
      </c>
      <c r="J14">
        <v>10907</v>
      </c>
      <c r="K14" s="30">
        <v>46098</v>
      </c>
      <c r="L14">
        <v>1010100</v>
      </c>
      <c r="M14" t="s">
        <v>35</v>
      </c>
      <c r="N14">
        <v>161</v>
      </c>
      <c r="O14" t="s">
        <v>161</v>
      </c>
      <c r="P14" t="s">
        <v>414</v>
      </c>
      <c r="Q14">
        <f t="shared" si="0"/>
        <v>-47</v>
      </c>
      <c r="R14" t="str">
        <f>_xlfn.XLOOKUP(P14,'Painel Additive'!$B:$B,'Painel Additive'!$B:$B,0)</f>
        <v>GRUPO AMAGGI</v>
      </c>
      <c r="S14">
        <f t="shared" si="1"/>
        <v>60</v>
      </c>
    </row>
    <row r="15" spans="1:19" x14ac:dyDescent="0.25">
      <c r="A15">
        <v>1787</v>
      </c>
      <c r="B15" t="s">
        <v>67</v>
      </c>
      <c r="C15" t="s">
        <v>68</v>
      </c>
      <c r="D15" s="34">
        <v>116928</v>
      </c>
      <c r="E15">
        <v>1246267948</v>
      </c>
      <c r="F15" s="30">
        <v>46187</v>
      </c>
      <c r="G15" s="30"/>
      <c r="H15" t="s">
        <v>28</v>
      </c>
      <c r="I15" t="s">
        <v>29</v>
      </c>
      <c r="J15">
        <v>10899</v>
      </c>
      <c r="K15" s="30">
        <v>46097</v>
      </c>
      <c r="L15">
        <v>1010100</v>
      </c>
      <c r="M15" t="s">
        <v>35</v>
      </c>
      <c r="N15">
        <v>161</v>
      </c>
      <c r="O15" t="s">
        <v>161</v>
      </c>
      <c r="P15" t="s">
        <v>531</v>
      </c>
      <c r="Q15">
        <f t="shared" si="0"/>
        <v>-76</v>
      </c>
      <c r="R15" t="str">
        <f>_xlfn.XLOOKUP(P15,'Painel Additive'!$B:$B,'Painel Additive'!$B:$B,0)</f>
        <v>GRUPO MOSAIC FERTILIZANTES P K LTDA</v>
      </c>
      <c r="S15">
        <f t="shared" si="1"/>
        <v>90</v>
      </c>
    </row>
    <row r="16" spans="1:19" x14ac:dyDescent="0.25">
      <c r="A16">
        <v>1787</v>
      </c>
      <c r="B16" t="s">
        <v>67</v>
      </c>
      <c r="C16" t="s">
        <v>68</v>
      </c>
      <c r="D16" s="34">
        <v>115891.2</v>
      </c>
      <c r="E16">
        <v>1246262540</v>
      </c>
      <c r="F16" s="30">
        <v>46149</v>
      </c>
      <c r="G16" s="30"/>
      <c r="H16" t="s">
        <v>28</v>
      </c>
      <c r="I16" t="s">
        <v>29</v>
      </c>
      <c r="J16">
        <v>10652</v>
      </c>
      <c r="K16" s="30">
        <v>46059</v>
      </c>
      <c r="L16">
        <v>1010100</v>
      </c>
      <c r="M16" t="s">
        <v>35</v>
      </c>
      <c r="N16">
        <v>161</v>
      </c>
      <c r="O16" t="s">
        <v>161</v>
      </c>
      <c r="P16" t="s">
        <v>531</v>
      </c>
      <c r="Q16">
        <f t="shared" si="0"/>
        <v>-38</v>
      </c>
      <c r="R16" t="str">
        <f>_xlfn.XLOOKUP(P16,'Painel Additive'!$B:$B,'Painel Additive'!$B:$B,0)</f>
        <v>GRUPO MOSAIC FERTILIZANTES P K LTDA</v>
      </c>
      <c r="S16">
        <f t="shared" si="1"/>
        <v>90</v>
      </c>
    </row>
    <row r="17" spans="1:19" x14ac:dyDescent="0.25">
      <c r="A17">
        <v>1787</v>
      </c>
      <c r="B17" t="s">
        <v>67</v>
      </c>
      <c r="C17" t="s">
        <v>68</v>
      </c>
      <c r="D17" s="34">
        <v>103795.2</v>
      </c>
      <c r="E17">
        <v>1246268633</v>
      </c>
      <c r="F17" s="30">
        <v>46194</v>
      </c>
      <c r="G17" s="30"/>
      <c r="H17" t="s">
        <v>28</v>
      </c>
      <c r="I17" t="s">
        <v>29</v>
      </c>
      <c r="J17">
        <v>10957</v>
      </c>
      <c r="K17" s="30">
        <v>46104</v>
      </c>
      <c r="L17">
        <v>1010100</v>
      </c>
      <c r="M17" t="s">
        <v>35</v>
      </c>
      <c r="N17">
        <v>161</v>
      </c>
      <c r="O17" t="s">
        <v>161</v>
      </c>
      <c r="P17" t="s">
        <v>531</v>
      </c>
      <c r="Q17">
        <f t="shared" si="0"/>
        <v>-83</v>
      </c>
      <c r="R17" t="str">
        <f>_xlfn.XLOOKUP(P17,'Painel Additive'!$B:$B,'Painel Additive'!$B:$B,0)</f>
        <v>GRUPO MOSAIC FERTILIZANTES P K LTDA</v>
      </c>
      <c r="S17">
        <f t="shared" si="1"/>
        <v>90</v>
      </c>
    </row>
    <row r="18" spans="1:19" x14ac:dyDescent="0.25">
      <c r="A18">
        <v>1787</v>
      </c>
      <c r="B18" t="s">
        <v>67</v>
      </c>
      <c r="C18" t="s">
        <v>68</v>
      </c>
      <c r="D18" s="34">
        <v>111360</v>
      </c>
      <c r="E18">
        <v>1246268748</v>
      </c>
      <c r="F18" s="30">
        <v>46195</v>
      </c>
      <c r="G18" s="30"/>
      <c r="H18" t="s">
        <v>28</v>
      </c>
      <c r="I18" t="s">
        <v>29</v>
      </c>
      <c r="J18">
        <v>10965</v>
      </c>
      <c r="K18" s="30">
        <v>46105</v>
      </c>
      <c r="L18">
        <v>1010100</v>
      </c>
      <c r="M18" t="s">
        <v>35</v>
      </c>
      <c r="N18">
        <v>161</v>
      </c>
      <c r="O18" t="s">
        <v>161</v>
      </c>
      <c r="P18" t="s">
        <v>531</v>
      </c>
      <c r="Q18">
        <f t="shared" si="0"/>
        <v>-84</v>
      </c>
      <c r="R18" t="str">
        <f>_xlfn.XLOOKUP(P18,'Painel Additive'!$B:$B,'Painel Additive'!$B:$B,0)</f>
        <v>GRUPO MOSAIC FERTILIZANTES P K LTDA</v>
      </c>
      <c r="S18">
        <f t="shared" si="1"/>
        <v>90</v>
      </c>
    </row>
    <row r="19" spans="1:19" x14ac:dyDescent="0.25">
      <c r="A19">
        <v>1787</v>
      </c>
      <c r="B19" t="s">
        <v>67</v>
      </c>
      <c r="C19" t="s">
        <v>68</v>
      </c>
      <c r="D19" s="34">
        <v>114700.8</v>
      </c>
      <c r="E19">
        <v>1246259163</v>
      </c>
      <c r="F19" s="30">
        <v>46124</v>
      </c>
      <c r="G19" s="30"/>
      <c r="H19" t="s">
        <v>28</v>
      </c>
      <c r="I19" t="s">
        <v>29</v>
      </c>
      <c r="J19">
        <v>10462</v>
      </c>
      <c r="K19" s="30">
        <v>46034</v>
      </c>
      <c r="L19">
        <v>1010100</v>
      </c>
      <c r="M19" t="s">
        <v>35</v>
      </c>
      <c r="N19">
        <v>161</v>
      </c>
      <c r="O19" t="s">
        <v>161</v>
      </c>
      <c r="P19" t="s">
        <v>531</v>
      </c>
      <c r="Q19">
        <f t="shared" si="0"/>
        <v>-13</v>
      </c>
      <c r="R19" t="str">
        <f>_xlfn.XLOOKUP(P19,'Painel Additive'!$B:$B,'Painel Additive'!$B:$B,0)</f>
        <v>GRUPO MOSAIC FERTILIZANTES P K LTDA</v>
      </c>
      <c r="S19">
        <f t="shared" si="1"/>
        <v>90</v>
      </c>
    </row>
    <row r="20" spans="1:19" x14ac:dyDescent="0.25">
      <c r="A20">
        <v>1787</v>
      </c>
      <c r="B20" t="s">
        <v>67</v>
      </c>
      <c r="C20" t="s">
        <v>68</v>
      </c>
      <c r="D20" s="34">
        <v>107212.8</v>
      </c>
      <c r="E20">
        <v>1246259993</v>
      </c>
      <c r="F20" s="30">
        <v>46131</v>
      </c>
      <c r="G20" s="30"/>
      <c r="H20" t="s">
        <v>28</v>
      </c>
      <c r="I20" t="s">
        <v>29</v>
      </c>
      <c r="J20">
        <v>10516</v>
      </c>
      <c r="K20" s="30">
        <v>46041</v>
      </c>
      <c r="L20">
        <v>1010100</v>
      </c>
      <c r="M20" t="s">
        <v>35</v>
      </c>
      <c r="N20">
        <v>161</v>
      </c>
      <c r="O20" t="s">
        <v>161</v>
      </c>
      <c r="P20" t="s">
        <v>531</v>
      </c>
      <c r="Q20">
        <f t="shared" si="0"/>
        <v>-20</v>
      </c>
      <c r="R20" t="str">
        <f>_xlfn.XLOOKUP(P20,'Painel Additive'!$B:$B,'Painel Additive'!$B:$B,0)</f>
        <v>GRUPO MOSAIC FERTILIZANTES P K LTDA</v>
      </c>
      <c r="S20">
        <f t="shared" si="1"/>
        <v>90</v>
      </c>
    </row>
    <row r="21" spans="1:19" x14ac:dyDescent="0.25">
      <c r="A21">
        <v>1787</v>
      </c>
      <c r="B21" t="s">
        <v>67</v>
      </c>
      <c r="C21" t="s">
        <v>68</v>
      </c>
      <c r="D21" s="34">
        <v>114662.39999999999</v>
      </c>
      <c r="E21">
        <v>1246268585</v>
      </c>
      <c r="F21" s="30">
        <v>46161</v>
      </c>
      <c r="G21" s="30"/>
      <c r="H21" t="s">
        <v>28</v>
      </c>
      <c r="I21" t="s">
        <v>29</v>
      </c>
      <c r="J21">
        <v>10953</v>
      </c>
      <c r="K21" s="30">
        <v>46101</v>
      </c>
      <c r="L21">
        <v>1010100</v>
      </c>
      <c r="M21" t="s">
        <v>35</v>
      </c>
      <c r="N21">
        <v>161</v>
      </c>
      <c r="O21" t="s">
        <v>161</v>
      </c>
      <c r="P21" t="s">
        <v>531</v>
      </c>
      <c r="Q21">
        <f t="shared" si="0"/>
        <v>-50</v>
      </c>
      <c r="R21" t="str">
        <f>_xlfn.XLOOKUP(P21,'Painel Additive'!$B:$B,'Painel Additive'!$B:$B,0)</f>
        <v>GRUPO MOSAIC FERTILIZANTES P K LTDA</v>
      </c>
      <c r="S21">
        <f t="shared" si="1"/>
        <v>60</v>
      </c>
    </row>
    <row r="22" spans="1:19" x14ac:dyDescent="0.25">
      <c r="A22">
        <v>1787</v>
      </c>
      <c r="B22" t="s">
        <v>67</v>
      </c>
      <c r="C22" t="s">
        <v>68</v>
      </c>
      <c r="D22" s="34">
        <v>114969.60000000001</v>
      </c>
      <c r="E22">
        <v>1246264543</v>
      </c>
      <c r="F22" s="30">
        <v>46166</v>
      </c>
      <c r="G22" s="30"/>
      <c r="H22" t="s">
        <v>28</v>
      </c>
      <c r="I22" t="s">
        <v>29</v>
      </c>
      <c r="J22">
        <v>10746</v>
      </c>
      <c r="K22" s="30">
        <v>46076</v>
      </c>
      <c r="L22">
        <v>1010100</v>
      </c>
      <c r="M22" t="s">
        <v>35</v>
      </c>
      <c r="N22">
        <v>161</v>
      </c>
      <c r="O22" t="s">
        <v>161</v>
      </c>
      <c r="P22" t="s">
        <v>531</v>
      </c>
      <c r="Q22">
        <f t="shared" si="0"/>
        <v>-55</v>
      </c>
      <c r="R22" t="str">
        <f>_xlfn.XLOOKUP(P22,'Painel Additive'!$B:$B,'Painel Additive'!$B:$B,0)</f>
        <v>GRUPO MOSAIC FERTILIZANTES P K LTDA</v>
      </c>
      <c r="S22">
        <f t="shared" si="1"/>
        <v>90</v>
      </c>
    </row>
    <row r="23" spans="1:19" x14ac:dyDescent="0.25">
      <c r="A23">
        <v>1787</v>
      </c>
      <c r="B23" t="s">
        <v>67</v>
      </c>
      <c r="C23" t="s">
        <v>68</v>
      </c>
      <c r="D23" s="34">
        <v>114470.39999999999</v>
      </c>
      <c r="E23">
        <v>1246261586</v>
      </c>
      <c r="F23" s="30">
        <v>46141</v>
      </c>
      <c r="G23" s="30"/>
      <c r="H23" t="s">
        <v>28</v>
      </c>
      <c r="I23" t="s">
        <v>29</v>
      </c>
      <c r="J23">
        <v>10604</v>
      </c>
      <c r="K23" s="30">
        <v>46051</v>
      </c>
      <c r="L23">
        <v>1010100</v>
      </c>
      <c r="M23" t="s">
        <v>35</v>
      </c>
      <c r="N23">
        <v>161</v>
      </c>
      <c r="O23" t="s">
        <v>161</v>
      </c>
      <c r="P23" t="s">
        <v>531</v>
      </c>
      <c r="Q23">
        <f t="shared" si="0"/>
        <v>-30</v>
      </c>
      <c r="R23" t="str">
        <f>_xlfn.XLOOKUP(P23,'Painel Additive'!$B:$B,'Painel Additive'!$B:$B,0)</f>
        <v>GRUPO MOSAIC FERTILIZANTES P K LTDA</v>
      </c>
      <c r="S23">
        <f t="shared" si="1"/>
        <v>90</v>
      </c>
    </row>
    <row r="24" spans="1:19" x14ac:dyDescent="0.25">
      <c r="A24">
        <v>1787</v>
      </c>
      <c r="B24" t="s">
        <v>67</v>
      </c>
      <c r="C24" t="s">
        <v>68</v>
      </c>
      <c r="D24" s="34">
        <v>110476.8</v>
      </c>
      <c r="E24">
        <v>1246261043</v>
      </c>
      <c r="F24" s="30">
        <v>46138</v>
      </c>
      <c r="G24" s="30"/>
      <c r="H24" t="s">
        <v>28</v>
      </c>
      <c r="I24" t="s">
        <v>29</v>
      </c>
      <c r="J24">
        <v>10573</v>
      </c>
      <c r="K24" s="30">
        <v>46048</v>
      </c>
      <c r="L24">
        <v>1010100</v>
      </c>
      <c r="M24" t="s">
        <v>35</v>
      </c>
      <c r="N24">
        <v>161</v>
      </c>
      <c r="O24" t="s">
        <v>161</v>
      </c>
      <c r="P24" t="s">
        <v>531</v>
      </c>
      <c r="Q24">
        <f t="shared" si="0"/>
        <v>-27</v>
      </c>
      <c r="R24" t="str">
        <f>_xlfn.XLOOKUP(P24,'Painel Additive'!$B:$B,'Painel Additive'!$B:$B,0)</f>
        <v>GRUPO MOSAIC FERTILIZANTES P K LTDA</v>
      </c>
      <c r="S24">
        <f t="shared" si="1"/>
        <v>90</v>
      </c>
    </row>
    <row r="25" spans="1:19" x14ac:dyDescent="0.25">
      <c r="A25">
        <v>1787</v>
      </c>
      <c r="B25" t="s">
        <v>67</v>
      </c>
      <c r="C25" t="s">
        <v>68</v>
      </c>
      <c r="D25" s="34">
        <v>113356.8</v>
      </c>
      <c r="E25">
        <v>1246269731</v>
      </c>
      <c r="F25" s="30">
        <v>46202</v>
      </c>
      <c r="G25" s="30"/>
      <c r="H25" t="s">
        <v>28</v>
      </c>
      <c r="I25" t="s">
        <v>29</v>
      </c>
      <c r="J25">
        <v>11014</v>
      </c>
      <c r="K25" s="30">
        <v>46112</v>
      </c>
      <c r="L25">
        <v>1010100</v>
      </c>
      <c r="M25" t="s">
        <v>35</v>
      </c>
      <c r="N25">
        <v>161</v>
      </c>
      <c r="O25" t="s">
        <v>161</v>
      </c>
      <c r="P25" t="s">
        <v>531</v>
      </c>
      <c r="Q25">
        <f t="shared" si="0"/>
        <v>-91</v>
      </c>
      <c r="R25" t="str">
        <f>_xlfn.XLOOKUP(P25,'Painel Additive'!$B:$B,'Painel Additive'!$B:$B,0)</f>
        <v>GRUPO MOSAIC FERTILIZANTES P K LTDA</v>
      </c>
      <c r="S25">
        <f t="shared" si="1"/>
        <v>90</v>
      </c>
    </row>
    <row r="26" spans="1:19" x14ac:dyDescent="0.25">
      <c r="A26">
        <v>1787</v>
      </c>
      <c r="B26" t="s">
        <v>67</v>
      </c>
      <c r="C26" t="s">
        <v>68</v>
      </c>
      <c r="D26" s="34">
        <v>116313.60000000001</v>
      </c>
      <c r="E26">
        <v>1246258384</v>
      </c>
      <c r="F26" s="30">
        <v>46118</v>
      </c>
      <c r="G26" s="30"/>
      <c r="H26" t="s">
        <v>28</v>
      </c>
      <c r="I26" t="s">
        <v>29</v>
      </c>
      <c r="J26">
        <v>10427</v>
      </c>
      <c r="K26" s="30">
        <v>46028</v>
      </c>
      <c r="L26">
        <v>1010100</v>
      </c>
      <c r="M26" t="s">
        <v>35</v>
      </c>
      <c r="N26">
        <v>161</v>
      </c>
      <c r="O26" t="s">
        <v>161</v>
      </c>
      <c r="P26" t="s">
        <v>531</v>
      </c>
      <c r="Q26">
        <f t="shared" si="0"/>
        <v>-7</v>
      </c>
      <c r="R26" t="str">
        <f>_xlfn.XLOOKUP(P26,'Painel Additive'!$B:$B,'Painel Additive'!$B:$B,0)</f>
        <v>GRUPO MOSAIC FERTILIZANTES P K LTDA</v>
      </c>
      <c r="S26">
        <f t="shared" si="1"/>
        <v>90</v>
      </c>
    </row>
    <row r="27" spans="1:19" x14ac:dyDescent="0.25">
      <c r="A27">
        <v>1787</v>
      </c>
      <c r="B27" t="s">
        <v>67</v>
      </c>
      <c r="C27" t="s">
        <v>68</v>
      </c>
      <c r="D27" s="34">
        <v>114240</v>
      </c>
      <c r="E27">
        <v>1246259553</v>
      </c>
      <c r="F27" s="30">
        <v>46127</v>
      </c>
      <c r="G27" s="30"/>
      <c r="H27" t="s">
        <v>28</v>
      </c>
      <c r="I27" t="s">
        <v>29</v>
      </c>
      <c r="J27">
        <v>10493</v>
      </c>
      <c r="K27" s="30">
        <v>46037</v>
      </c>
      <c r="L27">
        <v>1010100</v>
      </c>
      <c r="M27" t="s">
        <v>35</v>
      </c>
      <c r="N27">
        <v>161</v>
      </c>
      <c r="O27" t="s">
        <v>161</v>
      </c>
      <c r="P27" t="s">
        <v>531</v>
      </c>
      <c r="Q27">
        <f t="shared" si="0"/>
        <v>-16</v>
      </c>
      <c r="R27" t="str">
        <f>_xlfn.XLOOKUP(P27,'Painel Additive'!$B:$B,'Painel Additive'!$B:$B,0)</f>
        <v>GRUPO MOSAIC FERTILIZANTES P K LTDA</v>
      </c>
      <c r="S27">
        <f t="shared" si="1"/>
        <v>90</v>
      </c>
    </row>
    <row r="28" spans="1:19" x14ac:dyDescent="0.25">
      <c r="A28">
        <v>1787</v>
      </c>
      <c r="B28" t="s">
        <v>67</v>
      </c>
      <c r="C28" t="s">
        <v>68</v>
      </c>
      <c r="D28" s="34">
        <v>115392</v>
      </c>
      <c r="E28">
        <v>1246265885</v>
      </c>
      <c r="F28" s="30">
        <v>46173</v>
      </c>
      <c r="G28" s="30"/>
      <c r="H28" t="s">
        <v>28</v>
      </c>
      <c r="I28" t="s">
        <v>29</v>
      </c>
      <c r="J28">
        <v>10791</v>
      </c>
      <c r="K28" s="30">
        <v>46083</v>
      </c>
      <c r="L28">
        <v>1010100</v>
      </c>
      <c r="M28" t="s">
        <v>35</v>
      </c>
      <c r="N28">
        <v>161</v>
      </c>
      <c r="O28" t="s">
        <v>161</v>
      </c>
      <c r="P28" t="s">
        <v>531</v>
      </c>
      <c r="Q28">
        <f t="shared" si="0"/>
        <v>-62</v>
      </c>
      <c r="R28" t="str">
        <f>_xlfn.XLOOKUP(P28,'Painel Additive'!$B:$B,'Painel Additive'!$B:$B,0)</f>
        <v>GRUPO MOSAIC FERTILIZANTES P K LTDA</v>
      </c>
      <c r="S28">
        <f t="shared" si="1"/>
        <v>90</v>
      </c>
    </row>
    <row r="29" spans="1:19" x14ac:dyDescent="0.25">
      <c r="A29">
        <v>1787</v>
      </c>
      <c r="B29" t="s">
        <v>67</v>
      </c>
      <c r="C29" t="s">
        <v>68</v>
      </c>
      <c r="D29" s="34">
        <v>115046.39999999999</v>
      </c>
      <c r="E29">
        <v>1246267207</v>
      </c>
      <c r="F29" s="30">
        <v>46181</v>
      </c>
      <c r="G29" s="30"/>
      <c r="H29" t="s">
        <v>28</v>
      </c>
      <c r="I29" t="s">
        <v>29</v>
      </c>
      <c r="J29">
        <v>10856</v>
      </c>
      <c r="K29" s="30">
        <v>46091</v>
      </c>
      <c r="L29">
        <v>1010100</v>
      </c>
      <c r="M29" t="s">
        <v>35</v>
      </c>
      <c r="N29">
        <v>161</v>
      </c>
      <c r="O29" t="s">
        <v>161</v>
      </c>
      <c r="P29" t="s">
        <v>531</v>
      </c>
      <c r="Q29">
        <f t="shared" si="0"/>
        <v>-70</v>
      </c>
      <c r="R29" t="str">
        <f>_xlfn.XLOOKUP(P29,'Painel Additive'!$B:$B,'Painel Additive'!$B:$B,0)</f>
        <v>GRUPO MOSAIC FERTILIZANTES P K LTDA</v>
      </c>
      <c r="S29">
        <f t="shared" si="1"/>
        <v>90</v>
      </c>
    </row>
    <row r="30" spans="1:19" x14ac:dyDescent="0.25">
      <c r="A30">
        <v>1787</v>
      </c>
      <c r="B30" t="s">
        <v>67</v>
      </c>
      <c r="C30" t="s">
        <v>68</v>
      </c>
      <c r="D30" s="34">
        <v>114201.60000000001</v>
      </c>
      <c r="E30">
        <v>1246262790</v>
      </c>
      <c r="F30" s="30">
        <v>46152</v>
      </c>
      <c r="G30" s="30"/>
      <c r="H30" t="s">
        <v>28</v>
      </c>
      <c r="I30" t="s">
        <v>29</v>
      </c>
      <c r="J30">
        <v>10666</v>
      </c>
      <c r="K30" s="30">
        <v>46062</v>
      </c>
      <c r="L30">
        <v>1010100</v>
      </c>
      <c r="M30" t="s">
        <v>35</v>
      </c>
      <c r="N30">
        <v>161</v>
      </c>
      <c r="O30" t="s">
        <v>161</v>
      </c>
      <c r="P30" t="s">
        <v>531</v>
      </c>
      <c r="Q30">
        <f t="shared" si="0"/>
        <v>-41</v>
      </c>
      <c r="R30" t="str">
        <f>_xlfn.XLOOKUP(P30,'Painel Additive'!$B:$B,'Painel Additive'!$B:$B,0)</f>
        <v>GRUPO MOSAIC FERTILIZANTES P K LTDA</v>
      </c>
      <c r="S30">
        <f t="shared" si="1"/>
        <v>90</v>
      </c>
    </row>
    <row r="31" spans="1:19" x14ac:dyDescent="0.25">
      <c r="A31">
        <v>1787</v>
      </c>
      <c r="B31" t="s">
        <v>67</v>
      </c>
      <c r="C31" t="s">
        <v>68</v>
      </c>
      <c r="D31" s="34">
        <v>108864</v>
      </c>
      <c r="E31">
        <v>1246263600</v>
      </c>
      <c r="F31" s="30">
        <v>46156</v>
      </c>
      <c r="G31" s="30"/>
      <c r="H31" t="s">
        <v>28</v>
      </c>
      <c r="I31" t="s">
        <v>29</v>
      </c>
      <c r="J31">
        <v>10688</v>
      </c>
      <c r="K31" s="30">
        <v>46066</v>
      </c>
      <c r="L31">
        <v>1010100</v>
      </c>
      <c r="M31" t="s">
        <v>35</v>
      </c>
      <c r="N31">
        <v>161</v>
      </c>
      <c r="O31" t="s">
        <v>161</v>
      </c>
      <c r="P31" t="s">
        <v>531</v>
      </c>
      <c r="Q31">
        <f t="shared" si="0"/>
        <v>-45</v>
      </c>
      <c r="R31" t="str">
        <f>_xlfn.XLOOKUP(P31,'Painel Additive'!$B:$B,'Painel Additive'!$B:$B,0)</f>
        <v>GRUPO MOSAIC FERTILIZANTES P K LTDA</v>
      </c>
      <c r="S31">
        <f t="shared" si="1"/>
        <v>90</v>
      </c>
    </row>
    <row r="32" spans="1:19" x14ac:dyDescent="0.25">
      <c r="A32">
        <v>1787</v>
      </c>
      <c r="B32" t="s">
        <v>67</v>
      </c>
      <c r="C32" t="s">
        <v>68</v>
      </c>
      <c r="D32" s="34">
        <v>110937.60000000001</v>
      </c>
      <c r="E32">
        <v>1246268467</v>
      </c>
      <c r="F32" s="30">
        <v>46190</v>
      </c>
      <c r="G32" s="30"/>
      <c r="H32" t="s">
        <v>28</v>
      </c>
      <c r="I32" t="s">
        <v>29</v>
      </c>
      <c r="J32">
        <v>10936</v>
      </c>
      <c r="K32" s="30">
        <v>46100</v>
      </c>
      <c r="L32">
        <v>1010100</v>
      </c>
      <c r="M32" t="s">
        <v>35</v>
      </c>
      <c r="N32">
        <v>161</v>
      </c>
      <c r="O32" t="s">
        <v>161</v>
      </c>
      <c r="P32" t="s">
        <v>531</v>
      </c>
      <c r="Q32">
        <f t="shared" si="0"/>
        <v>-79</v>
      </c>
      <c r="R32" t="str">
        <f>_xlfn.XLOOKUP(P32,'Painel Additive'!$B:$B,'Painel Additive'!$B:$B,0)</f>
        <v>GRUPO MOSAIC FERTILIZANTES P K LTDA</v>
      </c>
      <c r="S32">
        <f t="shared" si="1"/>
        <v>90</v>
      </c>
    </row>
    <row r="33" spans="1:19" x14ac:dyDescent="0.25">
      <c r="A33">
        <v>1787</v>
      </c>
      <c r="B33" t="s">
        <v>67</v>
      </c>
      <c r="C33" t="s">
        <v>68</v>
      </c>
      <c r="D33" s="34">
        <v>110592</v>
      </c>
      <c r="E33">
        <v>1246269420</v>
      </c>
      <c r="F33" s="30">
        <v>46198</v>
      </c>
      <c r="G33" s="30"/>
      <c r="H33" t="s">
        <v>28</v>
      </c>
      <c r="I33" t="s">
        <v>29</v>
      </c>
      <c r="J33">
        <v>10989</v>
      </c>
      <c r="K33" s="30">
        <v>46108</v>
      </c>
      <c r="L33">
        <v>1010100</v>
      </c>
      <c r="M33" t="s">
        <v>35</v>
      </c>
      <c r="N33">
        <v>161</v>
      </c>
      <c r="O33" t="s">
        <v>161</v>
      </c>
      <c r="P33" t="s">
        <v>531</v>
      </c>
      <c r="Q33">
        <f t="shared" si="0"/>
        <v>-87</v>
      </c>
      <c r="R33" t="str">
        <f>_xlfn.XLOOKUP(P33,'Painel Additive'!$B:$B,'Painel Additive'!$B:$B,0)</f>
        <v>GRUPO MOSAIC FERTILIZANTES P K LTDA</v>
      </c>
      <c r="S33">
        <f t="shared" si="1"/>
        <v>90</v>
      </c>
    </row>
    <row r="34" spans="1:19" x14ac:dyDescent="0.25">
      <c r="A34">
        <v>1787</v>
      </c>
      <c r="B34" t="s">
        <v>67</v>
      </c>
      <c r="C34" t="s">
        <v>68</v>
      </c>
      <c r="D34" s="34">
        <v>114393.60000000001</v>
      </c>
      <c r="E34">
        <v>1246263371</v>
      </c>
      <c r="F34" s="30">
        <v>46154</v>
      </c>
      <c r="G34" s="30"/>
      <c r="H34" t="s">
        <v>28</v>
      </c>
      <c r="I34" t="s">
        <v>29</v>
      </c>
      <c r="J34">
        <v>10678</v>
      </c>
      <c r="K34" s="30">
        <v>46064</v>
      </c>
      <c r="L34">
        <v>1010100</v>
      </c>
      <c r="M34" t="s">
        <v>35</v>
      </c>
      <c r="N34">
        <v>161</v>
      </c>
      <c r="O34" t="s">
        <v>161</v>
      </c>
      <c r="P34" t="s">
        <v>531</v>
      </c>
      <c r="Q34">
        <f t="shared" si="0"/>
        <v>-43</v>
      </c>
      <c r="R34" t="str">
        <f>_xlfn.XLOOKUP(P34,'Painel Additive'!$B:$B,'Painel Additive'!$B:$B,0)</f>
        <v>GRUPO MOSAIC FERTILIZANTES P K LTDA</v>
      </c>
      <c r="S34">
        <f t="shared" si="1"/>
        <v>90</v>
      </c>
    </row>
    <row r="35" spans="1:19" x14ac:dyDescent="0.25">
      <c r="A35">
        <v>1787</v>
      </c>
      <c r="B35" t="s">
        <v>67</v>
      </c>
      <c r="C35" t="s">
        <v>68</v>
      </c>
      <c r="D35" s="34">
        <v>115737.60000000001</v>
      </c>
      <c r="E35">
        <v>1246260793</v>
      </c>
      <c r="F35" s="30">
        <v>46136</v>
      </c>
      <c r="G35" s="30"/>
      <c r="H35" t="s">
        <v>28</v>
      </c>
      <c r="I35" t="s">
        <v>29</v>
      </c>
      <c r="J35">
        <v>10567</v>
      </c>
      <c r="K35" s="30">
        <v>46045</v>
      </c>
      <c r="L35">
        <v>1010100</v>
      </c>
      <c r="M35" t="s">
        <v>35</v>
      </c>
      <c r="N35">
        <v>161</v>
      </c>
      <c r="O35" t="s">
        <v>161</v>
      </c>
      <c r="P35" t="s">
        <v>531</v>
      </c>
      <c r="Q35">
        <f t="shared" si="0"/>
        <v>-25</v>
      </c>
      <c r="R35" t="str">
        <f>_xlfn.XLOOKUP(P35,'Painel Additive'!$B:$B,'Painel Additive'!$B:$B,0)</f>
        <v>GRUPO MOSAIC FERTILIZANTES P K LTDA</v>
      </c>
      <c r="S35">
        <f t="shared" si="1"/>
        <v>91</v>
      </c>
    </row>
    <row r="36" spans="1:19" x14ac:dyDescent="0.25">
      <c r="A36">
        <v>1787</v>
      </c>
      <c r="B36" t="s">
        <v>67</v>
      </c>
      <c r="C36" t="s">
        <v>68</v>
      </c>
      <c r="D36" s="34">
        <v>116006.39999999999</v>
      </c>
      <c r="E36">
        <v>1246267015</v>
      </c>
      <c r="F36" s="30">
        <v>46180</v>
      </c>
      <c r="G36" s="30"/>
      <c r="H36" t="s">
        <v>28</v>
      </c>
      <c r="I36" t="s">
        <v>29</v>
      </c>
      <c r="J36">
        <v>10844</v>
      </c>
      <c r="K36" s="30">
        <v>46090</v>
      </c>
      <c r="L36">
        <v>1010100</v>
      </c>
      <c r="M36" t="s">
        <v>35</v>
      </c>
      <c r="N36">
        <v>161</v>
      </c>
      <c r="O36" t="s">
        <v>161</v>
      </c>
      <c r="P36" t="s">
        <v>531</v>
      </c>
      <c r="Q36">
        <f t="shared" si="0"/>
        <v>-69</v>
      </c>
      <c r="R36" t="str">
        <f>_xlfn.XLOOKUP(P36,'Painel Additive'!$B:$B,'Painel Additive'!$B:$B,0)</f>
        <v>GRUPO MOSAIC FERTILIZANTES P K LTDA</v>
      </c>
      <c r="S36">
        <f t="shared" si="1"/>
        <v>90</v>
      </c>
    </row>
    <row r="37" spans="1:19" x14ac:dyDescent="0.25">
      <c r="A37">
        <v>1787</v>
      </c>
      <c r="B37" t="s">
        <v>67</v>
      </c>
      <c r="C37" t="s">
        <v>68</v>
      </c>
      <c r="D37" s="34">
        <v>107059.2</v>
      </c>
      <c r="E37">
        <v>1246262114</v>
      </c>
      <c r="F37" s="30">
        <v>46146</v>
      </c>
      <c r="G37" s="30"/>
      <c r="H37" t="s">
        <v>28</v>
      </c>
      <c r="I37" t="s">
        <v>29</v>
      </c>
      <c r="J37">
        <v>10629</v>
      </c>
      <c r="K37" s="30">
        <v>46056</v>
      </c>
      <c r="L37">
        <v>1010100</v>
      </c>
      <c r="M37" t="s">
        <v>35</v>
      </c>
      <c r="N37">
        <v>161</v>
      </c>
      <c r="O37" t="s">
        <v>161</v>
      </c>
      <c r="P37" t="s">
        <v>531</v>
      </c>
      <c r="Q37">
        <f t="shared" si="0"/>
        <v>-35</v>
      </c>
      <c r="R37" t="str">
        <f>_xlfn.XLOOKUP(P37,'Painel Additive'!$B:$B,'Painel Additive'!$B:$B,0)</f>
        <v>GRUPO MOSAIC FERTILIZANTES P K LTDA</v>
      </c>
      <c r="S37">
        <f t="shared" si="1"/>
        <v>90</v>
      </c>
    </row>
    <row r="38" spans="1:19" x14ac:dyDescent="0.25">
      <c r="A38">
        <v>1787</v>
      </c>
      <c r="B38" t="s">
        <v>67</v>
      </c>
      <c r="C38" t="s">
        <v>68</v>
      </c>
      <c r="D38" s="34">
        <v>112204.8</v>
      </c>
      <c r="E38">
        <v>1246269591</v>
      </c>
      <c r="F38" s="30">
        <v>46201</v>
      </c>
      <c r="G38" s="30"/>
      <c r="H38" t="s">
        <v>28</v>
      </c>
      <c r="I38" t="s">
        <v>29</v>
      </c>
      <c r="J38">
        <v>11002</v>
      </c>
      <c r="K38" s="30">
        <v>46111</v>
      </c>
      <c r="L38">
        <v>1010100</v>
      </c>
      <c r="M38" t="s">
        <v>35</v>
      </c>
      <c r="N38">
        <v>161</v>
      </c>
      <c r="O38" t="s">
        <v>161</v>
      </c>
      <c r="P38" t="s">
        <v>531</v>
      </c>
      <c r="Q38">
        <f t="shared" si="0"/>
        <v>-90</v>
      </c>
      <c r="R38" t="str">
        <f>_xlfn.XLOOKUP(P38,'Painel Additive'!$B:$B,'Painel Additive'!$B:$B,0)</f>
        <v>GRUPO MOSAIC FERTILIZANTES P K LTDA</v>
      </c>
      <c r="S38">
        <f t="shared" si="1"/>
        <v>90</v>
      </c>
    </row>
    <row r="39" spans="1:19" x14ac:dyDescent="0.25">
      <c r="A39">
        <v>1787</v>
      </c>
      <c r="B39" t="s">
        <v>67</v>
      </c>
      <c r="C39" t="s">
        <v>68</v>
      </c>
      <c r="D39" s="34">
        <v>112588.8</v>
      </c>
      <c r="E39">
        <v>1246263994</v>
      </c>
      <c r="F39" s="30">
        <v>46161</v>
      </c>
      <c r="G39" s="30"/>
      <c r="H39" t="s">
        <v>28</v>
      </c>
      <c r="I39" t="s">
        <v>29</v>
      </c>
      <c r="J39">
        <v>10714</v>
      </c>
      <c r="K39" s="30">
        <v>46071</v>
      </c>
      <c r="L39">
        <v>1010100</v>
      </c>
      <c r="M39" t="s">
        <v>35</v>
      </c>
      <c r="N39">
        <v>161</v>
      </c>
      <c r="O39" t="s">
        <v>161</v>
      </c>
      <c r="P39" t="s">
        <v>531</v>
      </c>
      <c r="Q39">
        <f t="shared" si="0"/>
        <v>-50</v>
      </c>
      <c r="R39" t="str">
        <f>_xlfn.XLOOKUP(P39,'Painel Additive'!$B:$B,'Painel Additive'!$B:$B,0)</f>
        <v>GRUPO MOSAIC FERTILIZANTES P K LTDA</v>
      </c>
      <c r="S39">
        <f t="shared" si="1"/>
        <v>90</v>
      </c>
    </row>
    <row r="40" spans="1:19" x14ac:dyDescent="0.25">
      <c r="A40">
        <v>1787</v>
      </c>
      <c r="B40" t="s">
        <v>67</v>
      </c>
      <c r="C40" t="s">
        <v>68</v>
      </c>
      <c r="D40" s="34">
        <v>115315.2</v>
      </c>
      <c r="E40">
        <v>1246265189</v>
      </c>
      <c r="F40" s="30">
        <v>46168</v>
      </c>
      <c r="G40" s="30"/>
      <c r="H40" t="s">
        <v>28</v>
      </c>
      <c r="I40" t="s">
        <v>29</v>
      </c>
      <c r="J40">
        <v>10768</v>
      </c>
      <c r="K40" s="30">
        <v>46078</v>
      </c>
      <c r="L40">
        <v>1010100</v>
      </c>
      <c r="M40" t="s">
        <v>35</v>
      </c>
      <c r="N40">
        <v>161</v>
      </c>
      <c r="O40" t="s">
        <v>161</v>
      </c>
      <c r="P40" t="s">
        <v>531</v>
      </c>
      <c r="Q40">
        <f t="shared" si="0"/>
        <v>-57</v>
      </c>
      <c r="R40" t="str">
        <f>_xlfn.XLOOKUP(P40,'Painel Additive'!$B:$B,'Painel Additive'!$B:$B,0)</f>
        <v>GRUPO MOSAIC FERTILIZANTES P K LTDA</v>
      </c>
      <c r="S40">
        <f t="shared" si="1"/>
        <v>90</v>
      </c>
    </row>
    <row r="41" spans="1:19" x14ac:dyDescent="0.25">
      <c r="A41">
        <v>1787</v>
      </c>
      <c r="B41" t="s">
        <v>67</v>
      </c>
      <c r="C41" t="s">
        <v>68</v>
      </c>
      <c r="D41" s="34">
        <v>115468.8</v>
      </c>
      <c r="E41">
        <v>1246266348</v>
      </c>
      <c r="F41" s="30">
        <v>46175</v>
      </c>
      <c r="G41" s="30"/>
      <c r="H41" t="s">
        <v>28</v>
      </c>
      <c r="I41" t="s">
        <v>29</v>
      </c>
      <c r="J41">
        <v>10811</v>
      </c>
      <c r="K41" s="30">
        <v>46085</v>
      </c>
      <c r="L41">
        <v>1010100</v>
      </c>
      <c r="M41" t="s">
        <v>35</v>
      </c>
      <c r="N41">
        <v>161</v>
      </c>
      <c r="O41" t="s">
        <v>161</v>
      </c>
      <c r="P41" t="s">
        <v>531</v>
      </c>
      <c r="Q41">
        <f t="shared" si="0"/>
        <v>-64</v>
      </c>
      <c r="R41" t="str">
        <f>_xlfn.XLOOKUP(P41,'Painel Additive'!$B:$B,'Painel Additive'!$B:$B,0)</f>
        <v>GRUPO MOSAIC FERTILIZANTES P K LTDA</v>
      </c>
      <c r="S41">
        <f t="shared" si="1"/>
        <v>90</v>
      </c>
    </row>
    <row r="42" spans="1:19" x14ac:dyDescent="0.25">
      <c r="A42">
        <v>1787</v>
      </c>
      <c r="B42" t="s">
        <v>67</v>
      </c>
      <c r="C42" t="s">
        <v>68</v>
      </c>
      <c r="D42" s="34">
        <v>114086.39999999999</v>
      </c>
      <c r="E42">
        <v>1246267743</v>
      </c>
      <c r="F42" s="30">
        <v>46184</v>
      </c>
      <c r="G42" s="30"/>
      <c r="H42" t="s">
        <v>28</v>
      </c>
      <c r="I42" t="s">
        <v>29</v>
      </c>
      <c r="J42">
        <v>10882</v>
      </c>
      <c r="K42" s="30">
        <v>46094</v>
      </c>
      <c r="L42">
        <v>1010100</v>
      </c>
      <c r="M42" t="s">
        <v>35</v>
      </c>
      <c r="N42">
        <v>161</v>
      </c>
      <c r="O42" t="s">
        <v>161</v>
      </c>
      <c r="P42" t="s">
        <v>531</v>
      </c>
      <c r="Q42">
        <f t="shared" si="0"/>
        <v>-73</v>
      </c>
      <c r="R42" t="str">
        <f>_xlfn.XLOOKUP(P42,'Painel Additive'!$B:$B,'Painel Additive'!$B:$B,0)</f>
        <v>GRUPO MOSAIC FERTILIZANTES P K LTDA</v>
      </c>
      <c r="S42">
        <f t="shared" si="1"/>
        <v>90</v>
      </c>
    </row>
    <row r="43" spans="1:19" x14ac:dyDescent="0.25">
      <c r="A43">
        <v>1788</v>
      </c>
      <c r="B43" t="s">
        <v>69</v>
      </c>
      <c r="C43" t="s">
        <v>70</v>
      </c>
      <c r="D43" s="34">
        <v>116928</v>
      </c>
      <c r="E43">
        <v>1246267567</v>
      </c>
      <c r="F43" s="30">
        <v>46183</v>
      </c>
      <c r="G43" s="30"/>
      <c r="H43" t="s">
        <v>28</v>
      </c>
      <c r="I43" t="s">
        <v>29</v>
      </c>
      <c r="J43">
        <v>10870</v>
      </c>
      <c r="K43" s="30">
        <v>46093</v>
      </c>
      <c r="L43">
        <v>1010100</v>
      </c>
      <c r="M43" t="s">
        <v>35</v>
      </c>
      <c r="N43">
        <v>161</v>
      </c>
      <c r="O43" t="s">
        <v>161</v>
      </c>
      <c r="P43" t="s">
        <v>531</v>
      </c>
      <c r="Q43">
        <f t="shared" si="0"/>
        <v>-72</v>
      </c>
      <c r="R43" t="str">
        <f>_xlfn.XLOOKUP(P43,'Painel Additive'!$B:$B,'Painel Additive'!$B:$B,0)</f>
        <v>GRUPO MOSAIC FERTILIZANTES P K LTDA</v>
      </c>
      <c r="S43">
        <f t="shared" si="1"/>
        <v>90</v>
      </c>
    </row>
    <row r="44" spans="1:19" x14ac:dyDescent="0.25">
      <c r="A44">
        <v>1788</v>
      </c>
      <c r="B44" t="s">
        <v>69</v>
      </c>
      <c r="C44" t="s">
        <v>70</v>
      </c>
      <c r="D44" s="34">
        <v>116851.2</v>
      </c>
      <c r="E44">
        <v>1246262366</v>
      </c>
      <c r="F44" s="30">
        <v>46148</v>
      </c>
      <c r="G44" s="30"/>
      <c r="H44" t="s">
        <v>28</v>
      </c>
      <c r="I44" t="s">
        <v>29</v>
      </c>
      <c r="J44">
        <v>10645</v>
      </c>
      <c r="K44" s="30">
        <v>46058</v>
      </c>
      <c r="L44">
        <v>1010100</v>
      </c>
      <c r="M44" t="s">
        <v>35</v>
      </c>
      <c r="N44">
        <v>161</v>
      </c>
      <c r="O44" t="s">
        <v>161</v>
      </c>
      <c r="P44" t="s">
        <v>531</v>
      </c>
      <c r="Q44">
        <f t="shared" si="0"/>
        <v>-37</v>
      </c>
      <c r="R44" t="str">
        <f>_xlfn.XLOOKUP(P44,'Painel Additive'!$B:$B,'Painel Additive'!$B:$B,0)</f>
        <v>GRUPO MOSAIC FERTILIZANTES P K LTDA</v>
      </c>
      <c r="S44">
        <f t="shared" si="1"/>
        <v>90</v>
      </c>
    </row>
    <row r="45" spans="1:19" x14ac:dyDescent="0.25">
      <c r="A45">
        <v>1788</v>
      </c>
      <c r="B45" t="s">
        <v>69</v>
      </c>
      <c r="C45" t="s">
        <v>70</v>
      </c>
      <c r="D45" s="34">
        <v>116275.2</v>
      </c>
      <c r="E45">
        <v>1246260461</v>
      </c>
      <c r="F45" s="30">
        <v>46134</v>
      </c>
      <c r="G45" s="30"/>
      <c r="H45" t="s">
        <v>28</v>
      </c>
      <c r="I45" t="s">
        <v>29</v>
      </c>
      <c r="J45">
        <v>10550</v>
      </c>
      <c r="K45" s="30">
        <v>46044</v>
      </c>
      <c r="L45">
        <v>1010100</v>
      </c>
      <c r="M45" t="s">
        <v>35</v>
      </c>
      <c r="N45">
        <v>161</v>
      </c>
      <c r="O45" t="s">
        <v>161</v>
      </c>
      <c r="P45" t="s">
        <v>531</v>
      </c>
      <c r="Q45">
        <f t="shared" si="0"/>
        <v>-23</v>
      </c>
      <c r="R45" t="str">
        <f>_xlfn.XLOOKUP(P45,'Painel Additive'!$B:$B,'Painel Additive'!$B:$B,0)</f>
        <v>GRUPO MOSAIC FERTILIZANTES P K LTDA</v>
      </c>
      <c r="S45">
        <f t="shared" si="1"/>
        <v>90</v>
      </c>
    </row>
    <row r="46" spans="1:19" x14ac:dyDescent="0.25">
      <c r="A46">
        <v>1789</v>
      </c>
      <c r="B46" t="s">
        <v>71</v>
      </c>
      <c r="C46" t="s">
        <v>72</v>
      </c>
      <c r="D46" s="34">
        <v>116044.8</v>
      </c>
      <c r="E46">
        <v>1246267816</v>
      </c>
      <c r="F46" s="30">
        <v>46187</v>
      </c>
      <c r="G46" s="30"/>
      <c r="H46" t="s">
        <v>28</v>
      </c>
      <c r="I46" t="s">
        <v>29</v>
      </c>
      <c r="J46">
        <v>10889</v>
      </c>
      <c r="K46" s="30">
        <v>46097</v>
      </c>
      <c r="L46">
        <v>1010100</v>
      </c>
      <c r="M46" t="s">
        <v>35</v>
      </c>
      <c r="N46">
        <v>161</v>
      </c>
      <c r="O46" t="s">
        <v>161</v>
      </c>
      <c r="P46" t="s">
        <v>531</v>
      </c>
      <c r="Q46">
        <f t="shared" si="0"/>
        <v>-76</v>
      </c>
      <c r="R46" t="str">
        <f>_xlfn.XLOOKUP(P46,'Painel Additive'!$B:$B,'Painel Additive'!$B:$B,0)</f>
        <v>GRUPO MOSAIC FERTILIZANTES P K LTDA</v>
      </c>
      <c r="S46">
        <f t="shared" si="1"/>
        <v>90</v>
      </c>
    </row>
    <row r="47" spans="1:19" x14ac:dyDescent="0.25">
      <c r="A47">
        <v>1789</v>
      </c>
      <c r="B47" t="s">
        <v>71</v>
      </c>
      <c r="C47" t="s">
        <v>72</v>
      </c>
      <c r="D47" s="34">
        <v>115507.2</v>
      </c>
      <c r="E47">
        <v>1246269759</v>
      </c>
      <c r="F47" s="30">
        <v>46202</v>
      </c>
      <c r="G47" s="30"/>
      <c r="H47" t="s">
        <v>28</v>
      </c>
      <c r="I47" t="s">
        <v>29</v>
      </c>
      <c r="J47">
        <v>11017</v>
      </c>
      <c r="K47" s="30">
        <v>46112</v>
      </c>
      <c r="L47">
        <v>1010100</v>
      </c>
      <c r="M47" t="s">
        <v>35</v>
      </c>
      <c r="N47">
        <v>161</v>
      </c>
      <c r="O47" t="s">
        <v>161</v>
      </c>
      <c r="P47" t="s">
        <v>531</v>
      </c>
      <c r="Q47">
        <f t="shared" si="0"/>
        <v>-91</v>
      </c>
      <c r="R47" t="str">
        <f>_xlfn.XLOOKUP(P47,'Painel Additive'!$B:$B,'Painel Additive'!$B:$B,0)</f>
        <v>GRUPO MOSAIC FERTILIZANTES P K LTDA</v>
      </c>
      <c r="S47">
        <f t="shared" si="1"/>
        <v>90</v>
      </c>
    </row>
    <row r="48" spans="1:19" x14ac:dyDescent="0.25">
      <c r="A48">
        <v>1789</v>
      </c>
      <c r="B48" t="s">
        <v>71</v>
      </c>
      <c r="C48" t="s">
        <v>72</v>
      </c>
      <c r="D48" s="34">
        <v>114470.39999999999</v>
      </c>
      <c r="E48">
        <v>1246268819</v>
      </c>
      <c r="F48" s="30">
        <v>46195</v>
      </c>
      <c r="G48" s="30"/>
      <c r="H48" t="s">
        <v>28</v>
      </c>
      <c r="I48" t="s">
        <v>29</v>
      </c>
      <c r="J48">
        <v>10967</v>
      </c>
      <c r="K48" s="30">
        <v>46105</v>
      </c>
      <c r="L48">
        <v>1010100</v>
      </c>
      <c r="M48" t="s">
        <v>35</v>
      </c>
      <c r="N48">
        <v>161</v>
      </c>
      <c r="O48" t="s">
        <v>161</v>
      </c>
      <c r="P48" t="s">
        <v>531</v>
      </c>
      <c r="Q48">
        <f t="shared" si="0"/>
        <v>-84</v>
      </c>
      <c r="R48" t="str">
        <f>_xlfn.XLOOKUP(P48,'Painel Additive'!$B:$B,'Painel Additive'!$B:$B,0)</f>
        <v>GRUPO MOSAIC FERTILIZANTES P K LTDA</v>
      </c>
      <c r="S48">
        <f t="shared" si="1"/>
        <v>90</v>
      </c>
    </row>
    <row r="49" spans="1:19" x14ac:dyDescent="0.25">
      <c r="A49">
        <v>1789</v>
      </c>
      <c r="B49" t="s">
        <v>71</v>
      </c>
      <c r="C49" t="s">
        <v>72</v>
      </c>
      <c r="D49" s="34">
        <v>115123.2</v>
      </c>
      <c r="E49">
        <v>1246269430</v>
      </c>
      <c r="F49" s="30">
        <v>46198</v>
      </c>
      <c r="G49" s="30"/>
      <c r="H49" t="s">
        <v>28</v>
      </c>
      <c r="I49" t="s">
        <v>29</v>
      </c>
      <c r="J49">
        <v>10992</v>
      </c>
      <c r="K49" s="30">
        <v>46108</v>
      </c>
      <c r="L49">
        <v>1010100</v>
      </c>
      <c r="M49" t="s">
        <v>35</v>
      </c>
      <c r="N49">
        <v>161</v>
      </c>
      <c r="O49" t="s">
        <v>161</v>
      </c>
      <c r="P49" t="s">
        <v>531</v>
      </c>
      <c r="Q49">
        <f t="shared" si="0"/>
        <v>-87</v>
      </c>
      <c r="R49" t="str">
        <f>_xlfn.XLOOKUP(P49,'Painel Additive'!$B:$B,'Painel Additive'!$B:$B,0)</f>
        <v>GRUPO MOSAIC FERTILIZANTES P K LTDA</v>
      </c>
      <c r="S49">
        <f t="shared" si="1"/>
        <v>90</v>
      </c>
    </row>
    <row r="50" spans="1:19" x14ac:dyDescent="0.25">
      <c r="A50">
        <v>1789</v>
      </c>
      <c r="B50" t="s">
        <v>71</v>
      </c>
      <c r="C50" t="s">
        <v>72</v>
      </c>
      <c r="D50" s="34">
        <v>116044.8</v>
      </c>
      <c r="E50">
        <v>1246268551</v>
      </c>
      <c r="F50" s="30">
        <v>46191</v>
      </c>
      <c r="G50" s="30"/>
      <c r="H50" t="s">
        <v>28</v>
      </c>
      <c r="I50" t="s">
        <v>29</v>
      </c>
      <c r="J50">
        <v>10945</v>
      </c>
      <c r="K50" s="30">
        <v>46101</v>
      </c>
      <c r="L50">
        <v>1010100</v>
      </c>
      <c r="M50" t="s">
        <v>35</v>
      </c>
      <c r="N50">
        <v>161</v>
      </c>
      <c r="O50" t="s">
        <v>161</v>
      </c>
      <c r="P50" t="s">
        <v>531</v>
      </c>
      <c r="Q50">
        <f t="shared" si="0"/>
        <v>-80</v>
      </c>
      <c r="R50" t="str">
        <f>_xlfn.XLOOKUP(P50,'Painel Additive'!$B:$B,'Painel Additive'!$B:$B,0)</f>
        <v>GRUPO MOSAIC FERTILIZANTES P K LTDA</v>
      </c>
      <c r="S50">
        <f t="shared" si="1"/>
        <v>90</v>
      </c>
    </row>
    <row r="51" spans="1:19" x14ac:dyDescent="0.25">
      <c r="A51">
        <v>1789</v>
      </c>
      <c r="B51" t="s">
        <v>71</v>
      </c>
      <c r="C51" t="s">
        <v>72</v>
      </c>
      <c r="D51" s="34">
        <v>115353.60000000001</v>
      </c>
      <c r="E51">
        <v>1246266246</v>
      </c>
      <c r="F51" s="30">
        <v>46174</v>
      </c>
      <c r="G51" s="30"/>
      <c r="H51" t="s">
        <v>28</v>
      </c>
      <c r="I51" t="s">
        <v>29</v>
      </c>
      <c r="J51">
        <v>10804</v>
      </c>
      <c r="K51" s="30">
        <v>46084</v>
      </c>
      <c r="L51">
        <v>1010100</v>
      </c>
      <c r="M51" t="s">
        <v>35</v>
      </c>
      <c r="N51">
        <v>161</v>
      </c>
      <c r="O51" t="s">
        <v>161</v>
      </c>
      <c r="P51" t="s">
        <v>531</v>
      </c>
      <c r="Q51">
        <f t="shared" si="0"/>
        <v>-63</v>
      </c>
      <c r="R51" t="str">
        <f>_xlfn.XLOOKUP(P51,'Painel Additive'!$B:$B,'Painel Additive'!$B:$B,0)</f>
        <v>GRUPO MOSAIC FERTILIZANTES P K LTDA</v>
      </c>
      <c r="S51">
        <f t="shared" si="1"/>
        <v>90</v>
      </c>
    </row>
    <row r="52" spans="1:19" x14ac:dyDescent="0.25">
      <c r="A52">
        <v>1789</v>
      </c>
      <c r="B52" t="s">
        <v>71</v>
      </c>
      <c r="C52" t="s">
        <v>72</v>
      </c>
      <c r="D52" s="34">
        <v>114048</v>
      </c>
      <c r="E52">
        <v>1246268138</v>
      </c>
      <c r="F52" s="30">
        <v>46188</v>
      </c>
      <c r="G52" s="30"/>
      <c r="H52" t="s">
        <v>28</v>
      </c>
      <c r="I52" t="s">
        <v>29</v>
      </c>
      <c r="J52">
        <v>10914</v>
      </c>
      <c r="K52" s="30">
        <v>46098</v>
      </c>
      <c r="L52">
        <v>1010100</v>
      </c>
      <c r="M52" t="s">
        <v>35</v>
      </c>
      <c r="N52">
        <v>161</v>
      </c>
      <c r="O52" t="s">
        <v>161</v>
      </c>
      <c r="P52" t="s">
        <v>531</v>
      </c>
      <c r="Q52">
        <f t="shared" si="0"/>
        <v>-77</v>
      </c>
      <c r="R52" t="str">
        <f>_xlfn.XLOOKUP(P52,'Painel Additive'!$B:$B,'Painel Additive'!$B:$B,0)</f>
        <v>GRUPO MOSAIC FERTILIZANTES P K LTDA</v>
      </c>
      <c r="S52">
        <f t="shared" si="1"/>
        <v>90</v>
      </c>
    </row>
    <row r="53" spans="1:19" x14ac:dyDescent="0.25">
      <c r="A53">
        <v>1789</v>
      </c>
      <c r="B53" t="s">
        <v>71</v>
      </c>
      <c r="C53" t="s">
        <v>72</v>
      </c>
      <c r="D53" s="34">
        <v>115468.8</v>
      </c>
      <c r="E53">
        <v>1246267594</v>
      </c>
      <c r="F53" s="30">
        <v>46183</v>
      </c>
      <c r="G53" s="30"/>
      <c r="H53" t="s">
        <v>28</v>
      </c>
      <c r="I53" t="s">
        <v>29</v>
      </c>
      <c r="J53">
        <v>10873</v>
      </c>
      <c r="K53" s="30">
        <v>46093</v>
      </c>
      <c r="L53">
        <v>1010100</v>
      </c>
      <c r="M53" t="s">
        <v>35</v>
      </c>
      <c r="N53">
        <v>161</v>
      </c>
      <c r="O53" t="s">
        <v>161</v>
      </c>
      <c r="P53" t="s">
        <v>531</v>
      </c>
      <c r="Q53">
        <f t="shared" si="0"/>
        <v>-72</v>
      </c>
      <c r="R53" t="str">
        <f>_xlfn.XLOOKUP(P53,'Painel Additive'!$B:$B,'Painel Additive'!$B:$B,0)</f>
        <v>GRUPO MOSAIC FERTILIZANTES P K LTDA</v>
      </c>
      <c r="S53">
        <f t="shared" si="1"/>
        <v>90</v>
      </c>
    </row>
    <row r="54" spans="1:19" x14ac:dyDescent="0.25">
      <c r="A54">
        <v>97</v>
      </c>
      <c r="B54" t="s">
        <v>334</v>
      </c>
      <c r="C54" t="s">
        <v>873</v>
      </c>
      <c r="D54" s="34">
        <v>429240</v>
      </c>
      <c r="E54">
        <v>1246266666</v>
      </c>
      <c r="F54" s="30">
        <v>46114</v>
      </c>
      <c r="G54" s="30">
        <v>46114</v>
      </c>
      <c r="H54" t="s">
        <v>28</v>
      </c>
      <c r="I54" t="s">
        <v>29</v>
      </c>
      <c r="J54">
        <v>2794</v>
      </c>
      <c r="K54" s="30">
        <v>46086</v>
      </c>
      <c r="L54">
        <v>1010100</v>
      </c>
      <c r="M54" t="s">
        <v>35</v>
      </c>
      <c r="N54">
        <v>161</v>
      </c>
      <c r="O54" t="s">
        <v>161</v>
      </c>
      <c r="P54" t="s">
        <v>577</v>
      </c>
      <c r="Q54">
        <f t="shared" si="0"/>
        <v>-3</v>
      </c>
      <c r="R54" t="str">
        <f>_xlfn.XLOOKUP(P54,'Painel Additive'!$B:$B,'Painel Additive'!$B:$B,0)</f>
        <v>FECOAGRO FEDERACAO DAS COOPERATIVAS</v>
      </c>
      <c r="S54">
        <f t="shared" si="1"/>
        <v>28</v>
      </c>
    </row>
    <row r="55" spans="1:19" x14ac:dyDescent="0.25">
      <c r="A55">
        <v>97</v>
      </c>
      <c r="B55" t="s">
        <v>334</v>
      </c>
      <c r="C55" t="s">
        <v>873</v>
      </c>
      <c r="D55" s="34">
        <v>432176.83</v>
      </c>
      <c r="E55">
        <v>1246269781</v>
      </c>
      <c r="F55" s="30">
        <v>46140</v>
      </c>
      <c r="G55" s="30"/>
      <c r="H55" t="s">
        <v>28</v>
      </c>
      <c r="I55" t="s">
        <v>29</v>
      </c>
      <c r="J55">
        <v>2859</v>
      </c>
      <c r="K55" s="30">
        <v>46112</v>
      </c>
      <c r="L55">
        <v>1010100</v>
      </c>
      <c r="M55" t="s">
        <v>35</v>
      </c>
      <c r="N55">
        <v>161</v>
      </c>
      <c r="O55" t="s">
        <v>161</v>
      </c>
      <c r="P55" t="s">
        <v>577</v>
      </c>
      <c r="Q55">
        <f t="shared" si="0"/>
        <v>-29</v>
      </c>
      <c r="R55" t="str">
        <f>_xlfn.XLOOKUP(P55,'Painel Additive'!$B:$B,'Painel Additive'!$B:$B,0)</f>
        <v>FECOAGRO FEDERACAO DAS COOPERATIVAS</v>
      </c>
      <c r="S55">
        <f t="shared" si="1"/>
        <v>28</v>
      </c>
    </row>
    <row r="56" spans="1:19" x14ac:dyDescent="0.25">
      <c r="A56">
        <v>97</v>
      </c>
      <c r="B56" t="s">
        <v>334</v>
      </c>
      <c r="C56" t="s">
        <v>873</v>
      </c>
      <c r="D56" s="34">
        <v>111790</v>
      </c>
      <c r="E56">
        <v>1246269794</v>
      </c>
      <c r="F56" s="30">
        <v>46140</v>
      </c>
      <c r="G56" s="30"/>
      <c r="H56" t="s">
        <v>28</v>
      </c>
      <c r="I56" t="s">
        <v>29</v>
      </c>
      <c r="J56">
        <v>11018</v>
      </c>
      <c r="K56" s="30">
        <v>46112</v>
      </c>
      <c r="L56">
        <v>1010100</v>
      </c>
      <c r="M56" t="s">
        <v>35</v>
      </c>
      <c r="N56">
        <v>161</v>
      </c>
      <c r="O56" t="s">
        <v>161</v>
      </c>
      <c r="P56" t="s">
        <v>577</v>
      </c>
      <c r="Q56">
        <f t="shared" si="0"/>
        <v>-29</v>
      </c>
      <c r="R56" t="str">
        <f>_xlfn.XLOOKUP(P56,'Painel Additive'!$B:$B,'Painel Additive'!$B:$B,0)</f>
        <v>FECOAGRO FEDERACAO DAS COOPERATIVAS</v>
      </c>
      <c r="S56">
        <f t="shared" si="1"/>
        <v>28</v>
      </c>
    </row>
    <row r="57" spans="1:19" x14ac:dyDescent="0.25">
      <c r="A57">
        <v>43</v>
      </c>
      <c r="B57" t="s">
        <v>794</v>
      </c>
      <c r="C57" t="s">
        <v>37</v>
      </c>
      <c r="D57" s="34">
        <v>71384.399999999994</v>
      </c>
      <c r="E57">
        <v>1246268568</v>
      </c>
      <c r="F57" s="30">
        <v>46129</v>
      </c>
      <c r="G57" s="30"/>
      <c r="H57" t="s">
        <v>28</v>
      </c>
      <c r="I57" t="s">
        <v>29</v>
      </c>
      <c r="J57">
        <v>10949</v>
      </c>
      <c r="K57" s="30">
        <v>46101</v>
      </c>
      <c r="L57">
        <v>1010100</v>
      </c>
      <c r="M57" t="s">
        <v>35</v>
      </c>
      <c r="N57">
        <v>161</v>
      </c>
      <c r="O57" t="s">
        <v>161</v>
      </c>
      <c r="P57" t="s">
        <v>416</v>
      </c>
      <c r="Q57">
        <f t="shared" si="0"/>
        <v>-18</v>
      </c>
      <c r="R57" t="str">
        <f>_xlfn.XLOOKUP(P57,'Painel Additive'!$B:$B,'Painel Additive'!$B:$B,0)</f>
        <v>GRUPO CIBRA</v>
      </c>
      <c r="S57">
        <f t="shared" si="1"/>
        <v>28</v>
      </c>
    </row>
    <row r="58" spans="1:19" x14ac:dyDescent="0.25">
      <c r="A58">
        <v>43</v>
      </c>
      <c r="B58" t="s">
        <v>794</v>
      </c>
      <c r="C58" t="s">
        <v>37</v>
      </c>
      <c r="D58" s="34">
        <v>71123.7</v>
      </c>
      <c r="E58">
        <v>1246268230</v>
      </c>
      <c r="F58" s="30">
        <v>46127</v>
      </c>
      <c r="G58" s="30"/>
      <c r="H58" t="s">
        <v>28</v>
      </c>
      <c r="I58" t="s">
        <v>29</v>
      </c>
      <c r="J58">
        <v>10916</v>
      </c>
      <c r="K58" s="30">
        <v>46099</v>
      </c>
      <c r="L58">
        <v>1010100</v>
      </c>
      <c r="M58" t="s">
        <v>35</v>
      </c>
      <c r="N58">
        <v>161</v>
      </c>
      <c r="O58" t="s">
        <v>161</v>
      </c>
      <c r="P58" t="s">
        <v>416</v>
      </c>
      <c r="Q58">
        <f t="shared" si="0"/>
        <v>-16</v>
      </c>
      <c r="R58" t="str">
        <f>_xlfn.XLOOKUP(P58,'Painel Additive'!$B:$B,'Painel Additive'!$B:$B,0)</f>
        <v>GRUPO CIBRA</v>
      </c>
      <c r="S58">
        <f t="shared" si="1"/>
        <v>28</v>
      </c>
    </row>
    <row r="59" spans="1:19" x14ac:dyDescent="0.25">
      <c r="A59">
        <v>1936</v>
      </c>
      <c r="B59" t="s">
        <v>74</v>
      </c>
      <c r="C59" t="s">
        <v>75</v>
      </c>
      <c r="D59" s="34">
        <v>39900</v>
      </c>
      <c r="E59">
        <v>1246267723</v>
      </c>
      <c r="F59" s="30">
        <v>46122</v>
      </c>
      <c r="G59" s="30"/>
      <c r="H59" t="s">
        <v>28</v>
      </c>
      <c r="I59" t="s">
        <v>29</v>
      </c>
      <c r="J59">
        <v>10879</v>
      </c>
      <c r="K59" s="30">
        <v>46094</v>
      </c>
      <c r="L59">
        <v>1010100</v>
      </c>
      <c r="M59" t="s">
        <v>35</v>
      </c>
      <c r="N59">
        <v>56</v>
      </c>
      <c r="O59" t="s">
        <v>162</v>
      </c>
      <c r="P59" t="s">
        <v>416</v>
      </c>
      <c r="Q59">
        <f t="shared" si="0"/>
        <v>-11</v>
      </c>
      <c r="R59" t="str">
        <f>_xlfn.XLOOKUP(P59,'Painel Additive'!$B:$B,'Painel Additive'!$B:$B,0)</f>
        <v>GRUPO CIBRA</v>
      </c>
      <c r="S59">
        <f t="shared" si="1"/>
        <v>28</v>
      </c>
    </row>
    <row r="60" spans="1:19" x14ac:dyDescent="0.25">
      <c r="A60">
        <v>1936</v>
      </c>
      <c r="B60" t="s">
        <v>74</v>
      </c>
      <c r="C60" t="s">
        <v>75</v>
      </c>
      <c r="D60" s="34">
        <v>299800</v>
      </c>
      <c r="E60">
        <v>1246269445</v>
      </c>
      <c r="F60" s="30">
        <v>46136</v>
      </c>
      <c r="G60" s="30"/>
      <c r="H60" t="s">
        <v>28</v>
      </c>
      <c r="I60" t="s">
        <v>29</v>
      </c>
      <c r="J60">
        <v>2849</v>
      </c>
      <c r="K60" s="30">
        <v>46108</v>
      </c>
      <c r="L60">
        <v>1010100</v>
      </c>
      <c r="M60" t="s">
        <v>35</v>
      </c>
      <c r="N60">
        <v>56</v>
      </c>
      <c r="O60" t="s">
        <v>162</v>
      </c>
      <c r="P60" t="s">
        <v>416</v>
      </c>
      <c r="Q60">
        <f t="shared" si="0"/>
        <v>-25</v>
      </c>
      <c r="R60" t="str">
        <f>_xlfn.XLOOKUP(P60,'Painel Additive'!$B:$B,'Painel Additive'!$B:$B,0)</f>
        <v>GRUPO CIBRA</v>
      </c>
      <c r="S60">
        <f t="shared" si="1"/>
        <v>28</v>
      </c>
    </row>
    <row r="61" spans="1:19" x14ac:dyDescent="0.25">
      <c r="A61">
        <v>33</v>
      </c>
      <c r="B61" t="s">
        <v>909</v>
      </c>
      <c r="C61" t="s">
        <v>675</v>
      </c>
      <c r="D61" s="34">
        <v>98301.6</v>
      </c>
      <c r="E61">
        <v>1246268989</v>
      </c>
      <c r="F61" s="30">
        <v>46136</v>
      </c>
      <c r="G61" s="30"/>
      <c r="H61" t="s">
        <v>28</v>
      </c>
      <c r="I61" t="s">
        <v>29</v>
      </c>
      <c r="J61">
        <v>10974</v>
      </c>
      <c r="K61" s="30">
        <v>46106</v>
      </c>
      <c r="L61">
        <v>1010100</v>
      </c>
      <c r="M61" t="s">
        <v>35</v>
      </c>
      <c r="N61">
        <v>161</v>
      </c>
      <c r="O61" t="s">
        <v>161</v>
      </c>
      <c r="P61" t="s">
        <v>530</v>
      </c>
      <c r="Q61">
        <f t="shared" si="0"/>
        <v>-25</v>
      </c>
      <c r="R61" t="str">
        <f>_xlfn.XLOOKUP(P61,'Painel Additive'!$B:$B,'Painel Additive'!$B:$B,0)</f>
        <v>GRUPO HERINGER</v>
      </c>
      <c r="S61">
        <f t="shared" si="1"/>
        <v>30</v>
      </c>
    </row>
    <row r="62" spans="1:19" x14ac:dyDescent="0.25">
      <c r="A62">
        <v>214</v>
      </c>
      <c r="B62" t="s">
        <v>165</v>
      </c>
      <c r="C62" t="s">
        <v>841</v>
      </c>
      <c r="D62" s="34">
        <v>92978.1</v>
      </c>
      <c r="E62">
        <v>1246267981</v>
      </c>
      <c r="F62" s="30">
        <v>46126</v>
      </c>
      <c r="G62" s="30"/>
      <c r="H62" t="s">
        <v>28</v>
      </c>
      <c r="I62" t="s">
        <v>29</v>
      </c>
      <c r="J62">
        <v>10906</v>
      </c>
      <c r="K62" s="30">
        <v>46098</v>
      </c>
      <c r="L62">
        <v>1010100</v>
      </c>
      <c r="M62" t="s">
        <v>35</v>
      </c>
      <c r="N62">
        <v>161</v>
      </c>
      <c r="O62" t="s">
        <v>161</v>
      </c>
      <c r="P62" t="s">
        <v>417</v>
      </c>
      <c r="Q62">
        <f t="shared" si="0"/>
        <v>-15</v>
      </c>
      <c r="R62" t="str">
        <f>_xlfn.XLOOKUP(P62,'Painel Additive'!$B:$B,'Painel Additive'!$B:$B,0)</f>
        <v>GRUPO UNIFERTIL</v>
      </c>
      <c r="S62">
        <f t="shared" si="1"/>
        <v>28</v>
      </c>
    </row>
    <row r="63" spans="1:19" x14ac:dyDescent="0.25">
      <c r="A63">
        <v>2</v>
      </c>
      <c r="B63" t="s">
        <v>34</v>
      </c>
      <c r="C63" t="s">
        <v>838</v>
      </c>
      <c r="D63" s="34">
        <v>2340</v>
      </c>
      <c r="E63">
        <v>1246268280</v>
      </c>
      <c r="F63" s="30">
        <v>46127</v>
      </c>
      <c r="G63" s="30">
        <v>46113</v>
      </c>
      <c r="H63" t="s">
        <v>839</v>
      </c>
      <c r="I63" t="s">
        <v>840</v>
      </c>
      <c r="J63">
        <v>2825</v>
      </c>
      <c r="K63" s="30">
        <v>46099</v>
      </c>
      <c r="L63">
        <v>1010100</v>
      </c>
      <c r="M63" t="s">
        <v>35</v>
      </c>
      <c r="N63">
        <v>199</v>
      </c>
      <c r="O63" t="s">
        <v>887</v>
      </c>
      <c r="P63" t="s">
        <v>418</v>
      </c>
      <c r="Q63">
        <f t="shared" si="0"/>
        <v>-16</v>
      </c>
      <c r="R63" t="str">
        <f>_xlfn.XLOOKUP(P63,'Painel Additive'!$B:$B,'Painel Additive'!$B:$B,0)</f>
        <v>GRUPO CARGILL</v>
      </c>
      <c r="S63">
        <f t="shared" si="1"/>
        <v>28</v>
      </c>
    </row>
    <row r="64" spans="1:19" x14ac:dyDescent="0.25">
      <c r="A64">
        <v>183</v>
      </c>
      <c r="B64" t="s">
        <v>41</v>
      </c>
      <c r="C64" t="s">
        <v>42</v>
      </c>
      <c r="D64" s="34">
        <v>4231.96</v>
      </c>
      <c r="E64">
        <v>1246014155</v>
      </c>
      <c r="F64" s="30">
        <v>47847</v>
      </c>
      <c r="G64" s="30"/>
      <c r="H64" t="s">
        <v>28</v>
      </c>
      <c r="I64" t="s">
        <v>29</v>
      </c>
      <c r="J64">
        <v>8361</v>
      </c>
      <c r="K64" s="30">
        <v>43384</v>
      </c>
      <c r="L64">
        <v>1010100</v>
      </c>
      <c r="M64" t="s">
        <v>35</v>
      </c>
      <c r="N64">
        <v>161</v>
      </c>
      <c r="O64" t="s">
        <v>161</v>
      </c>
      <c r="P64" t="s">
        <v>530</v>
      </c>
      <c r="Q64">
        <f t="shared" si="0"/>
        <v>-1736</v>
      </c>
      <c r="R64" t="str">
        <f>_xlfn.XLOOKUP(P64,'Painel Additive'!$B:$B,'Painel Additive'!$B:$B,0)</f>
        <v>GRUPO HERINGER</v>
      </c>
      <c r="S64">
        <f t="shared" si="1"/>
        <v>4463</v>
      </c>
    </row>
    <row r="65" spans="1:19" x14ac:dyDescent="0.25">
      <c r="A65">
        <v>183</v>
      </c>
      <c r="B65" t="s">
        <v>41</v>
      </c>
      <c r="C65" t="s">
        <v>42</v>
      </c>
      <c r="D65" s="34">
        <v>4045.01</v>
      </c>
      <c r="E65">
        <v>1246014156</v>
      </c>
      <c r="F65" s="30">
        <v>48212</v>
      </c>
      <c r="G65" s="30"/>
      <c r="H65" t="s">
        <v>28</v>
      </c>
      <c r="I65" t="s">
        <v>29</v>
      </c>
      <c r="J65">
        <v>8361</v>
      </c>
      <c r="K65" s="30">
        <v>43384</v>
      </c>
      <c r="L65">
        <v>1010100</v>
      </c>
      <c r="M65" t="s">
        <v>35</v>
      </c>
      <c r="N65">
        <v>161</v>
      </c>
      <c r="O65" t="s">
        <v>161</v>
      </c>
      <c r="P65" t="s">
        <v>530</v>
      </c>
      <c r="Q65">
        <f t="shared" si="0"/>
        <v>-2101</v>
      </c>
      <c r="R65" t="str">
        <f>_xlfn.XLOOKUP(P65,'Painel Additive'!$B:$B,'Painel Additive'!$B:$B,0)</f>
        <v>GRUPO HERINGER</v>
      </c>
      <c r="S65">
        <f t="shared" si="1"/>
        <v>4828</v>
      </c>
    </row>
    <row r="66" spans="1:19" x14ac:dyDescent="0.25">
      <c r="A66">
        <v>183</v>
      </c>
      <c r="B66" t="s">
        <v>41</v>
      </c>
      <c r="C66" t="s">
        <v>42</v>
      </c>
      <c r="D66" s="34">
        <v>4339.6000000000004</v>
      </c>
      <c r="E66">
        <v>1246014157</v>
      </c>
      <c r="F66" s="30">
        <v>48578</v>
      </c>
      <c r="G66" s="30"/>
      <c r="H66" t="s">
        <v>28</v>
      </c>
      <c r="I66" t="s">
        <v>29</v>
      </c>
      <c r="J66">
        <v>8361</v>
      </c>
      <c r="K66" s="30">
        <v>43384</v>
      </c>
      <c r="L66">
        <v>1010100</v>
      </c>
      <c r="M66" t="s">
        <v>35</v>
      </c>
      <c r="N66">
        <v>161</v>
      </c>
      <c r="O66" t="s">
        <v>161</v>
      </c>
      <c r="P66" t="s">
        <v>530</v>
      </c>
      <c r="Q66">
        <f t="shared" si="0"/>
        <v>-2467</v>
      </c>
      <c r="R66" t="str">
        <f>_xlfn.XLOOKUP(P66,'Painel Additive'!$B:$B,'Painel Additive'!$B:$B,0)</f>
        <v>GRUPO HERINGER</v>
      </c>
      <c r="S66">
        <f t="shared" si="1"/>
        <v>5194</v>
      </c>
    </row>
    <row r="67" spans="1:19" x14ac:dyDescent="0.25">
      <c r="A67">
        <v>183</v>
      </c>
      <c r="B67" t="s">
        <v>41</v>
      </c>
      <c r="C67" t="s">
        <v>42</v>
      </c>
      <c r="D67" s="34">
        <v>7512.16</v>
      </c>
      <c r="E67">
        <v>1246014158</v>
      </c>
      <c r="F67" s="30">
        <v>48943</v>
      </c>
      <c r="G67" s="30"/>
      <c r="H67" t="s">
        <v>28</v>
      </c>
      <c r="I67" t="s">
        <v>29</v>
      </c>
      <c r="J67">
        <v>8361</v>
      </c>
      <c r="K67" s="30">
        <v>43384</v>
      </c>
      <c r="L67">
        <v>1010100</v>
      </c>
      <c r="M67" t="s">
        <v>35</v>
      </c>
      <c r="N67">
        <v>161</v>
      </c>
      <c r="O67" t="s">
        <v>161</v>
      </c>
      <c r="P67" t="s">
        <v>530</v>
      </c>
      <c r="Q67">
        <f t="shared" ref="Q67:Q130" si="2">$R$1-F67</f>
        <v>-2832</v>
      </c>
      <c r="R67" t="str">
        <f>_xlfn.XLOOKUP(P67,'Painel Additive'!$B:$B,'Painel Additive'!$B:$B,0)</f>
        <v>GRUPO HERINGER</v>
      </c>
      <c r="S67">
        <f t="shared" ref="S67:S130" si="3">F67-K67</f>
        <v>5559</v>
      </c>
    </row>
    <row r="68" spans="1:19" x14ac:dyDescent="0.25">
      <c r="A68">
        <v>183</v>
      </c>
      <c r="B68" t="s">
        <v>41</v>
      </c>
      <c r="C68" t="s">
        <v>42</v>
      </c>
      <c r="D68" s="34">
        <v>30552.86</v>
      </c>
      <c r="E68">
        <v>1246014159</v>
      </c>
      <c r="F68" s="30">
        <v>49308</v>
      </c>
      <c r="G68" s="30"/>
      <c r="H68" t="s">
        <v>28</v>
      </c>
      <c r="I68" t="s">
        <v>29</v>
      </c>
      <c r="J68">
        <v>8361</v>
      </c>
      <c r="K68" s="30">
        <v>43384</v>
      </c>
      <c r="L68">
        <v>1010100</v>
      </c>
      <c r="M68" t="s">
        <v>35</v>
      </c>
      <c r="N68">
        <v>161</v>
      </c>
      <c r="O68" t="s">
        <v>161</v>
      </c>
      <c r="P68" t="s">
        <v>530</v>
      </c>
      <c r="Q68">
        <f t="shared" si="2"/>
        <v>-3197</v>
      </c>
      <c r="R68" t="str">
        <f>_xlfn.XLOOKUP(P68,'Painel Additive'!$B:$B,'Painel Additive'!$B:$B,0)</f>
        <v>GRUPO HERINGER</v>
      </c>
      <c r="S68">
        <f t="shared" si="3"/>
        <v>5924</v>
      </c>
    </row>
    <row r="69" spans="1:19" x14ac:dyDescent="0.25">
      <c r="A69">
        <v>183</v>
      </c>
      <c r="B69" t="s">
        <v>41</v>
      </c>
      <c r="C69" t="s">
        <v>42</v>
      </c>
      <c r="D69" s="34">
        <v>1512.63</v>
      </c>
      <c r="E69">
        <v>1246014161</v>
      </c>
      <c r="F69" s="30">
        <v>50039</v>
      </c>
      <c r="G69" s="30"/>
      <c r="H69" t="s">
        <v>28</v>
      </c>
      <c r="I69" t="s">
        <v>29</v>
      </c>
      <c r="J69">
        <v>8361</v>
      </c>
      <c r="K69" s="30">
        <v>43384</v>
      </c>
      <c r="L69">
        <v>1010100</v>
      </c>
      <c r="M69" t="s">
        <v>35</v>
      </c>
      <c r="N69">
        <v>161</v>
      </c>
      <c r="O69" t="s">
        <v>161</v>
      </c>
      <c r="P69" t="s">
        <v>530</v>
      </c>
      <c r="Q69">
        <f t="shared" si="2"/>
        <v>-3928</v>
      </c>
      <c r="R69" t="str">
        <f>_xlfn.XLOOKUP(P69,'Painel Additive'!$B:$B,'Painel Additive'!$B:$B,0)</f>
        <v>GRUPO HERINGER</v>
      </c>
      <c r="S69">
        <f t="shared" si="3"/>
        <v>6655</v>
      </c>
    </row>
    <row r="70" spans="1:19" x14ac:dyDescent="0.25">
      <c r="A70">
        <v>183</v>
      </c>
      <c r="B70" t="s">
        <v>41</v>
      </c>
      <c r="C70" t="s">
        <v>42</v>
      </c>
      <c r="D70" s="34">
        <v>1982.85</v>
      </c>
      <c r="E70">
        <v>1246014162</v>
      </c>
      <c r="F70" s="30">
        <v>50404</v>
      </c>
      <c r="G70" s="30"/>
      <c r="H70" t="s">
        <v>28</v>
      </c>
      <c r="I70" t="s">
        <v>29</v>
      </c>
      <c r="J70">
        <v>8361</v>
      </c>
      <c r="K70" s="30">
        <v>43384</v>
      </c>
      <c r="L70">
        <v>1010100</v>
      </c>
      <c r="M70" t="s">
        <v>35</v>
      </c>
      <c r="N70">
        <v>161</v>
      </c>
      <c r="O70" t="s">
        <v>161</v>
      </c>
      <c r="P70" t="s">
        <v>530</v>
      </c>
      <c r="Q70">
        <f t="shared" si="2"/>
        <v>-4293</v>
      </c>
      <c r="R70" t="str">
        <f>_xlfn.XLOOKUP(P70,'Painel Additive'!$B:$B,'Painel Additive'!$B:$B,0)</f>
        <v>GRUPO HERINGER</v>
      </c>
      <c r="S70">
        <f t="shared" si="3"/>
        <v>7020</v>
      </c>
    </row>
    <row r="71" spans="1:19" x14ac:dyDescent="0.25">
      <c r="A71">
        <v>183</v>
      </c>
      <c r="B71" t="s">
        <v>41</v>
      </c>
      <c r="C71" t="s">
        <v>42</v>
      </c>
      <c r="D71" s="34">
        <v>2549.38</v>
      </c>
      <c r="E71">
        <v>1246014163</v>
      </c>
      <c r="F71" s="30">
        <v>50769</v>
      </c>
      <c r="G71" s="30"/>
      <c r="H71" t="s">
        <v>28</v>
      </c>
      <c r="I71" t="s">
        <v>29</v>
      </c>
      <c r="J71">
        <v>8361</v>
      </c>
      <c r="K71" s="30">
        <v>43384</v>
      </c>
      <c r="L71">
        <v>1010100</v>
      </c>
      <c r="M71" t="s">
        <v>35</v>
      </c>
      <c r="N71">
        <v>161</v>
      </c>
      <c r="O71" t="s">
        <v>161</v>
      </c>
      <c r="P71" t="s">
        <v>530</v>
      </c>
      <c r="Q71">
        <f t="shared" si="2"/>
        <v>-4658</v>
      </c>
      <c r="R71" t="str">
        <f>_xlfn.XLOOKUP(P71,'Painel Additive'!$B:$B,'Painel Additive'!$B:$B,0)</f>
        <v>GRUPO HERINGER</v>
      </c>
      <c r="S71">
        <f t="shared" si="3"/>
        <v>7385</v>
      </c>
    </row>
    <row r="72" spans="1:19" x14ac:dyDescent="0.25">
      <c r="A72">
        <v>183</v>
      </c>
      <c r="B72" t="s">
        <v>41</v>
      </c>
      <c r="C72" t="s">
        <v>42</v>
      </c>
      <c r="D72" s="34">
        <v>5546.31</v>
      </c>
      <c r="E72">
        <v>1246014165</v>
      </c>
      <c r="F72" s="30">
        <v>51500</v>
      </c>
      <c r="G72" s="30"/>
      <c r="H72" t="s">
        <v>28</v>
      </c>
      <c r="I72" t="s">
        <v>29</v>
      </c>
      <c r="J72">
        <v>8361</v>
      </c>
      <c r="K72" s="30">
        <v>43384</v>
      </c>
      <c r="L72">
        <v>1010100</v>
      </c>
      <c r="M72" t="s">
        <v>35</v>
      </c>
      <c r="N72">
        <v>161</v>
      </c>
      <c r="O72" t="s">
        <v>161</v>
      </c>
      <c r="P72" t="s">
        <v>530</v>
      </c>
      <c r="Q72">
        <f t="shared" si="2"/>
        <v>-5389</v>
      </c>
      <c r="R72" t="str">
        <f>_xlfn.XLOOKUP(P72,'Painel Additive'!$B:$B,'Painel Additive'!$B:$B,0)</f>
        <v>GRUPO HERINGER</v>
      </c>
      <c r="S72">
        <f t="shared" si="3"/>
        <v>8116</v>
      </c>
    </row>
    <row r="73" spans="1:19" x14ac:dyDescent="0.25">
      <c r="A73">
        <v>183</v>
      </c>
      <c r="B73" t="s">
        <v>41</v>
      </c>
      <c r="C73" t="s">
        <v>42</v>
      </c>
      <c r="D73" s="34">
        <v>5546.31</v>
      </c>
      <c r="E73">
        <v>1246014166</v>
      </c>
      <c r="F73" s="30">
        <v>51865</v>
      </c>
      <c r="G73" s="30"/>
      <c r="H73" t="s">
        <v>28</v>
      </c>
      <c r="I73" t="s">
        <v>29</v>
      </c>
      <c r="J73">
        <v>8361</v>
      </c>
      <c r="K73" s="30">
        <v>43384</v>
      </c>
      <c r="L73">
        <v>1010100</v>
      </c>
      <c r="M73" t="s">
        <v>35</v>
      </c>
      <c r="N73">
        <v>161</v>
      </c>
      <c r="O73" t="s">
        <v>161</v>
      </c>
      <c r="P73" t="s">
        <v>530</v>
      </c>
      <c r="Q73">
        <f t="shared" si="2"/>
        <v>-5754</v>
      </c>
      <c r="R73" t="str">
        <f>_xlfn.XLOOKUP(P73,'Painel Additive'!$B:$B,'Painel Additive'!$B:$B,0)</f>
        <v>GRUPO HERINGER</v>
      </c>
      <c r="S73">
        <f t="shared" si="3"/>
        <v>8481</v>
      </c>
    </row>
    <row r="74" spans="1:19" x14ac:dyDescent="0.25">
      <c r="A74">
        <v>183</v>
      </c>
      <c r="B74" t="s">
        <v>41</v>
      </c>
      <c r="C74" t="s">
        <v>42</v>
      </c>
      <c r="D74" s="34">
        <v>5546.31</v>
      </c>
      <c r="E74">
        <v>1246014167</v>
      </c>
      <c r="F74" s="30">
        <v>52230</v>
      </c>
      <c r="G74" s="30"/>
      <c r="H74" t="s">
        <v>28</v>
      </c>
      <c r="I74" t="s">
        <v>29</v>
      </c>
      <c r="J74">
        <v>8361</v>
      </c>
      <c r="K74" s="30">
        <v>43384</v>
      </c>
      <c r="L74">
        <v>1010100</v>
      </c>
      <c r="M74" t="s">
        <v>35</v>
      </c>
      <c r="N74">
        <v>161</v>
      </c>
      <c r="O74" t="s">
        <v>161</v>
      </c>
      <c r="P74" t="s">
        <v>530</v>
      </c>
      <c r="Q74">
        <f t="shared" si="2"/>
        <v>-6119</v>
      </c>
      <c r="R74" t="str">
        <f>_xlfn.XLOOKUP(P74,'Painel Additive'!$B:$B,'Painel Additive'!$B:$B,0)</f>
        <v>GRUPO HERINGER</v>
      </c>
      <c r="S74">
        <f t="shared" si="3"/>
        <v>8846</v>
      </c>
    </row>
    <row r="75" spans="1:19" x14ac:dyDescent="0.25">
      <c r="A75">
        <v>183</v>
      </c>
      <c r="B75" t="s">
        <v>41</v>
      </c>
      <c r="C75" t="s">
        <v>42</v>
      </c>
      <c r="D75" s="34">
        <v>5546.31</v>
      </c>
      <c r="E75">
        <v>1246014168</v>
      </c>
      <c r="F75" s="30">
        <v>52595</v>
      </c>
      <c r="G75" s="30"/>
      <c r="H75" t="s">
        <v>28</v>
      </c>
      <c r="I75" t="s">
        <v>29</v>
      </c>
      <c r="J75">
        <v>8361</v>
      </c>
      <c r="K75" s="30">
        <v>43384</v>
      </c>
      <c r="L75">
        <v>1010100</v>
      </c>
      <c r="M75" t="s">
        <v>35</v>
      </c>
      <c r="N75">
        <v>161</v>
      </c>
      <c r="O75" t="s">
        <v>161</v>
      </c>
      <c r="P75" t="s">
        <v>530</v>
      </c>
      <c r="Q75">
        <f t="shared" si="2"/>
        <v>-6484</v>
      </c>
      <c r="R75" t="str">
        <f>_xlfn.XLOOKUP(P75,'Painel Additive'!$B:$B,'Painel Additive'!$B:$B,0)</f>
        <v>GRUPO HERINGER</v>
      </c>
      <c r="S75">
        <f t="shared" si="3"/>
        <v>9211</v>
      </c>
    </row>
    <row r="76" spans="1:19" x14ac:dyDescent="0.25">
      <c r="A76">
        <v>183</v>
      </c>
      <c r="B76" t="s">
        <v>41</v>
      </c>
      <c r="C76" t="s">
        <v>42</v>
      </c>
      <c r="D76" s="34">
        <v>5546.31</v>
      </c>
      <c r="E76">
        <v>1246014169</v>
      </c>
      <c r="F76" s="30">
        <v>52961</v>
      </c>
      <c r="G76" s="30"/>
      <c r="H76" t="s">
        <v>28</v>
      </c>
      <c r="I76" t="s">
        <v>29</v>
      </c>
      <c r="J76">
        <v>8361</v>
      </c>
      <c r="K76" s="30">
        <v>43384</v>
      </c>
      <c r="L76">
        <v>1010100</v>
      </c>
      <c r="M76" t="s">
        <v>35</v>
      </c>
      <c r="N76">
        <v>161</v>
      </c>
      <c r="O76" t="s">
        <v>161</v>
      </c>
      <c r="P76" t="s">
        <v>530</v>
      </c>
      <c r="Q76">
        <f t="shared" si="2"/>
        <v>-6850</v>
      </c>
      <c r="R76" t="str">
        <f>_xlfn.XLOOKUP(P76,'Painel Additive'!$B:$B,'Painel Additive'!$B:$B,0)</f>
        <v>GRUPO HERINGER</v>
      </c>
      <c r="S76">
        <f t="shared" si="3"/>
        <v>9577</v>
      </c>
    </row>
    <row r="77" spans="1:19" x14ac:dyDescent="0.25">
      <c r="A77">
        <v>183</v>
      </c>
      <c r="B77" t="s">
        <v>41</v>
      </c>
      <c r="C77" t="s">
        <v>42</v>
      </c>
      <c r="D77" s="34">
        <v>5568.96</v>
      </c>
      <c r="E77">
        <v>1246014170</v>
      </c>
      <c r="F77" s="30">
        <v>53326</v>
      </c>
      <c r="G77" s="30"/>
      <c r="H77" t="s">
        <v>28</v>
      </c>
      <c r="I77" t="s">
        <v>29</v>
      </c>
      <c r="J77">
        <v>8361</v>
      </c>
      <c r="K77" s="30">
        <v>43384</v>
      </c>
      <c r="L77">
        <v>1010100</v>
      </c>
      <c r="M77" t="s">
        <v>35</v>
      </c>
      <c r="N77">
        <v>161</v>
      </c>
      <c r="O77" t="s">
        <v>161</v>
      </c>
      <c r="P77" t="s">
        <v>530</v>
      </c>
      <c r="Q77">
        <f t="shared" si="2"/>
        <v>-7215</v>
      </c>
      <c r="R77" t="str">
        <f>_xlfn.XLOOKUP(P77,'Painel Additive'!$B:$B,'Painel Additive'!$B:$B,0)</f>
        <v>GRUPO HERINGER</v>
      </c>
      <c r="S77">
        <f t="shared" si="3"/>
        <v>9942</v>
      </c>
    </row>
    <row r="78" spans="1:19" x14ac:dyDescent="0.25">
      <c r="A78">
        <v>183</v>
      </c>
      <c r="B78" t="s">
        <v>41</v>
      </c>
      <c r="C78" t="s">
        <v>42</v>
      </c>
      <c r="D78" s="34">
        <v>2487.06</v>
      </c>
      <c r="E78">
        <v>1246137877</v>
      </c>
      <c r="F78" s="30">
        <v>49673</v>
      </c>
      <c r="G78" s="30"/>
      <c r="H78" t="s">
        <v>28</v>
      </c>
      <c r="I78" t="s">
        <v>29</v>
      </c>
      <c r="J78">
        <v>8361</v>
      </c>
      <c r="K78" s="30">
        <v>43384</v>
      </c>
      <c r="L78">
        <v>1010100</v>
      </c>
      <c r="M78" t="s">
        <v>35</v>
      </c>
      <c r="N78">
        <v>161</v>
      </c>
      <c r="O78" t="s">
        <v>161</v>
      </c>
      <c r="P78" t="s">
        <v>530</v>
      </c>
      <c r="Q78">
        <f t="shared" si="2"/>
        <v>-3562</v>
      </c>
      <c r="R78" t="str">
        <f>_xlfn.XLOOKUP(P78,'Painel Additive'!$B:$B,'Painel Additive'!$B:$B,0)</f>
        <v>GRUPO HERINGER</v>
      </c>
      <c r="S78">
        <f t="shared" si="3"/>
        <v>6289</v>
      </c>
    </row>
    <row r="79" spans="1:19" x14ac:dyDescent="0.25">
      <c r="A79">
        <v>183</v>
      </c>
      <c r="B79" t="s">
        <v>41</v>
      </c>
      <c r="C79" t="s">
        <v>42</v>
      </c>
      <c r="D79" s="34">
        <v>2151.75</v>
      </c>
      <c r="E79">
        <v>1246265345</v>
      </c>
      <c r="F79" s="30">
        <v>47482</v>
      </c>
      <c r="G79" s="30"/>
      <c r="H79" t="s">
        <v>28</v>
      </c>
      <c r="I79" t="s">
        <v>29</v>
      </c>
      <c r="J79">
        <v>8361</v>
      </c>
      <c r="K79" s="30">
        <v>43384</v>
      </c>
      <c r="L79">
        <v>1010100</v>
      </c>
      <c r="M79" t="s">
        <v>35</v>
      </c>
      <c r="N79">
        <v>161</v>
      </c>
      <c r="O79" t="s">
        <v>161</v>
      </c>
      <c r="P79" t="s">
        <v>530</v>
      </c>
      <c r="Q79">
        <f t="shared" si="2"/>
        <v>-1371</v>
      </c>
      <c r="R79" t="str">
        <f>_xlfn.XLOOKUP(P79,'Painel Additive'!$B:$B,'Painel Additive'!$B:$B,0)</f>
        <v>GRUPO HERINGER</v>
      </c>
      <c r="S79">
        <f t="shared" si="3"/>
        <v>4098</v>
      </c>
    </row>
    <row r="80" spans="1:19" x14ac:dyDescent="0.25">
      <c r="A80">
        <v>183</v>
      </c>
      <c r="B80" t="s">
        <v>41</v>
      </c>
      <c r="C80" t="s">
        <v>42</v>
      </c>
      <c r="D80" s="34">
        <v>2104.2399999999998</v>
      </c>
      <c r="E80">
        <v>1246233818</v>
      </c>
      <c r="F80" s="30">
        <v>51134</v>
      </c>
      <c r="G80" s="30"/>
      <c r="H80" t="s">
        <v>28</v>
      </c>
      <c r="I80" t="s">
        <v>29</v>
      </c>
      <c r="J80">
        <v>8361</v>
      </c>
      <c r="K80" s="30">
        <v>43384</v>
      </c>
      <c r="L80">
        <v>1010100</v>
      </c>
      <c r="M80" t="s">
        <v>35</v>
      </c>
      <c r="N80">
        <v>161</v>
      </c>
      <c r="O80" t="s">
        <v>161</v>
      </c>
      <c r="P80" t="s">
        <v>530</v>
      </c>
      <c r="Q80">
        <f t="shared" si="2"/>
        <v>-5023</v>
      </c>
      <c r="R80" t="str">
        <f>_xlfn.XLOOKUP(P80,'Painel Additive'!$B:$B,'Painel Additive'!$B:$B,0)</f>
        <v>GRUPO HERINGER</v>
      </c>
      <c r="S80">
        <f t="shared" si="3"/>
        <v>7750</v>
      </c>
    </row>
    <row r="81" spans="1:19" x14ac:dyDescent="0.25">
      <c r="A81">
        <v>1792</v>
      </c>
      <c r="B81" t="s">
        <v>829</v>
      </c>
      <c r="C81" t="s">
        <v>73</v>
      </c>
      <c r="D81" s="34">
        <v>118553.1</v>
      </c>
      <c r="E81">
        <v>1246265418</v>
      </c>
      <c r="F81" s="30">
        <v>46169</v>
      </c>
      <c r="G81" s="30"/>
      <c r="H81" t="s">
        <v>28</v>
      </c>
      <c r="I81" t="s">
        <v>29</v>
      </c>
      <c r="J81">
        <v>10776</v>
      </c>
      <c r="K81" s="30">
        <v>46079</v>
      </c>
      <c r="L81">
        <v>1010100</v>
      </c>
      <c r="M81" t="s">
        <v>35</v>
      </c>
      <c r="N81">
        <v>161</v>
      </c>
      <c r="O81" t="s">
        <v>161</v>
      </c>
      <c r="P81" t="s">
        <v>531</v>
      </c>
      <c r="Q81">
        <f t="shared" si="2"/>
        <v>-58</v>
      </c>
      <c r="R81" t="str">
        <f>_xlfn.XLOOKUP(P81,'Painel Additive'!$B:$B,'Painel Additive'!$B:$B,0)</f>
        <v>GRUPO MOSAIC FERTILIZANTES P K LTDA</v>
      </c>
      <c r="S81">
        <f t="shared" si="3"/>
        <v>90</v>
      </c>
    </row>
    <row r="82" spans="1:19" x14ac:dyDescent="0.25">
      <c r="A82">
        <v>1792</v>
      </c>
      <c r="B82" t="s">
        <v>829</v>
      </c>
      <c r="C82" t="s">
        <v>73</v>
      </c>
      <c r="D82" s="34">
        <v>116343</v>
      </c>
      <c r="E82">
        <v>1246267070</v>
      </c>
      <c r="F82" s="30">
        <v>46180</v>
      </c>
      <c r="G82" s="30"/>
      <c r="H82" t="s">
        <v>28</v>
      </c>
      <c r="I82" t="s">
        <v>29</v>
      </c>
      <c r="J82">
        <v>10846</v>
      </c>
      <c r="K82" s="30">
        <v>46090</v>
      </c>
      <c r="L82">
        <v>1010100</v>
      </c>
      <c r="M82" t="s">
        <v>35</v>
      </c>
      <c r="N82">
        <v>161</v>
      </c>
      <c r="O82" t="s">
        <v>161</v>
      </c>
      <c r="P82" t="s">
        <v>531</v>
      </c>
      <c r="Q82">
        <f t="shared" si="2"/>
        <v>-69</v>
      </c>
      <c r="R82" t="str">
        <f>_xlfn.XLOOKUP(P82,'Painel Additive'!$B:$B,'Painel Additive'!$B:$B,0)</f>
        <v>GRUPO MOSAIC FERTILIZANTES P K LTDA</v>
      </c>
      <c r="S82">
        <f t="shared" si="3"/>
        <v>90</v>
      </c>
    </row>
    <row r="83" spans="1:19" x14ac:dyDescent="0.25">
      <c r="A83">
        <v>1792</v>
      </c>
      <c r="B83" t="s">
        <v>829</v>
      </c>
      <c r="C83" t="s">
        <v>73</v>
      </c>
      <c r="D83" s="34">
        <v>116718.3</v>
      </c>
      <c r="E83">
        <v>1246263483</v>
      </c>
      <c r="F83" s="30">
        <v>46155</v>
      </c>
      <c r="G83" s="30"/>
      <c r="H83" t="s">
        <v>28</v>
      </c>
      <c r="I83" t="s">
        <v>29</v>
      </c>
      <c r="J83">
        <v>10682</v>
      </c>
      <c r="K83" s="30">
        <v>46065</v>
      </c>
      <c r="L83">
        <v>1010100</v>
      </c>
      <c r="M83" t="s">
        <v>35</v>
      </c>
      <c r="N83">
        <v>161</v>
      </c>
      <c r="O83" t="s">
        <v>161</v>
      </c>
      <c r="P83" t="s">
        <v>531</v>
      </c>
      <c r="Q83">
        <f t="shared" si="2"/>
        <v>-44</v>
      </c>
      <c r="R83" t="str">
        <f>_xlfn.XLOOKUP(P83,'Painel Additive'!$B:$B,'Painel Additive'!$B:$B,0)</f>
        <v>GRUPO MOSAIC FERTILIZANTES P K LTDA</v>
      </c>
      <c r="S83">
        <f t="shared" si="3"/>
        <v>90</v>
      </c>
    </row>
    <row r="84" spans="1:19" x14ac:dyDescent="0.25">
      <c r="A84">
        <v>1792</v>
      </c>
      <c r="B84" t="s">
        <v>829</v>
      </c>
      <c r="C84" t="s">
        <v>73</v>
      </c>
      <c r="D84" s="34">
        <v>118845</v>
      </c>
      <c r="E84">
        <v>1246269004</v>
      </c>
      <c r="F84" s="30">
        <v>46196</v>
      </c>
      <c r="G84" s="30"/>
      <c r="H84" t="s">
        <v>28</v>
      </c>
      <c r="I84" t="s">
        <v>29</v>
      </c>
      <c r="J84">
        <v>10975</v>
      </c>
      <c r="K84" s="30">
        <v>46106</v>
      </c>
      <c r="L84">
        <v>1010100</v>
      </c>
      <c r="M84" t="s">
        <v>35</v>
      </c>
      <c r="N84">
        <v>161</v>
      </c>
      <c r="O84" t="s">
        <v>161</v>
      </c>
      <c r="P84" t="s">
        <v>531</v>
      </c>
      <c r="Q84">
        <f t="shared" si="2"/>
        <v>-85</v>
      </c>
      <c r="R84" t="str">
        <f>_xlfn.XLOOKUP(P84,'Painel Additive'!$B:$B,'Painel Additive'!$B:$B,0)</f>
        <v>GRUPO MOSAIC FERTILIZANTES P K LTDA</v>
      </c>
      <c r="S84">
        <f t="shared" si="3"/>
        <v>90</v>
      </c>
    </row>
    <row r="85" spans="1:19" x14ac:dyDescent="0.25">
      <c r="A85">
        <v>1792</v>
      </c>
      <c r="B85" t="s">
        <v>829</v>
      </c>
      <c r="C85" t="s">
        <v>73</v>
      </c>
      <c r="D85" s="34">
        <v>118302.9</v>
      </c>
      <c r="E85">
        <v>1246266107</v>
      </c>
      <c r="F85" s="30">
        <v>46174</v>
      </c>
      <c r="G85" s="30"/>
      <c r="H85" t="s">
        <v>28</v>
      </c>
      <c r="I85" t="s">
        <v>29</v>
      </c>
      <c r="J85">
        <v>10803</v>
      </c>
      <c r="K85" s="30">
        <v>46084</v>
      </c>
      <c r="L85">
        <v>1010100</v>
      </c>
      <c r="M85" t="s">
        <v>35</v>
      </c>
      <c r="N85">
        <v>161</v>
      </c>
      <c r="O85" t="s">
        <v>161</v>
      </c>
      <c r="P85" t="s">
        <v>531</v>
      </c>
      <c r="Q85">
        <f t="shared" si="2"/>
        <v>-63</v>
      </c>
      <c r="R85" t="str">
        <f>_xlfn.XLOOKUP(P85,'Painel Additive'!$B:$B,'Painel Additive'!$B:$B,0)</f>
        <v>GRUPO MOSAIC FERTILIZANTES P K LTDA</v>
      </c>
      <c r="S85">
        <f t="shared" si="3"/>
        <v>90</v>
      </c>
    </row>
    <row r="86" spans="1:19" x14ac:dyDescent="0.25">
      <c r="A86">
        <v>1792</v>
      </c>
      <c r="B86" t="s">
        <v>829</v>
      </c>
      <c r="C86" t="s">
        <v>73</v>
      </c>
      <c r="D86" s="34">
        <v>116343</v>
      </c>
      <c r="E86">
        <v>1246268258</v>
      </c>
      <c r="F86" s="30">
        <v>46189</v>
      </c>
      <c r="G86" s="30"/>
      <c r="H86" t="s">
        <v>28</v>
      </c>
      <c r="I86" t="s">
        <v>29</v>
      </c>
      <c r="J86">
        <v>10918</v>
      </c>
      <c r="K86" s="30">
        <v>46099</v>
      </c>
      <c r="L86">
        <v>1010100</v>
      </c>
      <c r="M86" t="s">
        <v>35</v>
      </c>
      <c r="N86">
        <v>161</v>
      </c>
      <c r="O86" t="s">
        <v>161</v>
      </c>
      <c r="P86" t="s">
        <v>531</v>
      </c>
      <c r="Q86">
        <f t="shared" si="2"/>
        <v>-78</v>
      </c>
      <c r="R86" t="str">
        <f>_xlfn.XLOOKUP(P86,'Painel Additive'!$B:$B,'Painel Additive'!$B:$B,0)</f>
        <v>GRUPO MOSAIC FERTILIZANTES P K LTDA</v>
      </c>
      <c r="S86">
        <f t="shared" si="3"/>
        <v>90</v>
      </c>
    </row>
    <row r="87" spans="1:19" x14ac:dyDescent="0.25">
      <c r="A87">
        <v>1792</v>
      </c>
      <c r="B87" t="s">
        <v>829</v>
      </c>
      <c r="C87" t="s">
        <v>73</v>
      </c>
      <c r="D87" s="34">
        <v>115634.1</v>
      </c>
      <c r="E87">
        <v>1246263885</v>
      </c>
      <c r="F87" s="30">
        <v>46161</v>
      </c>
      <c r="G87" s="30"/>
      <c r="H87" t="s">
        <v>28</v>
      </c>
      <c r="I87" t="s">
        <v>29</v>
      </c>
      <c r="J87">
        <v>10708</v>
      </c>
      <c r="K87" s="30">
        <v>46071</v>
      </c>
      <c r="L87">
        <v>1010100</v>
      </c>
      <c r="M87" t="s">
        <v>35</v>
      </c>
      <c r="N87">
        <v>161</v>
      </c>
      <c r="O87" t="s">
        <v>161</v>
      </c>
      <c r="P87" t="s">
        <v>531</v>
      </c>
      <c r="Q87">
        <f t="shared" si="2"/>
        <v>-50</v>
      </c>
      <c r="R87" t="str">
        <f>_xlfn.XLOOKUP(P87,'Painel Additive'!$B:$B,'Painel Additive'!$B:$B,0)</f>
        <v>GRUPO MOSAIC FERTILIZANTES P K LTDA</v>
      </c>
      <c r="S87">
        <f t="shared" si="3"/>
        <v>90</v>
      </c>
    </row>
    <row r="88" spans="1:19" x14ac:dyDescent="0.25">
      <c r="A88">
        <v>1792</v>
      </c>
      <c r="B88" t="s">
        <v>829</v>
      </c>
      <c r="C88" t="s">
        <v>73</v>
      </c>
      <c r="D88" s="34">
        <v>117051.9</v>
      </c>
      <c r="E88">
        <v>1246269741</v>
      </c>
      <c r="F88" s="30">
        <v>46202</v>
      </c>
      <c r="G88" s="30"/>
      <c r="H88" t="s">
        <v>28</v>
      </c>
      <c r="I88" t="s">
        <v>29</v>
      </c>
      <c r="J88">
        <v>11015</v>
      </c>
      <c r="K88" s="30">
        <v>46112</v>
      </c>
      <c r="L88">
        <v>1010100</v>
      </c>
      <c r="M88" t="s">
        <v>35</v>
      </c>
      <c r="N88">
        <v>161</v>
      </c>
      <c r="O88" t="s">
        <v>161</v>
      </c>
      <c r="P88" t="s">
        <v>531</v>
      </c>
      <c r="Q88">
        <f t="shared" si="2"/>
        <v>-91</v>
      </c>
      <c r="R88" t="str">
        <f>_xlfn.XLOOKUP(P88,'Painel Additive'!$B:$B,'Painel Additive'!$B:$B,0)</f>
        <v>GRUPO MOSAIC FERTILIZANTES P K LTDA</v>
      </c>
      <c r="S88">
        <f t="shared" si="3"/>
        <v>90</v>
      </c>
    </row>
    <row r="89" spans="1:19" x14ac:dyDescent="0.25">
      <c r="A89">
        <v>1792</v>
      </c>
      <c r="B89" t="s">
        <v>829</v>
      </c>
      <c r="C89" t="s">
        <v>73</v>
      </c>
      <c r="D89" s="34">
        <v>115509</v>
      </c>
      <c r="E89">
        <v>1246262616</v>
      </c>
      <c r="F89" s="30">
        <v>46149</v>
      </c>
      <c r="G89" s="30"/>
      <c r="H89" t="s">
        <v>28</v>
      </c>
      <c r="I89" t="s">
        <v>29</v>
      </c>
      <c r="J89">
        <v>10653</v>
      </c>
      <c r="K89" s="30">
        <v>46059</v>
      </c>
      <c r="L89">
        <v>1010100</v>
      </c>
      <c r="M89" t="s">
        <v>35</v>
      </c>
      <c r="N89">
        <v>161</v>
      </c>
      <c r="O89" t="s">
        <v>161</v>
      </c>
      <c r="P89" t="s">
        <v>531</v>
      </c>
      <c r="Q89">
        <f t="shared" si="2"/>
        <v>-38</v>
      </c>
      <c r="R89" t="str">
        <f>_xlfn.XLOOKUP(P89,'Painel Additive'!$B:$B,'Painel Additive'!$B:$B,0)</f>
        <v>GRUPO MOSAIC FERTILIZANTES P K LTDA</v>
      </c>
      <c r="S89">
        <f t="shared" si="3"/>
        <v>90</v>
      </c>
    </row>
    <row r="90" spans="1:19" x14ac:dyDescent="0.25">
      <c r="A90">
        <v>1792</v>
      </c>
      <c r="B90" t="s">
        <v>829</v>
      </c>
      <c r="C90" t="s">
        <v>73</v>
      </c>
      <c r="D90" s="34">
        <v>116092.8</v>
      </c>
      <c r="E90">
        <v>1246267659</v>
      </c>
      <c r="F90" s="30">
        <v>46184</v>
      </c>
      <c r="G90" s="30"/>
      <c r="H90" t="s">
        <v>28</v>
      </c>
      <c r="I90" t="s">
        <v>29</v>
      </c>
      <c r="J90">
        <v>10876</v>
      </c>
      <c r="K90" s="30">
        <v>46094</v>
      </c>
      <c r="L90">
        <v>1010100</v>
      </c>
      <c r="M90" t="s">
        <v>35</v>
      </c>
      <c r="N90">
        <v>161</v>
      </c>
      <c r="O90" t="s">
        <v>161</v>
      </c>
      <c r="P90" t="s">
        <v>531</v>
      </c>
      <c r="Q90">
        <f t="shared" si="2"/>
        <v>-73</v>
      </c>
      <c r="R90" t="str">
        <f>_xlfn.XLOOKUP(P90,'Painel Additive'!$B:$B,'Painel Additive'!$B:$B,0)</f>
        <v>GRUPO MOSAIC FERTILIZANTES P K LTDA</v>
      </c>
      <c r="S90">
        <f t="shared" si="3"/>
        <v>90</v>
      </c>
    </row>
    <row r="91" spans="1:19" x14ac:dyDescent="0.25">
      <c r="A91">
        <v>201</v>
      </c>
      <c r="B91" t="s">
        <v>322</v>
      </c>
      <c r="C91" t="s">
        <v>910</v>
      </c>
      <c r="D91" s="34">
        <v>150024</v>
      </c>
      <c r="E91">
        <v>1246269649</v>
      </c>
      <c r="F91" s="30">
        <v>46139</v>
      </c>
      <c r="G91" s="30"/>
      <c r="H91" t="s">
        <v>28</v>
      </c>
      <c r="I91" t="s">
        <v>29</v>
      </c>
      <c r="J91">
        <v>11010</v>
      </c>
      <c r="K91" s="30">
        <v>46111</v>
      </c>
      <c r="L91">
        <v>1010100</v>
      </c>
      <c r="M91" t="s">
        <v>35</v>
      </c>
      <c r="N91">
        <v>161</v>
      </c>
      <c r="O91" t="s">
        <v>161</v>
      </c>
      <c r="P91" t="s">
        <v>430</v>
      </c>
      <c r="Q91">
        <f t="shared" si="2"/>
        <v>-28</v>
      </c>
      <c r="R91" t="str">
        <f>_xlfn.XLOOKUP(P91,'Painel Additive'!$B:$B,'Painel Additive'!$B:$B,0)</f>
        <v>GRUPO JOSAPAR</v>
      </c>
      <c r="S91">
        <f t="shared" si="3"/>
        <v>28</v>
      </c>
    </row>
    <row r="92" spans="1:19" x14ac:dyDescent="0.25">
      <c r="A92">
        <v>201</v>
      </c>
      <c r="B92" t="s">
        <v>322</v>
      </c>
      <c r="C92" t="s">
        <v>910</v>
      </c>
      <c r="D92" s="34">
        <v>185040</v>
      </c>
      <c r="E92">
        <v>1246269651</v>
      </c>
      <c r="F92" s="30">
        <v>46139</v>
      </c>
      <c r="G92" s="30"/>
      <c r="H92" t="s">
        <v>28</v>
      </c>
      <c r="I92" t="s">
        <v>29</v>
      </c>
      <c r="J92">
        <v>2855</v>
      </c>
      <c r="K92" s="30">
        <v>46111</v>
      </c>
      <c r="L92">
        <v>1010100</v>
      </c>
      <c r="M92" t="s">
        <v>35</v>
      </c>
      <c r="N92">
        <v>161</v>
      </c>
      <c r="O92" t="s">
        <v>161</v>
      </c>
      <c r="P92" t="s">
        <v>430</v>
      </c>
      <c r="Q92">
        <f t="shared" si="2"/>
        <v>-28</v>
      </c>
      <c r="R92" t="str">
        <f>_xlfn.XLOOKUP(P92,'Painel Additive'!$B:$B,'Painel Additive'!$B:$B,0)</f>
        <v>GRUPO JOSAPAR</v>
      </c>
      <c r="S92">
        <f t="shared" si="3"/>
        <v>28</v>
      </c>
    </row>
    <row r="93" spans="1:19" x14ac:dyDescent="0.25">
      <c r="A93">
        <v>201</v>
      </c>
      <c r="B93" t="s">
        <v>322</v>
      </c>
      <c r="C93" t="s">
        <v>910</v>
      </c>
      <c r="D93" s="34">
        <v>185040</v>
      </c>
      <c r="E93">
        <v>1246269671</v>
      </c>
      <c r="F93" s="30">
        <v>46231</v>
      </c>
      <c r="G93" s="30"/>
      <c r="H93" t="s">
        <v>28</v>
      </c>
      <c r="I93" t="s">
        <v>29</v>
      </c>
      <c r="J93">
        <v>2855</v>
      </c>
      <c r="K93" s="30">
        <v>46111</v>
      </c>
      <c r="L93">
        <v>1010100</v>
      </c>
      <c r="M93" t="s">
        <v>35</v>
      </c>
      <c r="N93">
        <v>161</v>
      </c>
      <c r="O93" t="s">
        <v>161</v>
      </c>
      <c r="P93" t="s">
        <v>430</v>
      </c>
      <c r="Q93">
        <f t="shared" si="2"/>
        <v>-120</v>
      </c>
      <c r="R93" t="str">
        <f>_xlfn.XLOOKUP(P93,'Painel Additive'!$B:$B,'Painel Additive'!$B:$B,0)</f>
        <v>GRUPO JOSAPAR</v>
      </c>
      <c r="S93">
        <f t="shared" si="3"/>
        <v>120</v>
      </c>
    </row>
    <row r="94" spans="1:19" x14ac:dyDescent="0.25">
      <c r="A94">
        <v>903</v>
      </c>
      <c r="B94" t="s">
        <v>57</v>
      </c>
      <c r="C94" t="s">
        <v>58</v>
      </c>
      <c r="D94" s="34">
        <v>134864.94</v>
      </c>
      <c r="E94">
        <v>1246265910</v>
      </c>
      <c r="F94" s="30">
        <v>46123</v>
      </c>
      <c r="G94" s="30"/>
      <c r="H94" t="s">
        <v>28</v>
      </c>
      <c r="I94" t="s">
        <v>29</v>
      </c>
      <c r="J94">
        <v>10792</v>
      </c>
      <c r="K94" s="30">
        <v>46083</v>
      </c>
      <c r="L94">
        <v>1010100</v>
      </c>
      <c r="M94" t="s">
        <v>35</v>
      </c>
      <c r="N94">
        <v>161</v>
      </c>
      <c r="O94" t="s">
        <v>161</v>
      </c>
      <c r="P94" t="s">
        <v>420</v>
      </c>
      <c r="Q94">
        <f t="shared" si="2"/>
        <v>-12</v>
      </c>
      <c r="R94" t="str">
        <f>_xlfn.XLOOKUP(P94,'Painel Additive'!$B:$B,'Painel Additive'!$B:$B,0)</f>
        <v>GRUPO YARA</v>
      </c>
      <c r="S94">
        <f t="shared" si="3"/>
        <v>40</v>
      </c>
    </row>
    <row r="95" spans="1:19" x14ac:dyDescent="0.25">
      <c r="A95">
        <v>903</v>
      </c>
      <c r="B95" t="s">
        <v>57</v>
      </c>
      <c r="C95" t="s">
        <v>58</v>
      </c>
      <c r="D95" s="34">
        <v>134414.79</v>
      </c>
      <c r="E95">
        <v>1246264770</v>
      </c>
      <c r="F95" s="30">
        <v>46117</v>
      </c>
      <c r="G95" s="30"/>
      <c r="H95" t="s">
        <v>28</v>
      </c>
      <c r="I95" t="s">
        <v>29</v>
      </c>
      <c r="J95">
        <v>10755</v>
      </c>
      <c r="K95" s="30">
        <v>46077</v>
      </c>
      <c r="L95">
        <v>1010100</v>
      </c>
      <c r="M95" t="s">
        <v>35</v>
      </c>
      <c r="N95">
        <v>161</v>
      </c>
      <c r="O95" t="s">
        <v>161</v>
      </c>
      <c r="P95" t="s">
        <v>420</v>
      </c>
      <c r="Q95">
        <f t="shared" si="2"/>
        <v>-6</v>
      </c>
      <c r="R95" t="str">
        <f>_xlfn.XLOOKUP(P95,'Painel Additive'!$B:$B,'Painel Additive'!$B:$B,0)</f>
        <v>GRUPO YARA</v>
      </c>
      <c r="S95">
        <f t="shared" si="3"/>
        <v>40</v>
      </c>
    </row>
    <row r="96" spans="1:19" x14ac:dyDescent="0.25">
      <c r="A96">
        <v>903</v>
      </c>
      <c r="B96" t="s">
        <v>57</v>
      </c>
      <c r="C96" t="s">
        <v>58</v>
      </c>
      <c r="D96" s="34">
        <v>134864.94</v>
      </c>
      <c r="E96">
        <v>1246269425</v>
      </c>
      <c r="F96" s="30">
        <v>46148</v>
      </c>
      <c r="G96" s="30"/>
      <c r="H96" t="s">
        <v>28</v>
      </c>
      <c r="I96" t="s">
        <v>29</v>
      </c>
      <c r="J96">
        <v>10990</v>
      </c>
      <c r="K96" s="30">
        <v>46108</v>
      </c>
      <c r="L96">
        <v>1010100</v>
      </c>
      <c r="M96" t="s">
        <v>35</v>
      </c>
      <c r="N96">
        <v>161</v>
      </c>
      <c r="O96" t="s">
        <v>161</v>
      </c>
      <c r="P96" t="s">
        <v>420</v>
      </c>
      <c r="Q96">
        <f t="shared" si="2"/>
        <v>-37</v>
      </c>
      <c r="R96" t="str">
        <f>_xlfn.XLOOKUP(P96,'Painel Additive'!$B:$B,'Painel Additive'!$B:$B,0)</f>
        <v>GRUPO YARA</v>
      </c>
      <c r="S96">
        <f t="shared" si="3"/>
        <v>40</v>
      </c>
    </row>
    <row r="97" spans="1:19" x14ac:dyDescent="0.25">
      <c r="A97">
        <v>903</v>
      </c>
      <c r="B97" t="s">
        <v>57</v>
      </c>
      <c r="C97" t="s">
        <v>58</v>
      </c>
      <c r="D97" s="34">
        <v>134324.76</v>
      </c>
      <c r="E97">
        <v>1246266872</v>
      </c>
      <c r="F97" s="30">
        <v>46127</v>
      </c>
      <c r="G97" s="30"/>
      <c r="H97" t="s">
        <v>28</v>
      </c>
      <c r="I97" t="s">
        <v>29</v>
      </c>
      <c r="J97">
        <v>10830</v>
      </c>
      <c r="K97" s="30">
        <v>46087</v>
      </c>
      <c r="L97">
        <v>1010100</v>
      </c>
      <c r="M97" t="s">
        <v>35</v>
      </c>
      <c r="N97">
        <v>161</v>
      </c>
      <c r="O97" t="s">
        <v>161</v>
      </c>
      <c r="P97" t="s">
        <v>420</v>
      </c>
      <c r="Q97">
        <f t="shared" si="2"/>
        <v>-16</v>
      </c>
      <c r="R97" t="str">
        <f>_xlfn.XLOOKUP(P97,'Painel Additive'!$B:$B,'Painel Additive'!$B:$B,0)</f>
        <v>GRUPO YARA</v>
      </c>
      <c r="S97">
        <f t="shared" si="3"/>
        <v>40</v>
      </c>
    </row>
    <row r="98" spans="1:19" x14ac:dyDescent="0.25">
      <c r="A98">
        <v>903</v>
      </c>
      <c r="B98" t="s">
        <v>57</v>
      </c>
      <c r="C98" t="s">
        <v>58</v>
      </c>
      <c r="D98" s="34">
        <v>135765.24</v>
      </c>
      <c r="E98">
        <v>1246267822</v>
      </c>
      <c r="F98" s="30">
        <v>46137</v>
      </c>
      <c r="G98" s="30"/>
      <c r="H98" t="s">
        <v>28</v>
      </c>
      <c r="I98" t="s">
        <v>29</v>
      </c>
      <c r="J98">
        <v>10890</v>
      </c>
      <c r="K98" s="30">
        <v>46097</v>
      </c>
      <c r="L98">
        <v>1010100</v>
      </c>
      <c r="M98" t="s">
        <v>35</v>
      </c>
      <c r="N98">
        <v>161</v>
      </c>
      <c r="O98" t="s">
        <v>161</v>
      </c>
      <c r="P98" t="s">
        <v>420</v>
      </c>
      <c r="Q98">
        <f t="shared" si="2"/>
        <v>-26</v>
      </c>
      <c r="R98" t="str">
        <f>_xlfn.XLOOKUP(P98,'Painel Additive'!$B:$B,'Painel Additive'!$B:$B,0)</f>
        <v>GRUPO YARA</v>
      </c>
      <c r="S98">
        <f t="shared" si="3"/>
        <v>40</v>
      </c>
    </row>
    <row r="99" spans="1:19" x14ac:dyDescent="0.25">
      <c r="A99">
        <v>903</v>
      </c>
      <c r="B99" t="s">
        <v>57</v>
      </c>
      <c r="C99" t="s">
        <v>58</v>
      </c>
      <c r="D99" s="34">
        <v>133334.43</v>
      </c>
      <c r="E99">
        <v>1246268951</v>
      </c>
      <c r="F99" s="30">
        <v>46146</v>
      </c>
      <c r="G99" s="30"/>
      <c r="H99" t="s">
        <v>28</v>
      </c>
      <c r="I99" t="s">
        <v>29</v>
      </c>
      <c r="J99">
        <v>10971</v>
      </c>
      <c r="K99" s="30">
        <v>46106</v>
      </c>
      <c r="L99">
        <v>1010100</v>
      </c>
      <c r="M99" t="s">
        <v>35</v>
      </c>
      <c r="N99">
        <v>161</v>
      </c>
      <c r="O99" t="s">
        <v>161</v>
      </c>
      <c r="P99" t="s">
        <v>420</v>
      </c>
      <c r="Q99">
        <f t="shared" si="2"/>
        <v>-35</v>
      </c>
      <c r="R99" t="str">
        <f>_xlfn.XLOOKUP(P99,'Painel Additive'!$B:$B,'Painel Additive'!$B:$B,0)</f>
        <v>GRUPO YARA</v>
      </c>
      <c r="S99">
        <f t="shared" si="3"/>
        <v>40</v>
      </c>
    </row>
    <row r="100" spans="1:19" x14ac:dyDescent="0.25">
      <c r="A100">
        <v>912</v>
      </c>
      <c r="B100" t="s">
        <v>245</v>
      </c>
      <c r="C100" t="s">
        <v>849</v>
      </c>
      <c r="D100" s="34">
        <v>99785</v>
      </c>
      <c r="E100">
        <v>1246264222</v>
      </c>
      <c r="F100" s="30">
        <v>46129</v>
      </c>
      <c r="G100" s="30"/>
      <c r="H100" t="s">
        <v>28</v>
      </c>
      <c r="I100" t="s">
        <v>29</v>
      </c>
      <c r="J100">
        <v>2756</v>
      </c>
      <c r="K100" s="30">
        <v>46073</v>
      </c>
      <c r="L100">
        <v>1010100</v>
      </c>
      <c r="M100" t="s">
        <v>35</v>
      </c>
      <c r="N100">
        <v>161</v>
      </c>
      <c r="O100" t="s">
        <v>161</v>
      </c>
      <c r="P100" t="s">
        <v>421</v>
      </c>
      <c r="Q100">
        <f t="shared" si="2"/>
        <v>-18</v>
      </c>
      <c r="R100" t="str">
        <f>_xlfn.XLOOKUP(P100,'Painel Additive'!$B:$B,'Painel Additive'!$B:$B,0)</f>
        <v>GRUPO FERTILIZE</v>
      </c>
      <c r="S100">
        <f t="shared" si="3"/>
        <v>56</v>
      </c>
    </row>
    <row r="101" spans="1:19" x14ac:dyDescent="0.25">
      <c r="A101">
        <v>729</v>
      </c>
      <c r="B101" t="s">
        <v>56</v>
      </c>
      <c r="C101" t="s">
        <v>874</v>
      </c>
      <c r="D101" s="34">
        <v>69184</v>
      </c>
      <c r="E101">
        <v>1246267218</v>
      </c>
      <c r="F101" s="30">
        <v>46121</v>
      </c>
      <c r="G101" s="30"/>
      <c r="H101" t="s">
        <v>28</v>
      </c>
      <c r="I101" t="s">
        <v>29</v>
      </c>
      <c r="J101">
        <v>10858</v>
      </c>
      <c r="K101" s="30">
        <v>46091</v>
      </c>
      <c r="L101">
        <v>1010100</v>
      </c>
      <c r="M101" t="s">
        <v>35</v>
      </c>
      <c r="N101">
        <v>161</v>
      </c>
      <c r="O101" t="s">
        <v>161</v>
      </c>
      <c r="P101" t="s">
        <v>532</v>
      </c>
      <c r="Q101">
        <f t="shared" si="2"/>
        <v>-10</v>
      </c>
      <c r="R101" t="str">
        <f>_xlfn.XLOOKUP(P101,'Painel Additive'!$B:$B,'Painel Additive'!$B:$B,0)</f>
        <v>GRUPO FERTILIZ TOCANTINS</v>
      </c>
      <c r="S101">
        <f t="shared" si="3"/>
        <v>30</v>
      </c>
    </row>
    <row r="102" spans="1:19" x14ac:dyDescent="0.25">
      <c r="A102">
        <v>1159</v>
      </c>
      <c r="B102" t="s">
        <v>60</v>
      </c>
      <c r="C102" t="s">
        <v>61</v>
      </c>
      <c r="D102" s="34">
        <v>271560</v>
      </c>
      <c r="E102">
        <v>1246264420</v>
      </c>
      <c r="F102" s="30">
        <v>46113</v>
      </c>
      <c r="G102" s="30">
        <v>46113</v>
      </c>
      <c r="H102" t="s">
        <v>28</v>
      </c>
      <c r="I102" t="s">
        <v>29</v>
      </c>
      <c r="J102">
        <v>10736</v>
      </c>
      <c r="K102" s="30">
        <v>46073</v>
      </c>
      <c r="L102">
        <v>1010100</v>
      </c>
      <c r="M102" t="s">
        <v>35</v>
      </c>
      <c r="N102">
        <v>161</v>
      </c>
      <c r="O102" t="s">
        <v>161</v>
      </c>
      <c r="P102" t="s">
        <v>420</v>
      </c>
      <c r="Q102">
        <f t="shared" si="2"/>
        <v>-2</v>
      </c>
      <c r="R102" t="str">
        <f>_xlfn.XLOOKUP(P102,'Painel Additive'!$B:$B,'Painel Additive'!$B:$B,0)</f>
        <v>GRUPO YARA</v>
      </c>
      <c r="S102">
        <f t="shared" si="3"/>
        <v>40</v>
      </c>
    </row>
    <row r="103" spans="1:19" x14ac:dyDescent="0.25">
      <c r="A103">
        <v>1159</v>
      </c>
      <c r="B103" t="s">
        <v>60</v>
      </c>
      <c r="C103" t="s">
        <v>61</v>
      </c>
      <c r="D103" s="34">
        <v>1458</v>
      </c>
      <c r="E103">
        <v>1246148463</v>
      </c>
      <c r="F103" s="30">
        <v>45443</v>
      </c>
      <c r="G103" s="30"/>
      <c r="H103" t="s">
        <v>28</v>
      </c>
      <c r="I103" t="s">
        <v>29</v>
      </c>
      <c r="J103">
        <v>3446</v>
      </c>
      <c r="K103" s="30">
        <v>45415</v>
      </c>
      <c r="L103">
        <v>1010100</v>
      </c>
      <c r="M103" t="s">
        <v>35</v>
      </c>
      <c r="N103">
        <v>161</v>
      </c>
      <c r="O103" t="s">
        <v>161</v>
      </c>
      <c r="P103" t="s">
        <v>420</v>
      </c>
      <c r="Q103">
        <f t="shared" si="2"/>
        <v>668</v>
      </c>
      <c r="R103" t="str">
        <f>_xlfn.XLOOKUP(P103,'Painel Additive'!$B:$B,'Painel Additive'!$B:$B,0)</f>
        <v>GRUPO YARA</v>
      </c>
      <c r="S103">
        <f t="shared" si="3"/>
        <v>28</v>
      </c>
    </row>
    <row r="104" spans="1:19" x14ac:dyDescent="0.25">
      <c r="A104">
        <v>1159</v>
      </c>
      <c r="B104" t="s">
        <v>60</v>
      </c>
      <c r="C104" t="s">
        <v>61</v>
      </c>
      <c r="D104" s="34">
        <v>153659.6</v>
      </c>
      <c r="E104">
        <v>1246266347</v>
      </c>
      <c r="F104" s="30">
        <v>46125</v>
      </c>
      <c r="G104" s="30"/>
      <c r="H104" t="s">
        <v>28</v>
      </c>
      <c r="I104" t="s">
        <v>29</v>
      </c>
      <c r="J104">
        <v>10810</v>
      </c>
      <c r="K104" s="30">
        <v>46085</v>
      </c>
      <c r="L104">
        <v>1010100</v>
      </c>
      <c r="M104" t="s">
        <v>35</v>
      </c>
      <c r="N104">
        <v>161</v>
      </c>
      <c r="O104" t="s">
        <v>161</v>
      </c>
      <c r="P104" t="s">
        <v>420</v>
      </c>
      <c r="Q104">
        <f t="shared" si="2"/>
        <v>-14</v>
      </c>
      <c r="R104" t="str">
        <f>_xlfn.XLOOKUP(P104,'Painel Additive'!$B:$B,'Painel Additive'!$B:$B,0)</f>
        <v>GRUPO YARA</v>
      </c>
      <c r="S104">
        <f t="shared" si="3"/>
        <v>40</v>
      </c>
    </row>
    <row r="105" spans="1:19" x14ac:dyDescent="0.25">
      <c r="A105">
        <v>1159</v>
      </c>
      <c r="B105" t="s">
        <v>60</v>
      </c>
      <c r="C105" t="s">
        <v>61</v>
      </c>
      <c r="D105" s="34">
        <v>152155.1</v>
      </c>
      <c r="E105">
        <v>1246265729</v>
      </c>
      <c r="F105" s="30">
        <v>46120</v>
      </c>
      <c r="G105" s="30"/>
      <c r="H105" t="s">
        <v>28</v>
      </c>
      <c r="I105" t="s">
        <v>29</v>
      </c>
      <c r="J105">
        <v>10784</v>
      </c>
      <c r="K105" s="30">
        <v>46080</v>
      </c>
      <c r="L105">
        <v>1010100</v>
      </c>
      <c r="M105" t="s">
        <v>35</v>
      </c>
      <c r="N105">
        <v>161</v>
      </c>
      <c r="O105" t="s">
        <v>161</v>
      </c>
      <c r="P105" t="s">
        <v>420</v>
      </c>
      <c r="Q105">
        <f t="shared" si="2"/>
        <v>-9</v>
      </c>
      <c r="R105" t="str">
        <f>_xlfn.XLOOKUP(P105,'Painel Additive'!$B:$B,'Painel Additive'!$B:$B,0)</f>
        <v>GRUPO YARA</v>
      </c>
      <c r="S105">
        <f t="shared" si="3"/>
        <v>40</v>
      </c>
    </row>
    <row r="106" spans="1:19" x14ac:dyDescent="0.25">
      <c r="A106">
        <v>1159</v>
      </c>
      <c r="B106" t="s">
        <v>60</v>
      </c>
      <c r="C106" t="s">
        <v>61</v>
      </c>
      <c r="D106" s="34">
        <v>148143.1</v>
      </c>
      <c r="E106">
        <v>1246266884</v>
      </c>
      <c r="F106" s="30">
        <v>46127</v>
      </c>
      <c r="G106" s="30"/>
      <c r="H106" t="s">
        <v>28</v>
      </c>
      <c r="I106" t="s">
        <v>29</v>
      </c>
      <c r="J106">
        <v>10832</v>
      </c>
      <c r="K106" s="30">
        <v>46087</v>
      </c>
      <c r="L106">
        <v>1010100</v>
      </c>
      <c r="M106" t="s">
        <v>35</v>
      </c>
      <c r="N106">
        <v>161</v>
      </c>
      <c r="O106" t="s">
        <v>161</v>
      </c>
      <c r="P106" t="s">
        <v>420</v>
      </c>
      <c r="Q106">
        <f t="shared" si="2"/>
        <v>-16</v>
      </c>
      <c r="R106" t="str">
        <f>_xlfn.XLOOKUP(P106,'Painel Additive'!$B:$B,'Painel Additive'!$B:$B,0)</f>
        <v>GRUPO YARA</v>
      </c>
      <c r="S106">
        <f t="shared" si="3"/>
        <v>40</v>
      </c>
    </row>
    <row r="107" spans="1:19" x14ac:dyDescent="0.25">
      <c r="A107">
        <v>1159</v>
      </c>
      <c r="B107" t="s">
        <v>60</v>
      </c>
      <c r="C107" t="s">
        <v>61</v>
      </c>
      <c r="D107" s="34">
        <v>271741.03999999998</v>
      </c>
      <c r="E107">
        <v>1246269608</v>
      </c>
      <c r="F107" s="30">
        <v>46151</v>
      </c>
      <c r="G107" s="30"/>
      <c r="H107" t="s">
        <v>28</v>
      </c>
      <c r="I107" t="s">
        <v>29</v>
      </c>
      <c r="J107">
        <v>11006</v>
      </c>
      <c r="K107" s="30">
        <v>46111</v>
      </c>
      <c r="L107">
        <v>1010100</v>
      </c>
      <c r="M107" t="s">
        <v>35</v>
      </c>
      <c r="N107">
        <v>161</v>
      </c>
      <c r="O107" t="s">
        <v>161</v>
      </c>
      <c r="P107" t="s">
        <v>420</v>
      </c>
      <c r="Q107">
        <f t="shared" si="2"/>
        <v>-40</v>
      </c>
      <c r="R107" t="str">
        <f>_xlfn.XLOOKUP(P107,'Painel Additive'!$B:$B,'Painel Additive'!$B:$B,0)</f>
        <v>GRUPO YARA</v>
      </c>
      <c r="S107">
        <f t="shared" si="3"/>
        <v>40</v>
      </c>
    </row>
    <row r="108" spans="1:19" x14ac:dyDescent="0.25">
      <c r="A108">
        <v>1159</v>
      </c>
      <c r="B108" t="s">
        <v>60</v>
      </c>
      <c r="C108" t="s">
        <v>61</v>
      </c>
      <c r="D108" s="34">
        <v>151152.1</v>
      </c>
      <c r="E108">
        <v>1246267195</v>
      </c>
      <c r="F108" s="30">
        <v>46131</v>
      </c>
      <c r="G108" s="30"/>
      <c r="H108" t="s">
        <v>28</v>
      </c>
      <c r="I108" t="s">
        <v>29</v>
      </c>
      <c r="J108">
        <v>10855</v>
      </c>
      <c r="K108" s="30">
        <v>46091</v>
      </c>
      <c r="L108">
        <v>1010100</v>
      </c>
      <c r="M108" t="s">
        <v>35</v>
      </c>
      <c r="N108">
        <v>161</v>
      </c>
      <c r="O108" t="s">
        <v>161</v>
      </c>
      <c r="P108" t="s">
        <v>420</v>
      </c>
      <c r="Q108">
        <f t="shared" si="2"/>
        <v>-20</v>
      </c>
      <c r="R108" t="str">
        <f>_xlfn.XLOOKUP(P108,'Painel Additive'!$B:$B,'Painel Additive'!$B:$B,0)</f>
        <v>GRUPO YARA</v>
      </c>
      <c r="S108">
        <f t="shared" si="3"/>
        <v>40</v>
      </c>
    </row>
    <row r="109" spans="1:19" x14ac:dyDescent="0.25">
      <c r="A109">
        <v>1159</v>
      </c>
      <c r="B109" t="s">
        <v>60</v>
      </c>
      <c r="C109" t="s">
        <v>61</v>
      </c>
      <c r="D109" s="34">
        <v>272193.64</v>
      </c>
      <c r="E109">
        <v>1246269418</v>
      </c>
      <c r="F109" s="30">
        <v>46148</v>
      </c>
      <c r="G109" s="30"/>
      <c r="H109" t="s">
        <v>28</v>
      </c>
      <c r="I109" t="s">
        <v>29</v>
      </c>
      <c r="J109">
        <v>10988</v>
      </c>
      <c r="K109" s="30">
        <v>46108</v>
      </c>
      <c r="L109">
        <v>1010100</v>
      </c>
      <c r="M109" t="s">
        <v>35</v>
      </c>
      <c r="N109">
        <v>161</v>
      </c>
      <c r="O109" t="s">
        <v>161</v>
      </c>
      <c r="P109" t="s">
        <v>420</v>
      </c>
      <c r="Q109">
        <f t="shared" si="2"/>
        <v>-37</v>
      </c>
      <c r="R109" t="str">
        <f>_xlfn.XLOOKUP(P109,'Painel Additive'!$B:$B,'Painel Additive'!$B:$B,0)</f>
        <v>GRUPO YARA</v>
      </c>
      <c r="S109">
        <f t="shared" si="3"/>
        <v>40</v>
      </c>
    </row>
    <row r="110" spans="1:19" x14ac:dyDescent="0.25">
      <c r="A110">
        <v>1159</v>
      </c>
      <c r="B110" t="s">
        <v>60</v>
      </c>
      <c r="C110" t="s">
        <v>61</v>
      </c>
      <c r="D110" s="34">
        <v>149246.39999999999</v>
      </c>
      <c r="E110">
        <v>1246267833</v>
      </c>
      <c r="F110" s="30">
        <v>46137</v>
      </c>
      <c r="G110" s="30"/>
      <c r="H110" t="s">
        <v>28</v>
      </c>
      <c r="I110" t="s">
        <v>29</v>
      </c>
      <c r="J110">
        <v>10893</v>
      </c>
      <c r="K110" s="30">
        <v>46097</v>
      </c>
      <c r="L110">
        <v>1010100</v>
      </c>
      <c r="M110" t="s">
        <v>35</v>
      </c>
      <c r="N110">
        <v>161</v>
      </c>
      <c r="O110" t="s">
        <v>161</v>
      </c>
      <c r="P110" t="s">
        <v>420</v>
      </c>
      <c r="Q110">
        <f t="shared" si="2"/>
        <v>-26</v>
      </c>
      <c r="R110" t="str">
        <f>_xlfn.XLOOKUP(P110,'Painel Additive'!$B:$B,'Painel Additive'!$B:$B,0)</f>
        <v>GRUPO YARA</v>
      </c>
      <c r="S110">
        <f t="shared" si="3"/>
        <v>40</v>
      </c>
    </row>
    <row r="111" spans="1:19" ht="11.4" customHeight="1" x14ac:dyDescent="0.25">
      <c r="A111">
        <v>1159</v>
      </c>
      <c r="B111" t="s">
        <v>60</v>
      </c>
      <c r="C111" t="s">
        <v>61</v>
      </c>
      <c r="D111" s="34">
        <v>272465.2</v>
      </c>
      <c r="E111">
        <v>1246268414</v>
      </c>
      <c r="F111" s="30">
        <v>46140</v>
      </c>
      <c r="G111" s="30"/>
      <c r="H111" t="s">
        <v>28</v>
      </c>
      <c r="I111" t="s">
        <v>29</v>
      </c>
      <c r="J111">
        <v>10931</v>
      </c>
      <c r="K111" s="30">
        <v>46100</v>
      </c>
      <c r="L111">
        <v>1010100</v>
      </c>
      <c r="M111" t="s">
        <v>35</v>
      </c>
      <c r="N111">
        <v>161</v>
      </c>
      <c r="O111" t="s">
        <v>161</v>
      </c>
      <c r="P111" t="s">
        <v>420</v>
      </c>
      <c r="Q111">
        <f t="shared" si="2"/>
        <v>-29</v>
      </c>
      <c r="R111" t="str">
        <f>_xlfn.XLOOKUP(P111,'Painel Additive'!$B:$B,'Painel Additive'!$B:$B,0)</f>
        <v>GRUPO YARA</v>
      </c>
      <c r="S111">
        <f t="shared" si="3"/>
        <v>40</v>
      </c>
    </row>
    <row r="112" spans="1:19" x14ac:dyDescent="0.25">
      <c r="A112">
        <v>1159</v>
      </c>
      <c r="B112" t="s">
        <v>60</v>
      </c>
      <c r="C112" t="s">
        <v>61</v>
      </c>
      <c r="D112" s="34">
        <v>10800</v>
      </c>
      <c r="E112">
        <v>1246264138</v>
      </c>
      <c r="F112" s="30">
        <v>46087</v>
      </c>
      <c r="G112" s="30"/>
      <c r="H112" t="s">
        <v>28</v>
      </c>
      <c r="I112" t="s">
        <v>29</v>
      </c>
      <c r="J112">
        <v>1246264138</v>
      </c>
      <c r="K112" s="30">
        <v>46072</v>
      </c>
      <c r="L112">
        <v>3042200</v>
      </c>
      <c r="M112" t="s">
        <v>859</v>
      </c>
      <c r="N112">
        <v>46</v>
      </c>
      <c r="O112" t="s">
        <v>163</v>
      </c>
      <c r="P112" t="s">
        <v>420</v>
      </c>
      <c r="Q112">
        <f t="shared" si="2"/>
        <v>24</v>
      </c>
      <c r="R112" t="str">
        <f>_xlfn.XLOOKUP(P112,'Painel Additive'!$B:$B,'Painel Additive'!$B:$B,0)</f>
        <v>GRUPO YARA</v>
      </c>
      <c r="S112">
        <f t="shared" si="3"/>
        <v>15</v>
      </c>
    </row>
    <row r="113" spans="1:19" x14ac:dyDescent="0.25">
      <c r="A113">
        <v>1159</v>
      </c>
      <c r="B113" t="s">
        <v>60</v>
      </c>
      <c r="C113" t="s">
        <v>61</v>
      </c>
      <c r="D113" s="34">
        <v>150851.20000000001</v>
      </c>
      <c r="E113">
        <v>1246267633</v>
      </c>
      <c r="F113" s="30">
        <v>46134</v>
      </c>
      <c r="G113" s="30"/>
      <c r="H113" t="s">
        <v>28</v>
      </c>
      <c r="I113" t="s">
        <v>29</v>
      </c>
      <c r="J113">
        <v>10875</v>
      </c>
      <c r="K113" s="30">
        <v>46094</v>
      </c>
      <c r="L113">
        <v>1010100</v>
      </c>
      <c r="M113" t="s">
        <v>35</v>
      </c>
      <c r="N113">
        <v>161</v>
      </c>
      <c r="O113" t="s">
        <v>161</v>
      </c>
      <c r="P113" t="s">
        <v>420</v>
      </c>
      <c r="Q113">
        <f t="shared" si="2"/>
        <v>-23</v>
      </c>
      <c r="R113" t="str">
        <f>_xlfn.XLOOKUP(P113,'Painel Additive'!$B:$B,'Painel Additive'!$B:$B,0)</f>
        <v>GRUPO YARA</v>
      </c>
      <c r="S113">
        <f t="shared" si="3"/>
        <v>40</v>
      </c>
    </row>
    <row r="114" spans="1:19" x14ac:dyDescent="0.25">
      <c r="A114">
        <v>1159</v>
      </c>
      <c r="B114" t="s">
        <v>60</v>
      </c>
      <c r="C114" t="s">
        <v>61</v>
      </c>
      <c r="D114" s="34">
        <v>272555.71999999997</v>
      </c>
      <c r="E114">
        <v>1246268636</v>
      </c>
      <c r="F114" s="30">
        <v>46144</v>
      </c>
      <c r="G114" s="30"/>
      <c r="H114" t="s">
        <v>28</v>
      </c>
      <c r="I114" t="s">
        <v>29</v>
      </c>
      <c r="J114">
        <v>10958</v>
      </c>
      <c r="K114" s="30">
        <v>46104</v>
      </c>
      <c r="L114">
        <v>1010100</v>
      </c>
      <c r="M114" t="s">
        <v>35</v>
      </c>
      <c r="N114">
        <v>161</v>
      </c>
      <c r="O114" t="s">
        <v>161</v>
      </c>
      <c r="P114" t="s">
        <v>420</v>
      </c>
      <c r="Q114">
        <f t="shared" si="2"/>
        <v>-33</v>
      </c>
      <c r="R114" t="str">
        <f>_xlfn.XLOOKUP(P114,'Painel Additive'!$B:$B,'Painel Additive'!$B:$B,0)</f>
        <v>GRUPO YARA</v>
      </c>
      <c r="S114">
        <f t="shared" si="3"/>
        <v>40</v>
      </c>
    </row>
    <row r="115" spans="1:19" x14ac:dyDescent="0.25">
      <c r="A115">
        <v>456</v>
      </c>
      <c r="B115" t="s">
        <v>354</v>
      </c>
      <c r="C115" t="s">
        <v>714</v>
      </c>
      <c r="D115" s="34">
        <v>99532</v>
      </c>
      <c r="E115">
        <v>1246268583</v>
      </c>
      <c r="F115" s="30">
        <v>46129</v>
      </c>
      <c r="G115" s="30">
        <v>46114</v>
      </c>
      <c r="H115" t="s">
        <v>28</v>
      </c>
      <c r="I115" t="s">
        <v>29</v>
      </c>
      <c r="J115">
        <v>10952</v>
      </c>
      <c r="K115" s="30">
        <v>46101</v>
      </c>
      <c r="L115">
        <v>1010100</v>
      </c>
      <c r="M115" t="s">
        <v>35</v>
      </c>
      <c r="N115">
        <v>161</v>
      </c>
      <c r="O115" t="s">
        <v>161</v>
      </c>
      <c r="P115" t="s">
        <v>658</v>
      </c>
      <c r="Q115">
        <f t="shared" si="2"/>
        <v>-18</v>
      </c>
      <c r="R115" t="str">
        <f>_xlfn.XLOOKUP(P115,'Painel Additive'!$B:$B,'Painel Additive'!$B:$B,0)</f>
        <v>GRUPO FERTIPAR FERTILIZANTES DO NORDESTE</v>
      </c>
      <c r="S115">
        <f t="shared" si="3"/>
        <v>28</v>
      </c>
    </row>
    <row r="116" spans="1:19" x14ac:dyDescent="0.25">
      <c r="A116">
        <v>456</v>
      </c>
      <c r="B116" t="s">
        <v>354</v>
      </c>
      <c r="C116" t="s">
        <v>714</v>
      </c>
      <c r="D116" s="34">
        <v>3393</v>
      </c>
      <c r="E116">
        <v>1246245610</v>
      </c>
      <c r="F116" s="30">
        <v>45973</v>
      </c>
      <c r="G116" s="30"/>
      <c r="H116" t="s">
        <v>28</v>
      </c>
      <c r="I116" t="s">
        <v>29</v>
      </c>
      <c r="J116">
        <v>9692</v>
      </c>
      <c r="K116" s="30">
        <v>45945</v>
      </c>
      <c r="L116">
        <v>1010100</v>
      </c>
      <c r="M116" t="s">
        <v>35</v>
      </c>
      <c r="N116">
        <v>161</v>
      </c>
      <c r="O116" t="s">
        <v>161</v>
      </c>
      <c r="P116" t="s">
        <v>658</v>
      </c>
      <c r="Q116">
        <f t="shared" si="2"/>
        <v>138</v>
      </c>
      <c r="R116" t="str">
        <f>_xlfn.XLOOKUP(P116,'Painel Additive'!$B:$B,'Painel Additive'!$B:$B,0)</f>
        <v>GRUPO FERTIPAR FERTILIZANTES DO NORDESTE</v>
      </c>
      <c r="S116">
        <f t="shared" si="3"/>
        <v>28</v>
      </c>
    </row>
    <row r="117" spans="1:19" x14ac:dyDescent="0.25">
      <c r="A117">
        <v>3232</v>
      </c>
      <c r="B117" t="s">
        <v>169</v>
      </c>
      <c r="C117" t="s">
        <v>477</v>
      </c>
      <c r="D117" s="34">
        <v>169290.6</v>
      </c>
      <c r="E117">
        <v>1246269505</v>
      </c>
      <c r="F117" s="30">
        <v>46138</v>
      </c>
      <c r="G117" s="30"/>
      <c r="H117" t="s">
        <v>28</v>
      </c>
      <c r="I117" t="s">
        <v>29</v>
      </c>
      <c r="J117">
        <v>10997</v>
      </c>
      <c r="K117" s="30">
        <v>46108</v>
      </c>
      <c r="L117">
        <v>1010100</v>
      </c>
      <c r="M117" t="s">
        <v>35</v>
      </c>
      <c r="N117">
        <v>161</v>
      </c>
      <c r="O117" t="s">
        <v>161</v>
      </c>
      <c r="P117" t="s">
        <v>532</v>
      </c>
      <c r="Q117">
        <f t="shared" si="2"/>
        <v>-27</v>
      </c>
      <c r="R117" t="str">
        <f>_xlfn.XLOOKUP(P117,'Painel Additive'!$B:$B,'Painel Additive'!$B:$B,0)</f>
        <v>GRUPO FERTILIZ TOCANTINS</v>
      </c>
      <c r="S117">
        <f t="shared" si="3"/>
        <v>30</v>
      </c>
    </row>
    <row r="118" spans="1:19" x14ac:dyDescent="0.25">
      <c r="A118">
        <v>3232</v>
      </c>
      <c r="B118" t="s">
        <v>169</v>
      </c>
      <c r="C118" t="s">
        <v>477</v>
      </c>
      <c r="D118" s="34">
        <v>169573.6</v>
      </c>
      <c r="E118">
        <v>1246266098</v>
      </c>
      <c r="F118" s="30">
        <v>46114</v>
      </c>
      <c r="G118" s="30"/>
      <c r="H118" t="s">
        <v>28</v>
      </c>
      <c r="I118" t="s">
        <v>29</v>
      </c>
      <c r="J118">
        <v>10802</v>
      </c>
      <c r="K118" s="30">
        <v>46084</v>
      </c>
      <c r="L118">
        <v>1010100</v>
      </c>
      <c r="M118" t="s">
        <v>35</v>
      </c>
      <c r="N118">
        <v>161</v>
      </c>
      <c r="O118" t="s">
        <v>161</v>
      </c>
      <c r="P118" t="s">
        <v>532</v>
      </c>
      <c r="Q118">
        <f t="shared" si="2"/>
        <v>-3</v>
      </c>
      <c r="R118" t="str">
        <f>_xlfn.XLOOKUP(P118,'Painel Additive'!$B:$B,'Painel Additive'!$B:$B,0)</f>
        <v>GRUPO FERTILIZ TOCANTINS</v>
      </c>
      <c r="S118">
        <f t="shared" si="3"/>
        <v>30</v>
      </c>
    </row>
    <row r="119" spans="1:19" x14ac:dyDescent="0.25">
      <c r="A119">
        <v>2992</v>
      </c>
      <c r="B119" t="s">
        <v>87</v>
      </c>
      <c r="C119" t="s">
        <v>88</v>
      </c>
      <c r="D119" s="34">
        <v>10200.799999999999</v>
      </c>
      <c r="E119">
        <v>1246228457</v>
      </c>
      <c r="F119" s="30">
        <v>46101</v>
      </c>
      <c r="G119" s="30"/>
      <c r="H119" t="s">
        <v>28</v>
      </c>
      <c r="I119" t="s">
        <v>29</v>
      </c>
      <c r="J119">
        <v>4377</v>
      </c>
      <c r="K119" s="30">
        <v>45493</v>
      </c>
      <c r="L119">
        <v>1010100</v>
      </c>
      <c r="M119" t="s">
        <v>35</v>
      </c>
      <c r="N119">
        <v>161</v>
      </c>
      <c r="O119" t="s">
        <v>161</v>
      </c>
      <c r="P119" t="s">
        <v>422</v>
      </c>
      <c r="Q119">
        <f t="shared" si="2"/>
        <v>10</v>
      </c>
      <c r="R119" t="str">
        <f>_xlfn.XLOOKUP(P119,'Painel Additive'!$B:$B,'Painel Additive'!$B:$B,0)</f>
        <v>GRUPO SUPERBAC</v>
      </c>
      <c r="S119">
        <f t="shared" si="3"/>
        <v>608</v>
      </c>
    </row>
    <row r="120" spans="1:19" x14ac:dyDescent="0.25">
      <c r="A120">
        <v>2992</v>
      </c>
      <c r="B120" t="s">
        <v>87</v>
      </c>
      <c r="C120" t="s">
        <v>88</v>
      </c>
      <c r="D120" s="34">
        <v>10200.799999999999</v>
      </c>
      <c r="E120">
        <v>1246228456</v>
      </c>
      <c r="F120" s="30">
        <v>46133</v>
      </c>
      <c r="G120" s="30"/>
      <c r="H120" t="s">
        <v>28</v>
      </c>
      <c r="I120" t="s">
        <v>29</v>
      </c>
      <c r="J120">
        <v>4377</v>
      </c>
      <c r="K120" s="30">
        <v>45493</v>
      </c>
      <c r="L120">
        <v>1010100</v>
      </c>
      <c r="M120" t="s">
        <v>35</v>
      </c>
      <c r="N120">
        <v>161</v>
      </c>
      <c r="O120" t="s">
        <v>161</v>
      </c>
      <c r="P120" t="s">
        <v>422</v>
      </c>
      <c r="Q120">
        <f t="shared" si="2"/>
        <v>-22</v>
      </c>
      <c r="R120" t="str">
        <f>_xlfn.XLOOKUP(P120,'Painel Additive'!$B:$B,'Painel Additive'!$B:$B,0)</f>
        <v>GRUPO SUPERBAC</v>
      </c>
      <c r="S120">
        <f t="shared" si="3"/>
        <v>640</v>
      </c>
    </row>
    <row r="121" spans="1:19" x14ac:dyDescent="0.25">
      <c r="A121">
        <v>2603</v>
      </c>
      <c r="B121" t="s">
        <v>81</v>
      </c>
      <c r="C121" t="s">
        <v>82</v>
      </c>
      <c r="D121" s="34">
        <v>4522.16</v>
      </c>
      <c r="E121">
        <v>1246097965</v>
      </c>
      <c r="F121" s="30">
        <v>45152</v>
      </c>
      <c r="G121" s="30"/>
      <c r="H121" t="s">
        <v>28</v>
      </c>
      <c r="I121" t="s">
        <v>29</v>
      </c>
      <c r="J121">
        <v>21713</v>
      </c>
      <c r="K121" s="30">
        <v>45092</v>
      </c>
      <c r="L121">
        <v>1010100</v>
      </c>
      <c r="M121" t="s">
        <v>35</v>
      </c>
      <c r="N121">
        <v>56</v>
      </c>
      <c r="O121" t="s">
        <v>162</v>
      </c>
      <c r="P121" t="s">
        <v>500</v>
      </c>
      <c r="Q121">
        <f t="shared" si="2"/>
        <v>959</v>
      </c>
      <c r="R121" t="str">
        <f>_xlfn.XLOOKUP(P121,'Painel Additive'!$B:$B,'Painel Additive'!$B:$B,0)</f>
        <v>GRUPO MOSAIC FERTILIZANTES DO BRASIL</v>
      </c>
      <c r="S121">
        <f t="shared" si="3"/>
        <v>60</v>
      </c>
    </row>
    <row r="122" spans="1:19" x14ac:dyDescent="0.25">
      <c r="A122">
        <v>215</v>
      </c>
      <c r="B122" t="s">
        <v>249</v>
      </c>
      <c r="C122" t="s">
        <v>885</v>
      </c>
      <c r="D122" s="34">
        <v>234720</v>
      </c>
      <c r="E122">
        <v>1246267628</v>
      </c>
      <c r="F122" s="30">
        <v>46122</v>
      </c>
      <c r="G122" s="30"/>
      <c r="H122" t="s">
        <v>28</v>
      </c>
      <c r="I122" t="s">
        <v>29</v>
      </c>
      <c r="J122">
        <v>2811</v>
      </c>
      <c r="K122" s="30">
        <v>46094</v>
      </c>
      <c r="L122">
        <v>1010100</v>
      </c>
      <c r="M122" t="s">
        <v>35</v>
      </c>
      <c r="N122">
        <v>161</v>
      </c>
      <c r="O122" t="s">
        <v>161</v>
      </c>
      <c r="P122" t="s">
        <v>417</v>
      </c>
      <c r="Q122">
        <f t="shared" si="2"/>
        <v>-11</v>
      </c>
      <c r="R122" t="str">
        <f>_xlfn.XLOOKUP(P122,'Painel Additive'!$B:$B,'Painel Additive'!$B:$B,0)</f>
        <v>GRUPO UNIFERTIL</v>
      </c>
      <c r="S122">
        <f t="shared" si="3"/>
        <v>28</v>
      </c>
    </row>
    <row r="123" spans="1:19" x14ac:dyDescent="0.25">
      <c r="A123">
        <v>215</v>
      </c>
      <c r="B123" t="s">
        <v>249</v>
      </c>
      <c r="C123" t="s">
        <v>885</v>
      </c>
      <c r="D123" s="34">
        <v>117360</v>
      </c>
      <c r="E123">
        <v>1246267630</v>
      </c>
      <c r="F123" s="30">
        <v>46122</v>
      </c>
      <c r="G123" s="30"/>
      <c r="H123" t="s">
        <v>28</v>
      </c>
      <c r="I123" t="s">
        <v>29</v>
      </c>
      <c r="J123">
        <v>2812</v>
      </c>
      <c r="K123" s="30">
        <v>46094</v>
      </c>
      <c r="L123">
        <v>1010100</v>
      </c>
      <c r="M123" t="s">
        <v>35</v>
      </c>
      <c r="N123">
        <v>161</v>
      </c>
      <c r="O123" t="s">
        <v>161</v>
      </c>
      <c r="P123" t="s">
        <v>417</v>
      </c>
      <c r="Q123">
        <f t="shared" si="2"/>
        <v>-11</v>
      </c>
      <c r="R123" t="str">
        <f>_xlfn.XLOOKUP(P123,'Painel Additive'!$B:$B,'Painel Additive'!$B:$B,0)</f>
        <v>GRUPO UNIFERTIL</v>
      </c>
      <c r="S123">
        <f t="shared" si="3"/>
        <v>28</v>
      </c>
    </row>
    <row r="124" spans="1:19" x14ac:dyDescent="0.25">
      <c r="A124">
        <v>2949</v>
      </c>
      <c r="B124" t="s">
        <v>860</v>
      </c>
      <c r="C124" t="s">
        <v>861</v>
      </c>
      <c r="D124" s="34">
        <v>67841.5</v>
      </c>
      <c r="E124">
        <v>1246265741</v>
      </c>
      <c r="F124" s="30">
        <v>46170</v>
      </c>
      <c r="G124" s="30"/>
      <c r="H124" t="s">
        <v>28</v>
      </c>
      <c r="I124" t="s">
        <v>29</v>
      </c>
      <c r="J124">
        <v>10785</v>
      </c>
      <c r="K124" s="30">
        <v>46080</v>
      </c>
      <c r="L124">
        <v>1010100</v>
      </c>
      <c r="M124" t="s">
        <v>35</v>
      </c>
      <c r="N124">
        <v>161</v>
      </c>
      <c r="O124" t="s">
        <v>161</v>
      </c>
      <c r="P124" t="s">
        <v>500</v>
      </c>
      <c r="Q124">
        <f t="shared" si="2"/>
        <v>-59</v>
      </c>
      <c r="R124" t="str">
        <f>_xlfn.XLOOKUP(P124,'Painel Additive'!$B:$B,'Painel Additive'!$B:$B,0)</f>
        <v>GRUPO MOSAIC FERTILIZANTES DO BRASIL</v>
      </c>
      <c r="S124">
        <f t="shared" si="3"/>
        <v>90</v>
      </c>
    </row>
    <row r="125" spans="1:19" x14ac:dyDescent="0.25">
      <c r="A125">
        <v>6124</v>
      </c>
      <c r="B125" t="s">
        <v>827</v>
      </c>
      <c r="C125" t="s">
        <v>96</v>
      </c>
      <c r="D125" s="34">
        <v>419434</v>
      </c>
      <c r="E125">
        <v>1246264936</v>
      </c>
      <c r="F125" s="30">
        <v>46167</v>
      </c>
      <c r="G125" s="30"/>
      <c r="H125" t="s">
        <v>28</v>
      </c>
      <c r="I125" t="s">
        <v>29</v>
      </c>
      <c r="J125">
        <v>2772</v>
      </c>
      <c r="K125" s="30">
        <v>46077</v>
      </c>
      <c r="L125">
        <v>1010100</v>
      </c>
      <c r="M125" t="s">
        <v>35</v>
      </c>
      <c r="N125">
        <v>56</v>
      </c>
      <c r="O125" t="s">
        <v>162</v>
      </c>
      <c r="P125" t="s">
        <v>500</v>
      </c>
      <c r="Q125">
        <f t="shared" si="2"/>
        <v>-56</v>
      </c>
      <c r="R125" t="str">
        <f>_xlfn.XLOOKUP(P125,'Painel Additive'!$B:$B,'Painel Additive'!$B:$B,0)</f>
        <v>GRUPO MOSAIC FERTILIZANTES DO BRASIL</v>
      </c>
      <c r="S125">
        <f t="shared" si="3"/>
        <v>90</v>
      </c>
    </row>
    <row r="126" spans="1:19" x14ac:dyDescent="0.25">
      <c r="A126">
        <v>6124</v>
      </c>
      <c r="B126" t="s">
        <v>827</v>
      </c>
      <c r="C126" t="s">
        <v>96</v>
      </c>
      <c r="D126" s="34">
        <v>51376.4</v>
      </c>
      <c r="E126">
        <v>1246260189</v>
      </c>
      <c r="F126" s="30">
        <v>46132</v>
      </c>
      <c r="G126" s="30"/>
      <c r="H126" t="s">
        <v>28</v>
      </c>
      <c r="I126" t="s">
        <v>29</v>
      </c>
      <c r="J126">
        <v>10535</v>
      </c>
      <c r="K126" s="30">
        <v>46042</v>
      </c>
      <c r="L126">
        <v>1010100</v>
      </c>
      <c r="M126" t="s">
        <v>35</v>
      </c>
      <c r="N126">
        <v>161</v>
      </c>
      <c r="O126" t="s">
        <v>161</v>
      </c>
      <c r="P126" t="s">
        <v>500</v>
      </c>
      <c r="Q126">
        <f t="shared" si="2"/>
        <v>-21</v>
      </c>
      <c r="R126" t="str">
        <f>_xlfn.XLOOKUP(P126,'Painel Additive'!$B:$B,'Painel Additive'!$B:$B,0)</f>
        <v>GRUPO MOSAIC FERTILIZANTES DO BRASIL</v>
      </c>
      <c r="S126">
        <f t="shared" si="3"/>
        <v>90</v>
      </c>
    </row>
    <row r="127" spans="1:19" x14ac:dyDescent="0.25">
      <c r="A127">
        <v>6124</v>
      </c>
      <c r="B127" t="s">
        <v>827</v>
      </c>
      <c r="C127" t="s">
        <v>96</v>
      </c>
      <c r="D127" s="34">
        <v>417259.92</v>
      </c>
      <c r="E127">
        <v>1246267573</v>
      </c>
      <c r="F127" s="30">
        <v>46153</v>
      </c>
      <c r="G127" s="30"/>
      <c r="H127" t="s">
        <v>28</v>
      </c>
      <c r="I127" t="s">
        <v>29</v>
      </c>
      <c r="J127">
        <v>2808</v>
      </c>
      <c r="K127" s="30">
        <v>46093</v>
      </c>
      <c r="L127">
        <v>1010100</v>
      </c>
      <c r="M127" t="s">
        <v>35</v>
      </c>
      <c r="N127">
        <v>161</v>
      </c>
      <c r="O127" t="s">
        <v>161</v>
      </c>
      <c r="P127" t="s">
        <v>500</v>
      </c>
      <c r="Q127">
        <f t="shared" si="2"/>
        <v>-42</v>
      </c>
      <c r="R127" t="str">
        <f>_xlfn.XLOOKUP(P127,'Painel Additive'!$B:$B,'Painel Additive'!$B:$B,0)</f>
        <v>GRUPO MOSAIC FERTILIZANTES DO BRASIL</v>
      </c>
      <c r="S127">
        <f t="shared" si="3"/>
        <v>60</v>
      </c>
    </row>
    <row r="128" spans="1:19" x14ac:dyDescent="0.25">
      <c r="A128">
        <v>6124</v>
      </c>
      <c r="B128" t="s">
        <v>827</v>
      </c>
      <c r="C128" t="s">
        <v>96</v>
      </c>
      <c r="D128" s="34">
        <v>55246.400000000001</v>
      </c>
      <c r="E128">
        <v>1246264147</v>
      </c>
      <c r="F128" s="30">
        <v>46162</v>
      </c>
      <c r="G128" s="30"/>
      <c r="H128" t="s">
        <v>28</v>
      </c>
      <c r="I128" t="s">
        <v>29</v>
      </c>
      <c r="J128">
        <v>10720</v>
      </c>
      <c r="K128" s="30">
        <v>46072</v>
      </c>
      <c r="L128">
        <v>1010100</v>
      </c>
      <c r="M128" t="s">
        <v>35</v>
      </c>
      <c r="N128">
        <v>161</v>
      </c>
      <c r="O128" t="s">
        <v>161</v>
      </c>
      <c r="P128" t="s">
        <v>500</v>
      </c>
      <c r="Q128">
        <f t="shared" si="2"/>
        <v>-51</v>
      </c>
      <c r="R128" t="str">
        <f>_xlfn.XLOOKUP(P128,'Painel Additive'!$B:$B,'Painel Additive'!$B:$B,0)</f>
        <v>GRUPO MOSAIC FERTILIZANTES DO BRASIL</v>
      </c>
      <c r="S128">
        <f t="shared" si="3"/>
        <v>90</v>
      </c>
    </row>
    <row r="129" spans="1:19" x14ac:dyDescent="0.25">
      <c r="A129">
        <v>6124</v>
      </c>
      <c r="B129" t="s">
        <v>827</v>
      </c>
      <c r="C129" t="s">
        <v>96</v>
      </c>
      <c r="D129" s="34">
        <v>52374</v>
      </c>
      <c r="E129">
        <v>1246267926</v>
      </c>
      <c r="F129" s="30">
        <v>46187</v>
      </c>
      <c r="G129" s="30"/>
      <c r="H129" t="s">
        <v>28</v>
      </c>
      <c r="I129" t="s">
        <v>29</v>
      </c>
      <c r="J129">
        <v>10897</v>
      </c>
      <c r="K129" s="30">
        <v>46097</v>
      </c>
      <c r="L129">
        <v>1010100</v>
      </c>
      <c r="M129" t="s">
        <v>35</v>
      </c>
      <c r="N129">
        <v>161</v>
      </c>
      <c r="O129" t="s">
        <v>161</v>
      </c>
      <c r="P129" t="s">
        <v>500</v>
      </c>
      <c r="Q129">
        <f t="shared" si="2"/>
        <v>-76</v>
      </c>
      <c r="R129" t="str">
        <f>_xlfn.XLOOKUP(P129,'Painel Additive'!$B:$B,'Painel Additive'!$B:$B,0)</f>
        <v>GRUPO MOSAIC FERTILIZANTES DO BRASIL</v>
      </c>
      <c r="S129">
        <f t="shared" si="3"/>
        <v>90</v>
      </c>
    </row>
    <row r="130" spans="1:19" x14ac:dyDescent="0.25">
      <c r="A130">
        <v>6124</v>
      </c>
      <c r="B130" t="s">
        <v>827</v>
      </c>
      <c r="C130" t="s">
        <v>96</v>
      </c>
      <c r="D130" s="34">
        <v>425218.51</v>
      </c>
      <c r="E130">
        <v>1246262612</v>
      </c>
      <c r="F130" s="30">
        <v>46119</v>
      </c>
      <c r="G130" s="30"/>
      <c r="H130" t="s">
        <v>28</v>
      </c>
      <c r="I130" t="s">
        <v>29</v>
      </c>
      <c r="J130">
        <v>2725</v>
      </c>
      <c r="K130" s="30">
        <v>46059</v>
      </c>
      <c r="L130">
        <v>1010100</v>
      </c>
      <c r="M130" t="s">
        <v>35</v>
      </c>
      <c r="N130">
        <v>161</v>
      </c>
      <c r="O130" t="s">
        <v>161</v>
      </c>
      <c r="P130" t="s">
        <v>500</v>
      </c>
      <c r="Q130">
        <f t="shared" si="2"/>
        <v>-8</v>
      </c>
      <c r="R130" t="str">
        <f>_xlfn.XLOOKUP(P130,'Painel Additive'!$B:$B,'Painel Additive'!$B:$B,0)</f>
        <v>GRUPO MOSAIC FERTILIZANTES DO BRASIL</v>
      </c>
      <c r="S130">
        <f t="shared" si="3"/>
        <v>60</v>
      </c>
    </row>
    <row r="131" spans="1:19" x14ac:dyDescent="0.25">
      <c r="A131">
        <v>6124</v>
      </c>
      <c r="B131" t="s">
        <v>827</v>
      </c>
      <c r="C131" t="s">
        <v>96</v>
      </c>
      <c r="D131" s="34">
        <v>422856.82</v>
      </c>
      <c r="E131">
        <v>1246263813</v>
      </c>
      <c r="F131" s="30">
        <v>46129</v>
      </c>
      <c r="G131" s="30"/>
      <c r="H131" t="s">
        <v>28</v>
      </c>
      <c r="I131" t="s">
        <v>29</v>
      </c>
      <c r="J131">
        <v>2744</v>
      </c>
      <c r="K131" s="30">
        <v>46069</v>
      </c>
      <c r="L131">
        <v>1010100</v>
      </c>
      <c r="M131" t="s">
        <v>35</v>
      </c>
      <c r="N131">
        <v>161</v>
      </c>
      <c r="O131" t="s">
        <v>161</v>
      </c>
      <c r="P131" t="s">
        <v>500</v>
      </c>
      <c r="Q131">
        <f t="shared" ref="Q131:Q169" si="4">$R$1-F131</f>
        <v>-18</v>
      </c>
      <c r="R131" t="str">
        <f>_xlfn.XLOOKUP(P131,'Painel Additive'!$B:$B,'Painel Additive'!$B:$B,0)</f>
        <v>GRUPO MOSAIC FERTILIZANTES DO BRASIL</v>
      </c>
      <c r="S131">
        <f t="shared" ref="S131:S169" si="5">F131-K131</f>
        <v>60</v>
      </c>
    </row>
    <row r="132" spans="1:19" x14ac:dyDescent="0.25">
      <c r="A132">
        <v>7102</v>
      </c>
      <c r="B132" t="s">
        <v>801</v>
      </c>
      <c r="C132" t="s">
        <v>567</v>
      </c>
      <c r="D132" s="34">
        <v>62553.7</v>
      </c>
      <c r="E132">
        <v>1246262017</v>
      </c>
      <c r="F132" s="30">
        <v>46145</v>
      </c>
      <c r="G132" s="30"/>
      <c r="H132" t="s">
        <v>28</v>
      </c>
      <c r="I132" t="s">
        <v>29</v>
      </c>
      <c r="J132">
        <v>10626</v>
      </c>
      <c r="K132" s="30">
        <v>46055</v>
      </c>
      <c r="L132">
        <v>1010100</v>
      </c>
      <c r="M132" t="s">
        <v>35</v>
      </c>
      <c r="N132">
        <v>161</v>
      </c>
      <c r="O132" t="s">
        <v>161</v>
      </c>
      <c r="P132" t="s">
        <v>500</v>
      </c>
      <c r="Q132">
        <f t="shared" si="4"/>
        <v>-34</v>
      </c>
      <c r="R132" t="str">
        <f>_xlfn.XLOOKUP(P132,'Painel Additive'!$B:$B,'Painel Additive'!$B:$B,0)</f>
        <v>GRUPO MOSAIC FERTILIZANTES DO BRASIL</v>
      </c>
      <c r="S132">
        <f t="shared" si="5"/>
        <v>90</v>
      </c>
    </row>
    <row r="133" spans="1:19" x14ac:dyDescent="0.25">
      <c r="A133">
        <v>7102</v>
      </c>
      <c r="B133" t="s">
        <v>801</v>
      </c>
      <c r="C133" t="s">
        <v>567</v>
      </c>
      <c r="D133" s="34">
        <v>63055.3</v>
      </c>
      <c r="E133">
        <v>1246259121</v>
      </c>
      <c r="F133" s="30">
        <v>46124</v>
      </c>
      <c r="G133" s="30"/>
      <c r="H133" t="s">
        <v>28</v>
      </c>
      <c r="I133" t="s">
        <v>29</v>
      </c>
      <c r="J133">
        <v>10455</v>
      </c>
      <c r="K133" s="30">
        <v>46034</v>
      </c>
      <c r="L133">
        <v>1010100</v>
      </c>
      <c r="M133" t="s">
        <v>35</v>
      </c>
      <c r="N133">
        <v>161</v>
      </c>
      <c r="O133" t="s">
        <v>161</v>
      </c>
      <c r="P133" t="s">
        <v>500</v>
      </c>
      <c r="Q133">
        <f t="shared" si="4"/>
        <v>-13</v>
      </c>
      <c r="R133" t="str">
        <f>_xlfn.XLOOKUP(P133,'Painel Additive'!$B:$B,'Painel Additive'!$B:$B,0)</f>
        <v>GRUPO MOSAIC FERTILIZANTES DO BRASIL</v>
      </c>
      <c r="S133">
        <f t="shared" si="5"/>
        <v>90</v>
      </c>
    </row>
    <row r="134" spans="1:19" x14ac:dyDescent="0.25">
      <c r="A134">
        <v>7102</v>
      </c>
      <c r="B134" t="s">
        <v>801</v>
      </c>
      <c r="C134" t="s">
        <v>567</v>
      </c>
      <c r="D134" s="34">
        <v>62637.3</v>
      </c>
      <c r="E134">
        <v>1246268784</v>
      </c>
      <c r="F134" s="30">
        <v>46195</v>
      </c>
      <c r="G134" s="30"/>
      <c r="H134" t="s">
        <v>28</v>
      </c>
      <c r="I134" t="s">
        <v>29</v>
      </c>
      <c r="J134">
        <v>10966</v>
      </c>
      <c r="K134" s="30">
        <v>46105</v>
      </c>
      <c r="L134">
        <v>1010100</v>
      </c>
      <c r="M134" t="s">
        <v>35</v>
      </c>
      <c r="N134">
        <v>161</v>
      </c>
      <c r="O134" t="s">
        <v>161</v>
      </c>
      <c r="P134" t="s">
        <v>500</v>
      </c>
      <c r="Q134">
        <f t="shared" si="4"/>
        <v>-84</v>
      </c>
      <c r="R134" t="str">
        <f>_xlfn.XLOOKUP(P134,'Painel Additive'!$B:$B,'Painel Additive'!$B:$B,0)</f>
        <v>GRUPO MOSAIC FERTILIZANTES DO BRASIL</v>
      </c>
      <c r="S134">
        <f t="shared" si="5"/>
        <v>90</v>
      </c>
    </row>
    <row r="135" spans="1:19" x14ac:dyDescent="0.25">
      <c r="A135">
        <v>7102</v>
      </c>
      <c r="B135" t="s">
        <v>801</v>
      </c>
      <c r="C135" t="s">
        <v>567</v>
      </c>
      <c r="D135" s="34">
        <v>62888.1</v>
      </c>
      <c r="E135">
        <v>1246258714</v>
      </c>
      <c r="F135" s="30">
        <v>46119</v>
      </c>
      <c r="G135" s="30"/>
      <c r="H135" t="s">
        <v>28</v>
      </c>
      <c r="I135" t="s">
        <v>29</v>
      </c>
      <c r="J135">
        <v>10440</v>
      </c>
      <c r="K135" s="30">
        <v>46029</v>
      </c>
      <c r="L135">
        <v>1010100</v>
      </c>
      <c r="M135" t="s">
        <v>35</v>
      </c>
      <c r="N135">
        <v>161</v>
      </c>
      <c r="O135" t="s">
        <v>161</v>
      </c>
      <c r="P135" t="s">
        <v>500</v>
      </c>
      <c r="Q135">
        <f t="shared" si="4"/>
        <v>-8</v>
      </c>
      <c r="R135" t="str">
        <f>_xlfn.XLOOKUP(P135,'Painel Additive'!$B:$B,'Painel Additive'!$B:$B,0)</f>
        <v>GRUPO MOSAIC FERTILIZANTES DO BRASIL</v>
      </c>
      <c r="S135">
        <f t="shared" si="5"/>
        <v>90</v>
      </c>
    </row>
    <row r="136" spans="1:19" x14ac:dyDescent="0.25">
      <c r="A136">
        <v>7102</v>
      </c>
      <c r="B136" t="s">
        <v>801</v>
      </c>
      <c r="C136" t="s">
        <v>567</v>
      </c>
      <c r="D136" s="34">
        <v>63619.6</v>
      </c>
      <c r="E136">
        <v>1246260392</v>
      </c>
      <c r="F136" s="30">
        <v>46134</v>
      </c>
      <c r="G136" s="30"/>
      <c r="H136" t="s">
        <v>28</v>
      </c>
      <c r="I136" t="s">
        <v>29</v>
      </c>
      <c r="J136">
        <v>10543</v>
      </c>
      <c r="K136" s="30">
        <v>46044</v>
      </c>
      <c r="L136">
        <v>1010100</v>
      </c>
      <c r="M136" t="s">
        <v>35</v>
      </c>
      <c r="N136">
        <v>161</v>
      </c>
      <c r="O136" t="s">
        <v>161</v>
      </c>
      <c r="P136" t="s">
        <v>500</v>
      </c>
      <c r="Q136">
        <f t="shared" si="4"/>
        <v>-23</v>
      </c>
      <c r="R136" t="str">
        <f>_xlfn.XLOOKUP(P136,'Painel Additive'!$B:$B,'Painel Additive'!$B:$B,0)</f>
        <v>GRUPO MOSAIC FERTILIZANTES DO BRASIL</v>
      </c>
      <c r="S136">
        <f t="shared" si="5"/>
        <v>90</v>
      </c>
    </row>
    <row r="137" spans="1:19" x14ac:dyDescent="0.25">
      <c r="A137">
        <v>7102</v>
      </c>
      <c r="B137" t="s">
        <v>801</v>
      </c>
      <c r="C137" t="s">
        <v>567</v>
      </c>
      <c r="D137" s="34">
        <v>62700</v>
      </c>
      <c r="E137">
        <v>1246262728</v>
      </c>
      <c r="F137" s="30">
        <v>46152</v>
      </c>
      <c r="G137" s="30"/>
      <c r="H137" t="s">
        <v>28</v>
      </c>
      <c r="I137" t="s">
        <v>29</v>
      </c>
      <c r="J137">
        <v>10663</v>
      </c>
      <c r="K137" s="30">
        <v>46062</v>
      </c>
      <c r="L137">
        <v>1010100</v>
      </c>
      <c r="M137" t="s">
        <v>35</v>
      </c>
      <c r="N137">
        <v>161</v>
      </c>
      <c r="O137" t="s">
        <v>161</v>
      </c>
      <c r="P137" t="s">
        <v>500</v>
      </c>
      <c r="Q137">
        <f t="shared" si="4"/>
        <v>-41</v>
      </c>
      <c r="R137" t="str">
        <f>_xlfn.XLOOKUP(P137,'Painel Additive'!$B:$B,'Painel Additive'!$B:$B,0)</f>
        <v>GRUPO MOSAIC FERTILIZANTES DO BRASIL</v>
      </c>
      <c r="S137">
        <f t="shared" si="5"/>
        <v>90</v>
      </c>
    </row>
    <row r="138" spans="1:19" x14ac:dyDescent="0.25">
      <c r="A138">
        <v>7662</v>
      </c>
      <c r="B138" t="s">
        <v>106</v>
      </c>
      <c r="C138" t="s">
        <v>552</v>
      </c>
      <c r="D138" s="34">
        <v>57795</v>
      </c>
      <c r="E138">
        <v>1246266875</v>
      </c>
      <c r="F138" s="30">
        <v>46132</v>
      </c>
      <c r="G138" s="30"/>
      <c r="H138" t="s">
        <v>28</v>
      </c>
      <c r="I138" t="s">
        <v>29</v>
      </c>
      <c r="J138">
        <v>2799</v>
      </c>
      <c r="K138" s="30">
        <v>46087</v>
      </c>
      <c r="L138">
        <v>1010100</v>
      </c>
      <c r="M138" t="s">
        <v>35</v>
      </c>
      <c r="N138">
        <v>161</v>
      </c>
      <c r="O138" t="s">
        <v>161</v>
      </c>
      <c r="P138" t="s">
        <v>618</v>
      </c>
      <c r="Q138">
        <f t="shared" si="4"/>
        <v>-21</v>
      </c>
      <c r="R138" t="str">
        <f>_xlfn.XLOOKUP(P138,'Painel Additive'!$B:$B,'Painel Additive'!$B:$B,0)</f>
        <v>BENTONIT UNIAO - CAMPINA GRANDE</v>
      </c>
      <c r="S138">
        <f t="shared" si="5"/>
        <v>45</v>
      </c>
    </row>
    <row r="139" spans="1:19" x14ac:dyDescent="0.25">
      <c r="A139">
        <v>7662</v>
      </c>
      <c r="B139" t="s">
        <v>106</v>
      </c>
      <c r="C139" t="s">
        <v>552</v>
      </c>
      <c r="D139" s="34">
        <v>57795</v>
      </c>
      <c r="E139">
        <v>1246266876</v>
      </c>
      <c r="F139" s="30">
        <v>46147</v>
      </c>
      <c r="G139" s="30"/>
      <c r="H139" t="s">
        <v>28</v>
      </c>
      <c r="I139" t="s">
        <v>29</v>
      </c>
      <c r="J139">
        <v>2799</v>
      </c>
      <c r="K139" s="30">
        <v>46087</v>
      </c>
      <c r="L139">
        <v>1010100</v>
      </c>
      <c r="M139" t="s">
        <v>35</v>
      </c>
      <c r="N139">
        <v>161</v>
      </c>
      <c r="O139" t="s">
        <v>161</v>
      </c>
      <c r="P139" t="s">
        <v>618</v>
      </c>
      <c r="Q139">
        <f t="shared" si="4"/>
        <v>-36</v>
      </c>
      <c r="R139" t="str">
        <f>_xlfn.XLOOKUP(P139,'Painel Additive'!$B:$B,'Painel Additive'!$B:$B,0)</f>
        <v>BENTONIT UNIAO - CAMPINA GRANDE</v>
      </c>
      <c r="S139">
        <f t="shared" si="5"/>
        <v>60</v>
      </c>
    </row>
    <row r="140" spans="1:19" x14ac:dyDescent="0.25">
      <c r="A140">
        <v>7662</v>
      </c>
      <c r="B140" t="s">
        <v>106</v>
      </c>
      <c r="C140" t="s">
        <v>552</v>
      </c>
      <c r="D140" s="34">
        <v>38530</v>
      </c>
      <c r="E140">
        <v>1246262501</v>
      </c>
      <c r="F140" s="30">
        <v>46119</v>
      </c>
      <c r="G140" s="30"/>
      <c r="H140" t="s">
        <v>28</v>
      </c>
      <c r="I140" t="s">
        <v>29</v>
      </c>
      <c r="J140">
        <v>2722</v>
      </c>
      <c r="K140" s="30">
        <v>46059</v>
      </c>
      <c r="L140">
        <v>1010100</v>
      </c>
      <c r="M140" t="s">
        <v>35</v>
      </c>
      <c r="N140">
        <v>161</v>
      </c>
      <c r="O140" t="s">
        <v>161</v>
      </c>
      <c r="P140" t="s">
        <v>618</v>
      </c>
      <c r="Q140">
        <f t="shared" si="4"/>
        <v>-8</v>
      </c>
      <c r="R140" t="str">
        <f>_xlfn.XLOOKUP(P140,'Painel Additive'!$B:$B,'Painel Additive'!$B:$B,0)</f>
        <v>BENTONIT UNIAO - CAMPINA GRANDE</v>
      </c>
      <c r="S140">
        <f t="shared" si="5"/>
        <v>60</v>
      </c>
    </row>
    <row r="141" spans="1:19" ht="3" customHeight="1" x14ac:dyDescent="0.25">
      <c r="A141">
        <v>7662</v>
      </c>
      <c r="B141" t="s">
        <v>106</v>
      </c>
      <c r="C141" t="s">
        <v>552</v>
      </c>
      <c r="D141" s="34">
        <v>57795</v>
      </c>
      <c r="E141">
        <v>1246264217</v>
      </c>
      <c r="F141" s="30">
        <v>46118</v>
      </c>
      <c r="G141" s="30"/>
      <c r="H141" t="s">
        <v>28</v>
      </c>
      <c r="I141" t="s">
        <v>29</v>
      </c>
      <c r="J141">
        <v>2754</v>
      </c>
      <c r="K141" s="30">
        <v>46073</v>
      </c>
      <c r="L141">
        <v>1010100</v>
      </c>
      <c r="M141" t="s">
        <v>35</v>
      </c>
      <c r="N141">
        <v>161</v>
      </c>
      <c r="O141" t="s">
        <v>161</v>
      </c>
      <c r="P141" t="s">
        <v>618</v>
      </c>
      <c r="Q141">
        <f t="shared" si="4"/>
        <v>-7</v>
      </c>
      <c r="R141" t="str">
        <f>_xlfn.XLOOKUP(P141,'Painel Additive'!$B:$B,'Painel Additive'!$B:$B,0)</f>
        <v>BENTONIT UNIAO - CAMPINA GRANDE</v>
      </c>
      <c r="S141">
        <f t="shared" si="5"/>
        <v>45</v>
      </c>
    </row>
    <row r="142" spans="1:19" x14ac:dyDescent="0.25">
      <c r="A142">
        <v>7662</v>
      </c>
      <c r="B142" t="s">
        <v>106</v>
      </c>
      <c r="C142" t="s">
        <v>552</v>
      </c>
      <c r="D142" s="34">
        <v>57795</v>
      </c>
      <c r="E142">
        <v>1246264218</v>
      </c>
      <c r="F142" s="30">
        <v>46133</v>
      </c>
      <c r="G142" s="30"/>
      <c r="H142" t="s">
        <v>28</v>
      </c>
      <c r="I142" t="s">
        <v>29</v>
      </c>
      <c r="J142">
        <v>2754</v>
      </c>
      <c r="K142" s="30">
        <v>46073</v>
      </c>
      <c r="L142">
        <v>1010100</v>
      </c>
      <c r="M142" t="s">
        <v>35</v>
      </c>
      <c r="N142">
        <v>161</v>
      </c>
      <c r="O142" t="s">
        <v>161</v>
      </c>
      <c r="P142" t="s">
        <v>618</v>
      </c>
      <c r="Q142">
        <f t="shared" si="4"/>
        <v>-22</v>
      </c>
      <c r="R142" t="str">
        <f>_xlfn.XLOOKUP(P142,'Painel Additive'!$B:$B,'Painel Additive'!$B:$B,0)</f>
        <v>BENTONIT UNIAO - CAMPINA GRANDE</v>
      </c>
      <c r="S142">
        <f t="shared" si="5"/>
        <v>60</v>
      </c>
    </row>
    <row r="143" spans="1:19" x14ac:dyDescent="0.25">
      <c r="A143">
        <v>7662</v>
      </c>
      <c r="B143" t="s">
        <v>106</v>
      </c>
      <c r="C143" t="s">
        <v>552</v>
      </c>
      <c r="D143" s="34">
        <v>77060</v>
      </c>
      <c r="E143">
        <v>1246269689</v>
      </c>
      <c r="F143" s="30">
        <v>46157</v>
      </c>
      <c r="G143" s="30"/>
      <c r="H143" t="s">
        <v>28</v>
      </c>
      <c r="I143" t="s">
        <v>29</v>
      </c>
      <c r="J143">
        <v>2856</v>
      </c>
      <c r="K143" s="30">
        <v>46112</v>
      </c>
      <c r="L143">
        <v>1010100</v>
      </c>
      <c r="M143" t="s">
        <v>35</v>
      </c>
      <c r="N143">
        <v>161</v>
      </c>
      <c r="O143" t="s">
        <v>161</v>
      </c>
      <c r="P143" t="s">
        <v>618</v>
      </c>
      <c r="Q143">
        <f t="shared" si="4"/>
        <v>-46</v>
      </c>
      <c r="R143" t="str">
        <f>_xlfn.XLOOKUP(P143,'Painel Additive'!$B:$B,'Painel Additive'!$B:$B,0)</f>
        <v>BENTONIT UNIAO - CAMPINA GRANDE</v>
      </c>
      <c r="S143">
        <f t="shared" si="5"/>
        <v>45</v>
      </c>
    </row>
    <row r="144" spans="1:19" x14ac:dyDescent="0.25">
      <c r="A144">
        <v>7662</v>
      </c>
      <c r="B144" t="s">
        <v>106</v>
      </c>
      <c r="C144" t="s">
        <v>552</v>
      </c>
      <c r="D144" s="34">
        <v>77060</v>
      </c>
      <c r="E144">
        <v>1246269690</v>
      </c>
      <c r="F144" s="30">
        <v>46172</v>
      </c>
      <c r="G144" s="30"/>
      <c r="H144" t="s">
        <v>28</v>
      </c>
      <c r="I144" t="s">
        <v>29</v>
      </c>
      <c r="J144">
        <v>2856</v>
      </c>
      <c r="K144" s="30">
        <v>46112</v>
      </c>
      <c r="L144">
        <v>1010100</v>
      </c>
      <c r="M144" t="s">
        <v>35</v>
      </c>
      <c r="N144">
        <v>161</v>
      </c>
      <c r="O144" t="s">
        <v>161</v>
      </c>
      <c r="P144" t="s">
        <v>618</v>
      </c>
      <c r="Q144">
        <f t="shared" si="4"/>
        <v>-61</v>
      </c>
      <c r="R144" t="str">
        <f>_xlfn.XLOOKUP(P144,'Painel Additive'!$B:$B,'Painel Additive'!$B:$B,0)</f>
        <v>BENTONIT UNIAO - CAMPINA GRANDE</v>
      </c>
      <c r="S144">
        <f t="shared" si="5"/>
        <v>60</v>
      </c>
    </row>
    <row r="145" spans="1:19" x14ac:dyDescent="0.25">
      <c r="A145">
        <v>7662</v>
      </c>
      <c r="B145" t="s">
        <v>106</v>
      </c>
      <c r="C145" t="s">
        <v>552</v>
      </c>
      <c r="D145" s="34">
        <v>77060</v>
      </c>
      <c r="E145">
        <v>1246262503</v>
      </c>
      <c r="F145" s="30">
        <v>46119</v>
      </c>
      <c r="G145" s="30"/>
      <c r="H145" t="s">
        <v>28</v>
      </c>
      <c r="I145" t="s">
        <v>29</v>
      </c>
      <c r="J145">
        <v>2723</v>
      </c>
      <c r="K145" s="30">
        <v>46059</v>
      </c>
      <c r="L145">
        <v>1010100</v>
      </c>
      <c r="M145" t="s">
        <v>35</v>
      </c>
      <c r="N145">
        <v>161</v>
      </c>
      <c r="O145" t="s">
        <v>161</v>
      </c>
      <c r="P145" t="s">
        <v>618</v>
      </c>
      <c r="Q145">
        <f t="shared" si="4"/>
        <v>-8</v>
      </c>
      <c r="R145" t="str">
        <f>_xlfn.XLOOKUP(P145,'Painel Additive'!$B:$B,'Painel Additive'!$B:$B,0)</f>
        <v>BENTONIT UNIAO - CAMPINA GRANDE</v>
      </c>
      <c r="S145">
        <f t="shared" si="5"/>
        <v>60</v>
      </c>
    </row>
    <row r="146" spans="1:19" x14ac:dyDescent="0.25">
      <c r="A146">
        <v>7745</v>
      </c>
      <c r="B146" t="s">
        <v>366</v>
      </c>
      <c r="C146" t="s">
        <v>875</v>
      </c>
      <c r="D146" s="34">
        <v>141108</v>
      </c>
      <c r="E146">
        <v>1246266794</v>
      </c>
      <c r="F146" s="30">
        <v>46121</v>
      </c>
      <c r="G146" s="30"/>
      <c r="H146" t="s">
        <v>28</v>
      </c>
      <c r="I146" t="s">
        <v>29</v>
      </c>
      <c r="J146">
        <v>2797</v>
      </c>
      <c r="K146" s="30">
        <v>46086</v>
      </c>
      <c r="L146">
        <v>1010100</v>
      </c>
      <c r="M146" t="s">
        <v>35</v>
      </c>
      <c r="N146">
        <v>56</v>
      </c>
      <c r="O146" t="s">
        <v>162</v>
      </c>
      <c r="P146" t="s">
        <v>425</v>
      </c>
      <c r="Q146">
        <f t="shared" si="4"/>
        <v>-10</v>
      </c>
      <c r="R146" t="str">
        <f>_xlfn.XLOOKUP(P146,'Painel Additive'!$B:$B,'Painel Additive'!$B:$B,0)</f>
        <v>GRUPO LOUIS DREYFUS</v>
      </c>
      <c r="S146">
        <f t="shared" si="5"/>
        <v>35</v>
      </c>
    </row>
    <row r="147" spans="1:19" x14ac:dyDescent="0.25">
      <c r="A147">
        <v>7745</v>
      </c>
      <c r="B147" t="s">
        <v>366</v>
      </c>
      <c r="C147" t="s">
        <v>875</v>
      </c>
      <c r="D147" s="34">
        <v>26356</v>
      </c>
      <c r="E147">
        <v>1246266587</v>
      </c>
      <c r="F147" s="30">
        <v>46121</v>
      </c>
      <c r="G147" s="30"/>
      <c r="H147" t="s">
        <v>28</v>
      </c>
      <c r="I147" t="s">
        <v>29</v>
      </c>
      <c r="J147">
        <v>10823</v>
      </c>
      <c r="K147" s="30">
        <v>46086</v>
      </c>
      <c r="L147">
        <v>1010100</v>
      </c>
      <c r="M147" t="s">
        <v>35</v>
      </c>
      <c r="N147">
        <v>56</v>
      </c>
      <c r="O147" t="s">
        <v>162</v>
      </c>
      <c r="P147" t="s">
        <v>425</v>
      </c>
      <c r="Q147">
        <f t="shared" si="4"/>
        <v>-10</v>
      </c>
      <c r="R147" t="str">
        <f>_xlfn.XLOOKUP(P147,'Painel Additive'!$B:$B,'Painel Additive'!$B:$B,0)</f>
        <v>GRUPO LOUIS DREYFUS</v>
      </c>
      <c r="S147">
        <f t="shared" si="5"/>
        <v>35</v>
      </c>
    </row>
    <row r="148" spans="1:19" x14ac:dyDescent="0.25">
      <c r="A148">
        <v>7479</v>
      </c>
      <c r="B148" t="s">
        <v>850</v>
      </c>
      <c r="C148" t="s">
        <v>851</v>
      </c>
      <c r="D148" s="34">
        <v>64104.800000000003</v>
      </c>
      <c r="E148">
        <v>1246264518</v>
      </c>
      <c r="F148" s="30">
        <v>46166</v>
      </c>
      <c r="G148" s="30"/>
      <c r="H148" t="s">
        <v>28</v>
      </c>
      <c r="I148" t="s">
        <v>29</v>
      </c>
      <c r="J148">
        <v>10739</v>
      </c>
      <c r="K148" s="30">
        <v>46076</v>
      </c>
      <c r="L148">
        <v>1010100</v>
      </c>
      <c r="M148" t="s">
        <v>35</v>
      </c>
      <c r="N148">
        <v>56</v>
      </c>
      <c r="O148" t="s">
        <v>162</v>
      </c>
      <c r="P148" t="s">
        <v>500</v>
      </c>
      <c r="Q148">
        <f t="shared" si="4"/>
        <v>-55</v>
      </c>
      <c r="R148" t="str">
        <f>_xlfn.XLOOKUP(P148,'Painel Additive'!$B:$B,'Painel Additive'!$B:$B,0)</f>
        <v>GRUPO MOSAIC FERTILIZANTES DO BRASIL</v>
      </c>
      <c r="S148">
        <f t="shared" si="5"/>
        <v>90</v>
      </c>
    </row>
    <row r="149" spans="1:19" x14ac:dyDescent="0.25">
      <c r="A149">
        <v>6477</v>
      </c>
      <c r="B149" t="s">
        <v>98</v>
      </c>
      <c r="C149" t="s">
        <v>99</v>
      </c>
      <c r="D149" s="34">
        <v>10915.8</v>
      </c>
      <c r="E149">
        <v>1246261047</v>
      </c>
      <c r="F149" s="30">
        <v>46138</v>
      </c>
      <c r="G149" s="30"/>
      <c r="H149" t="s">
        <v>28</v>
      </c>
      <c r="I149" t="s">
        <v>29</v>
      </c>
      <c r="J149">
        <v>10576</v>
      </c>
      <c r="K149" s="30">
        <v>46048</v>
      </c>
      <c r="L149">
        <v>1010100</v>
      </c>
      <c r="M149" t="s">
        <v>35</v>
      </c>
      <c r="N149">
        <v>161</v>
      </c>
      <c r="O149" t="s">
        <v>161</v>
      </c>
      <c r="P149" t="s">
        <v>500</v>
      </c>
      <c r="Q149">
        <f t="shared" si="4"/>
        <v>-27</v>
      </c>
      <c r="R149" t="str">
        <f>_xlfn.XLOOKUP(P149,'Painel Additive'!$B:$B,'Painel Additive'!$B:$B,0)</f>
        <v>GRUPO MOSAIC FERTILIZANTES DO BRASIL</v>
      </c>
      <c r="S149">
        <f t="shared" si="5"/>
        <v>90</v>
      </c>
    </row>
    <row r="150" spans="1:19" x14ac:dyDescent="0.25">
      <c r="A150">
        <v>6477</v>
      </c>
      <c r="B150" t="s">
        <v>98</v>
      </c>
      <c r="C150" t="s">
        <v>99</v>
      </c>
      <c r="D150" s="34">
        <v>166320</v>
      </c>
      <c r="E150">
        <v>1246263184</v>
      </c>
      <c r="F150" s="30">
        <v>46153</v>
      </c>
      <c r="G150" s="30"/>
      <c r="H150" t="s">
        <v>28</v>
      </c>
      <c r="I150" t="s">
        <v>29</v>
      </c>
      <c r="J150">
        <v>10673</v>
      </c>
      <c r="K150" s="30">
        <v>46063</v>
      </c>
      <c r="L150">
        <v>1010100</v>
      </c>
      <c r="M150" t="s">
        <v>35</v>
      </c>
      <c r="N150">
        <v>161</v>
      </c>
      <c r="O150" t="s">
        <v>161</v>
      </c>
      <c r="P150" t="s">
        <v>500</v>
      </c>
      <c r="Q150">
        <f t="shared" si="4"/>
        <v>-42</v>
      </c>
      <c r="R150" t="str">
        <f>_xlfn.XLOOKUP(P150,'Painel Additive'!$B:$B,'Painel Additive'!$B:$B,0)</f>
        <v>GRUPO MOSAIC FERTILIZANTES DO BRASIL</v>
      </c>
      <c r="S150">
        <f t="shared" si="5"/>
        <v>90</v>
      </c>
    </row>
    <row r="151" spans="1:19" x14ac:dyDescent="0.25">
      <c r="A151">
        <v>6477</v>
      </c>
      <c r="B151" t="s">
        <v>98</v>
      </c>
      <c r="C151" t="s">
        <v>99</v>
      </c>
      <c r="D151" s="34">
        <v>221088</v>
      </c>
      <c r="E151">
        <v>1246261235</v>
      </c>
      <c r="F151" s="30">
        <v>46139</v>
      </c>
      <c r="G151" s="30"/>
      <c r="H151" t="s">
        <v>28</v>
      </c>
      <c r="I151" t="s">
        <v>29</v>
      </c>
      <c r="J151">
        <v>10588</v>
      </c>
      <c r="K151" s="30">
        <v>46049</v>
      </c>
      <c r="L151">
        <v>1010100</v>
      </c>
      <c r="M151" t="s">
        <v>35</v>
      </c>
      <c r="N151">
        <v>161</v>
      </c>
      <c r="O151" t="s">
        <v>161</v>
      </c>
      <c r="P151" t="s">
        <v>500</v>
      </c>
      <c r="Q151">
        <f t="shared" si="4"/>
        <v>-28</v>
      </c>
      <c r="R151" t="str">
        <f>_xlfn.XLOOKUP(P151,'Painel Additive'!$B:$B,'Painel Additive'!$B:$B,0)</f>
        <v>GRUPO MOSAIC FERTILIZANTES DO BRASIL</v>
      </c>
      <c r="S151">
        <f t="shared" si="5"/>
        <v>90</v>
      </c>
    </row>
    <row r="152" spans="1:19" x14ac:dyDescent="0.25">
      <c r="A152">
        <v>6477</v>
      </c>
      <c r="B152" t="s">
        <v>98</v>
      </c>
      <c r="C152" t="s">
        <v>99</v>
      </c>
      <c r="D152" s="34">
        <v>167720</v>
      </c>
      <c r="E152">
        <v>1246262010</v>
      </c>
      <c r="F152" s="30">
        <v>46145</v>
      </c>
      <c r="G152" s="30"/>
      <c r="H152" t="s">
        <v>28</v>
      </c>
      <c r="I152" t="s">
        <v>29</v>
      </c>
      <c r="J152">
        <v>10625</v>
      </c>
      <c r="K152" s="30">
        <v>46055</v>
      </c>
      <c r="L152">
        <v>1010100</v>
      </c>
      <c r="M152" t="s">
        <v>35</v>
      </c>
      <c r="N152">
        <v>161</v>
      </c>
      <c r="O152" t="s">
        <v>161</v>
      </c>
      <c r="P152" t="s">
        <v>500</v>
      </c>
      <c r="Q152">
        <f t="shared" si="4"/>
        <v>-34</v>
      </c>
      <c r="R152" t="str">
        <f>_xlfn.XLOOKUP(P152,'Painel Additive'!$B:$B,'Painel Additive'!$B:$B,0)</f>
        <v>GRUPO MOSAIC FERTILIZANTES DO BRASIL</v>
      </c>
      <c r="S152">
        <f t="shared" si="5"/>
        <v>90</v>
      </c>
    </row>
    <row r="153" spans="1:19" x14ac:dyDescent="0.25">
      <c r="A153">
        <v>6477</v>
      </c>
      <c r="B153" t="s">
        <v>98</v>
      </c>
      <c r="C153" t="s">
        <v>99</v>
      </c>
      <c r="D153" s="34">
        <v>167048</v>
      </c>
      <c r="E153">
        <v>1246260177</v>
      </c>
      <c r="F153" s="30">
        <v>46132</v>
      </c>
      <c r="G153" s="30"/>
      <c r="H153" t="s">
        <v>28</v>
      </c>
      <c r="I153" t="s">
        <v>29</v>
      </c>
      <c r="J153">
        <v>10533</v>
      </c>
      <c r="K153" s="30">
        <v>46042</v>
      </c>
      <c r="L153">
        <v>1010100</v>
      </c>
      <c r="M153" t="s">
        <v>35</v>
      </c>
      <c r="N153">
        <v>161</v>
      </c>
      <c r="O153" t="s">
        <v>161</v>
      </c>
      <c r="P153" t="s">
        <v>500</v>
      </c>
      <c r="Q153">
        <f t="shared" si="4"/>
        <v>-21</v>
      </c>
      <c r="R153" t="str">
        <f>_xlfn.XLOOKUP(P153,'Painel Additive'!$B:$B,'Painel Additive'!$B:$B,0)</f>
        <v>GRUPO MOSAIC FERTILIZANTES DO BRASIL</v>
      </c>
      <c r="S153">
        <f t="shared" si="5"/>
        <v>90</v>
      </c>
    </row>
    <row r="154" spans="1:19" x14ac:dyDescent="0.25">
      <c r="A154">
        <v>6477</v>
      </c>
      <c r="B154" t="s">
        <v>98</v>
      </c>
      <c r="C154" t="s">
        <v>99</v>
      </c>
      <c r="D154" s="34">
        <v>168000</v>
      </c>
      <c r="E154">
        <v>1246259444</v>
      </c>
      <c r="F154" s="30">
        <v>46126</v>
      </c>
      <c r="G154" s="30"/>
      <c r="H154" t="s">
        <v>28</v>
      </c>
      <c r="I154" t="s">
        <v>29</v>
      </c>
      <c r="J154">
        <v>10483</v>
      </c>
      <c r="K154" s="30">
        <v>46036</v>
      </c>
      <c r="L154">
        <v>1010100</v>
      </c>
      <c r="M154" t="s">
        <v>35</v>
      </c>
      <c r="N154">
        <v>161</v>
      </c>
      <c r="O154" t="s">
        <v>161</v>
      </c>
      <c r="P154" t="s">
        <v>500</v>
      </c>
      <c r="Q154">
        <f t="shared" si="4"/>
        <v>-15</v>
      </c>
      <c r="R154" t="str">
        <f>_xlfn.XLOOKUP(P154,'Painel Additive'!$B:$B,'Painel Additive'!$B:$B,0)</f>
        <v>GRUPO MOSAIC FERTILIZANTES DO BRASIL</v>
      </c>
      <c r="S154">
        <f t="shared" si="5"/>
        <v>90</v>
      </c>
    </row>
    <row r="155" spans="1:19" x14ac:dyDescent="0.25">
      <c r="A155">
        <v>6477</v>
      </c>
      <c r="B155" t="s">
        <v>98</v>
      </c>
      <c r="C155" t="s">
        <v>99</v>
      </c>
      <c r="D155" s="34">
        <v>6302.6</v>
      </c>
      <c r="E155">
        <v>1246212732</v>
      </c>
      <c r="F155" s="30">
        <v>45682</v>
      </c>
      <c r="G155" s="30"/>
      <c r="H155" t="s">
        <v>28</v>
      </c>
      <c r="I155" t="s">
        <v>29</v>
      </c>
      <c r="J155">
        <v>6197</v>
      </c>
      <c r="K155" s="30">
        <v>45622</v>
      </c>
      <c r="L155">
        <v>1010100</v>
      </c>
      <c r="M155" t="s">
        <v>35</v>
      </c>
      <c r="N155">
        <v>161</v>
      </c>
      <c r="O155" t="s">
        <v>161</v>
      </c>
      <c r="P155" t="s">
        <v>500</v>
      </c>
      <c r="Q155">
        <f t="shared" si="4"/>
        <v>429</v>
      </c>
      <c r="R155" t="str">
        <f>_xlfn.XLOOKUP(P155,'Painel Additive'!$B:$B,'Painel Additive'!$B:$B,0)</f>
        <v>GRUPO MOSAIC FERTILIZANTES DO BRASIL</v>
      </c>
      <c r="S155">
        <f t="shared" si="5"/>
        <v>60</v>
      </c>
    </row>
    <row r="156" spans="1:19" x14ac:dyDescent="0.25">
      <c r="A156">
        <v>7097</v>
      </c>
      <c r="B156" t="s">
        <v>102</v>
      </c>
      <c r="C156" t="s">
        <v>103</v>
      </c>
      <c r="D156" s="34">
        <v>177977.8</v>
      </c>
      <c r="E156">
        <v>1246265921</v>
      </c>
      <c r="F156" s="30">
        <v>46173</v>
      </c>
      <c r="G156" s="30"/>
      <c r="H156" t="s">
        <v>28</v>
      </c>
      <c r="I156" t="s">
        <v>29</v>
      </c>
      <c r="J156">
        <v>10795</v>
      </c>
      <c r="K156" s="30">
        <v>46083</v>
      </c>
      <c r="L156">
        <v>1010100</v>
      </c>
      <c r="M156" t="s">
        <v>35</v>
      </c>
      <c r="N156">
        <v>161</v>
      </c>
      <c r="O156" t="s">
        <v>161</v>
      </c>
      <c r="P156" t="s">
        <v>500</v>
      </c>
      <c r="Q156">
        <f t="shared" si="4"/>
        <v>-62</v>
      </c>
      <c r="R156" t="str">
        <f>_xlfn.XLOOKUP(P156,'Painel Additive'!$B:$B,'Painel Additive'!$B:$B,0)</f>
        <v>GRUPO MOSAIC FERTILIZANTES DO BRASIL</v>
      </c>
      <c r="S156">
        <f t="shared" si="5"/>
        <v>90</v>
      </c>
    </row>
    <row r="157" spans="1:19" x14ac:dyDescent="0.25">
      <c r="A157">
        <v>7097</v>
      </c>
      <c r="B157" t="s">
        <v>102</v>
      </c>
      <c r="C157" t="s">
        <v>103</v>
      </c>
      <c r="D157" s="34">
        <v>24552</v>
      </c>
      <c r="E157">
        <v>1246259145</v>
      </c>
      <c r="F157" s="30">
        <v>46124</v>
      </c>
      <c r="G157" s="30"/>
      <c r="H157" t="s">
        <v>28</v>
      </c>
      <c r="I157" t="s">
        <v>29</v>
      </c>
      <c r="J157">
        <v>10460</v>
      </c>
      <c r="K157" s="30">
        <v>46034</v>
      </c>
      <c r="L157">
        <v>1010100</v>
      </c>
      <c r="M157" t="s">
        <v>35</v>
      </c>
      <c r="N157">
        <v>161</v>
      </c>
      <c r="O157" t="s">
        <v>161</v>
      </c>
      <c r="P157" t="s">
        <v>500</v>
      </c>
      <c r="Q157">
        <f t="shared" si="4"/>
        <v>-13</v>
      </c>
      <c r="R157" t="str">
        <f>_xlfn.XLOOKUP(P157,'Painel Additive'!$B:$B,'Painel Additive'!$B:$B,0)</f>
        <v>GRUPO MOSAIC FERTILIZANTES DO BRASIL</v>
      </c>
      <c r="S157">
        <f t="shared" si="5"/>
        <v>90</v>
      </c>
    </row>
    <row r="158" spans="1:19" x14ac:dyDescent="0.25">
      <c r="A158">
        <v>7024</v>
      </c>
      <c r="B158" t="s">
        <v>862</v>
      </c>
      <c r="C158" t="s">
        <v>863</v>
      </c>
      <c r="D158" s="34">
        <v>70855.199999999997</v>
      </c>
      <c r="E158">
        <v>1246269662</v>
      </c>
      <c r="F158" s="30">
        <v>46201</v>
      </c>
      <c r="G158" s="30"/>
      <c r="H158" t="s">
        <v>28</v>
      </c>
      <c r="I158" t="s">
        <v>29</v>
      </c>
      <c r="J158">
        <v>11011</v>
      </c>
      <c r="K158" s="30">
        <v>46111</v>
      </c>
      <c r="L158">
        <v>1010100</v>
      </c>
      <c r="M158" t="s">
        <v>35</v>
      </c>
      <c r="N158">
        <v>161</v>
      </c>
      <c r="O158" t="s">
        <v>161</v>
      </c>
      <c r="P158" t="s">
        <v>500</v>
      </c>
      <c r="Q158">
        <f t="shared" si="4"/>
        <v>-90</v>
      </c>
      <c r="R158" t="str">
        <f>_xlfn.XLOOKUP(P158,'Painel Additive'!$B:$B,'Painel Additive'!$B:$B,0)</f>
        <v>GRUPO MOSAIC FERTILIZANTES DO BRASIL</v>
      </c>
      <c r="S158">
        <f t="shared" si="5"/>
        <v>90</v>
      </c>
    </row>
    <row r="159" spans="1:19" x14ac:dyDescent="0.25">
      <c r="A159">
        <v>7024</v>
      </c>
      <c r="B159" t="s">
        <v>862</v>
      </c>
      <c r="C159" t="s">
        <v>863</v>
      </c>
      <c r="D159" s="34">
        <v>70410.600000000006</v>
      </c>
      <c r="E159">
        <v>1246265856</v>
      </c>
      <c r="F159" s="30">
        <v>46170</v>
      </c>
      <c r="G159" s="30"/>
      <c r="H159" t="s">
        <v>28</v>
      </c>
      <c r="I159" t="s">
        <v>29</v>
      </c>
      <c r="J159">
        <v>10790</v>
      </c>
      <c r="K159" s="30">
        <v>46080</v>
      </c>
      <c r="L159">
        <v>1010100</v>
      </c>
      <c r="M159" t="s">
        <v>35</v>
      </c>
      <c r="N159">
        <v>161</v>
      </c>
      <c r="O159" t="s">
        <v>161</v>
      </c>
      <c r="P159" t="s">
        <v>500</v>
      </c>
      <c r="Q159">
        <f t="shared" si="4"/>
        <v>-59</v>
      </c>
      <c r="R159" t="str">
        <f>_xlfn.XLOOKUP(P159,'Painel Additive'!$B:$B,'Painel Additive'!$B:$B,0)</f>
        <v>GRUPO MOSAIC FERTILIZANTES DO BRASIL</v>
      </c>
      <c r="S159">
        <f t="shared" si="5"/>
        <v>90</v>
      </c>
    </row>
    <row r="160" spans="1:19" x14ac:dyDescent="0.25">
      <c r="A160">
        <v>7302</v>
      </c>
      <c r="B160" t="s">
        <v>104</v>
      </c>
      <c r="C160" t="s">
        <v>105</v>
      </c>
      <c r="D160" s="34">
        <v>1431.76</v>
      </c>
      <c r="E160">
        <v>1246062794</v>
      </c>
      <c r="F160" s="30">
        <v>44939</v>
      </c>
      <c r="G160" s="30"/>
      <c r="H160" t="s">
        <v>28</v>
      </c>
      <c r="I160" t="s">
        <v>29</v>
      </c>
      <c r="J160">
        <v>19884</v>
      </c>
      <c r="K160" s="30">
        <v>44879</v>
      </c>
      <c r="L160">
        <v>1010100</v>
      </c>
      <c r="M160" t="s">
        <v>35</v>
      </c>
      <c r="N160">
        <v>80</v>
      </c>
      <c r="O160" t="s">
        <v>181</v>
      </c>
      <c r="P160" t="s">
        <v>500</v>
      </c>
      <c r="Q160">
        <f t="shared" si="4"/>
        <v>1172</v>
      </c>
      <c r="R160" t="str">
        <f>_xlfn.XLOOKUP(P160,'Painel Additive'!$B:$B,'Painel Additive'!$B:$B,0)</f>
        <v>GRUPO MOSAIC FERTILIZANTES DO BRASIL</v>
      </c>
      <c r="S160">
        <f t="shared" si="5"/>
        <v>60</v>
      </c>
    </row>
    <row r="161" spans="1:19" x14ac:dyDescent="0.25">
      <c r="A161">
        <v>7302</v>
      </c>
      <c r="B161" t="s">
        <v>104</v>
      </c>
      <c r="C161" t="s">
        <v>105</v>
      </c>
      <c r="D161" s="34">
        <v>2517.4</v>
      </c>
      <c r="E161">
        <v>1246055324</v>
      </c>
      <c r="F161" s="30">
        <v>44887</v>
      </c>
      <c r="G161" s="30"/>
      <c r="H161" t="s">
        <v>28</v>
      </c>
      <c r="I161" t="s">
        <v>29</v>
      </c>
      <c r="J161">
        <v>19314</v>
      </c>
      <c r="K161" s="30">
        <v>44827</v>
      </c>
      <c r="L161">
        <v>1010100</v>
      </c>
      <c r="M161" t="s">
        <v>35</v>
      </c>
      <c r="N161">
        <v>161</v>
      </c>
      <c r="O161" t="s">
        <v>161</v>
      </c>
      <c r="P161" t="s">
        <v>500</v>
      </c>
      <c r="Q161">
        <f t="shared" si="4"/>
        <v>1224</v>
      </c>
      <c r="R161" t="str">
        <f>_xlfn.XLOOKUP(P161,'Painel Additive'!$B:$B,'Painel Additive'!$B:$B,0)</f>
        <v>GRUPO MOSAIC FERTILIZANTES DO BRASIL</v>
      </c>
      <c r="S161">
        <f t="shared" si="5"/>
        <v>60</v>
      </c>
    </row>
    <row r="162" spans="1:19" x14ac:dyDescent="0.25">
      <c r="A162">
        <v>7302</v>
      </c>
      <c r="B162" t="s">
        <v>104</v>
      </c>
      <c r="C162" t="s">
        <v>105</v>
      </c>
      <c r="D162" s="34">
        <v>166320</v>
      </c>
      <c r="E162">
        <v>1246263181</v>
      </c>
      <c r="F162" s="30">
        <v>46153</v>
      </c>
      <c r="G162" s="30"/>
      <c r="H162" t="s">
        <v>28</v>
      </c>
      <c r="I162" t="s">
        <v>29</v>
      </c>
      <c r="J162">
        <v>10672</v>
      </c>
      <c r="K162" s="30">
        <v>46063</v>
      </c>
      <c r="L162">
        <v>1010100</v>
      </c>
      <c r="M162" t="s">
        <v>35</v>
      </c>
      <c r="N162">
        <v>161</v>
      </c>
      <c r="O162" t="s">
        <v>161</v>
      </c>
      <c r="P162" t="s">
        <v>500</v>
      </c>
      <c r="Q162">
        <f t="shared" si="4"/>
        <v>-42</v>
      </c>
      <c r="R162" t="str">
        <f>_xlfn.XLOOKUP(P162,'Painel Additive'!$B:$B,'Painel Additive'!$B:$B,0)</f>
        <v>GRUPO MOSAIC FERTILIZANTES DO BRASIL</v>
      </c>
      <c r="S162">
        <f t="shared" si="5"/>
        <v>90</v>
      </c>
    </row>
    <row r="163" spans="1:19" x14ac:dyDescent="0.25">
      <c r="A163">
        <v>7302</v>
      </c>
      <c r="B163" t="s">
        <v>104</v>
      </c>
      <c r="C163" t="s">
        <v>105</v>
      </c>
      <c r="D163" s="34">
        <v>54135</v>
      </c>
      <c r="E163">
        <v>1246259200</v>
      </c>
      <c r="F163" s="30">
        <v>46124</v>
      </c>
      <c r="G163" s="30"/>
      <c r="H163" t="s">
        <v>28</v>
      </c>
      <c r="I163" t="s">
        <v>29</v>
      </c>
      <c r="J163">
        <v>10465</v>
      </c>
      <c r="K163" s="30">
        <v>46034</v>
      </c>
      <c r="L163">
        <v>1010100</v>
      </c>
      <c r="M163" t="s">
        <v>35</v>
      </c>
      <c r="N163">
        <v>56</v>
      </c>
      <c r="O163" t="s">
        <v>162</v>
      </c>
      <c r="P163" t="s">
        <v>500</v>
      </c>
      <c r="Q163">
        <f t="shared" si="4"/>
        <v>-13</v>
      </c>
      <c r="R163" t="str">
        <f>_xlfn.XLOOKUP(P163,'Painel Additive'!$B:$B,'Painel Additive'!$B:$B,0)</f>
        <v>GRUPO MOSAIC FERTILIZANTES DO BRASIL</v>
      </c>
      <c r="S163">
        <f t="shared" si="5"/>
        <v>90</v>
      </c>
    </row>
    <row r="164" spans="1:19" x14ac:dyDescent="0.25">
      <c r="A164">
        <v>7302</v>
      </c>
      <c r="B164" t="s">
        <v>104</v>
      </c>
      <c r="C164" t="s">
        <v>105</v>
      </c>
      <c r="D164" s="34">
        <v>112000</v>
      </c>
      <c r="E164">
        <v>1246261232</v>
      </c>
      <c r="F164" s="30">
        <v>46139</v>
      </c>
      <c r="G164" s="30"/>
      <c r="H164" t="s">
        <v>28</v>
      </c>
      <c r="I164" t="s">
        <v>29</v>
      </c>
      <c r="J164">
        <v>10587</v>
      </c>
      <c r="K164" s="30">
        <v>46049</v>
      </c>
      <c r="L164">
        <v>1010100</v>
      </c>
      <c r="M164" t="s">
        <v>35</v>
      </c>
      <c r="N164">
        <v>161</v>
      </c>
      <c r="O164" t="s">
        <v>161</v>
      </c>
      <c r="P164" t="s">
        <v>500</v>
      </c>
      <c r="Q164">
        <f t="shared" si="4"/>
        <v>-28</v>
      </c>
      <c r="R164" t="str">
        <f>_xlfn.XLOOKUP(P164,'Painel Additive'!$B:$B,'Painel Additive'!$B:$B,0)</f>
        <v>GRUPO MOSAIC FERTILIZANTES DO BRASIL</v>
      </c>
      <c r="S164">
        <f t="shared" si="5"/>
        <v>90</v>
      </c>
    </row>
    <row r="165" spans="1:19" x14ac:dyDescent="0.25">
      <c r="A165">
        <v>7302</v>
      </c>
      <c r="B165" t="s">
        <v>104</v>
      </c>
      <c r="C165" t="s">
        <v>105</v>
      </c>
      <c r="D165" s="34">
        <v>157472</v>
      </c>
      <c r="E165">
        <v>1246259446</v>
      </c>
      <c r="F165" s="30">
        <v>46126</v>
      </c>
      <c r="G165" s="30"/>
      <c r="H165" t="s">
        <v>28</v>
      </c>
      <c r="I165" t="s">
        <v>29</v>
      </c>
      <c r="J165">
        <v>10484</v>
      </c>
      <c r="K165" s="30">
        <v>46036</v>
      </c>
      <c r="L165">
        <v>1010100</v>
      </c>
      <c r="M165" t="s">
        <v>35</v>
      </c>
      <c r="N165">
        <v>161</v>
      </c>
      <c r="O165" t="s">
        <v>161</v>
      </c>
      <c r="P165" t="s">
        <v>500</v>
      </c>
      <c r="Q165">
        <f t="shared" si="4"/>
        <v>-15</v>
      </c>
      <c r="R165" t="str">
        <f>_xlfn.XLOOKUP(P165,'Painel Additive'!$B:$B,'Painel Additive'!$B:$B,0)</f>
        <v>GRUPO MOSAIC FERTILIZANTES DO BRASIL</v>
      </c>
      <c r="S165">
        <f t="shared" si="5"/>
        <v>90</v>
      </c>
    </row>
    <row r="166" spans="1:19" x14ac:dyDescent="0.25">
      <c r="A166">
        <v>7302</v>
      </c>
      <c r="B166" t="s">
        <v>104</v>
      </c>
      <c r="C166" t="s">
        <v>105</v>
      </c>
      <c r="D166" s="34">
        <v>167048</v>
      </c>
      <c r="E166">
        <v>1246260176</v>
      </c>
      <c r="F166" s="30">
        <v>46132</v>
      </c>
      <c r="G166" s="30"/>
      <c r="H166" t="s">
        <v>28</v>
      </c>
      <c r="I166" t="s">
        <v>29</v>
      </c>
      <c r="J166">
        <v>10532</v>
      </c>
      <c r="K166" s="30">
        <v>46042</v>
      </c>
      <c r="L166">
        <v>1010100</v>
      </c>
      <c r="M166" t="s">
        <v>35</v>
      </c>
      <c r="N166">
        <v>161</v>
      </c>
      <c r="O166" t="s">
        <v>161</v>
      </c>
      <c r="P166" t="s">
        <v>500</v>
      </c>
      <c r="Q166">
        <f t="shared" si="4"/>
        <v>-21</v>
      </c>
      <c r="R166" t="str">
        <f>_xlfn.XLOOKUP(P166,'Painel Additive'!$B:$B,'Painel Additive'!$B:$B,0)</f>
        <v>GRUPO MOSAIC FERTILIZANTES DO BRASIL</v>
      </c>
      <c r="S166">
        <f t="shared" si="5"/>
        <v>90</v>
      </c>
    </row>
    <row r="167" spans="1:19" x14ac:dyDescent="0.25">
      <c r="A167">
        <v>7302</v>
      </c>
      <c r="B167" t="s">
        <v>104</v>
      </c>
      <c r="C167" t="s">
        <v>105</v>
      </c>
      <c r="D167" s="34">
        <v>129924</v>
      </c>
      <c r="E167">
        <v>1246259804</v>
      </c>
      <c r="F167" s="30">
        <v>46128</v>
      </c>
      <c r="G167" s="30"/>
      <c r="H167" t="s">
        <v>28</v>
      </c>
      <c r="I167" t="s">
        <v>29</v>
      </c>
      <c r="J167">
        <v>10510</v>
      </c>
      <c r="K167" s="30">
        <v>46038</v>
      </c>
      <c r="L167">
        <v>1010100</v>
      </c>
      <c r="M167" t="s">
        <v>35</v>
      </c>
      <c r="N167">
        <v>56</v>
      </c>
      <c r="O167" t="s">
        <v>162</v>
      </c>
      <c r="P167" t="s">
        <v>500</v>
      </c>
      <c r="Q167">
        <f t="shared" si="4"/>
        <v>-17</v>
      </c>
      <c r="R167" t="str">
        <f>_xlfn.XLOOKUP(P167,'Painel Additive'!$B:$B,'Painel Additive'!$B:$B,0)</f>
        <v>GRUPO MOSAIC FERTILIZANTES DO BRASIL</v>
      </c>
      <c r="S167">
        <f t="shared" si="5"/>
        <v>90</v>
      </c>
    </row>
    <row r="168" spans="1:19" x14ac:dyDescent="0.25">
      <c r="A168">
        <v>7302</v>
      </c>
      <c r="B168" t="s">
        <v>104</v>
      </c>
      <c r="C168" t="s">
        <v>105</v>
      </c>
      <c r="D168" s="34">
        <v>22600</v>
      </c>
      <c r="E168">
        <v>1246261045</v>
      </c>
      <c r="F168" s="30">
        <v>46138</v>
      </c>
      <c r="G168" s="30"/>
      <c r="H168" t="s">
        <v>28</v>
      </c>
      <c r="I168" t="s">
        <v>29</v>
      </c>
      <c r="J168">
        <v>10574</v>
      </c>
      <c r="K168" s="30">
        <v>46048</v>
      </c>
      <c r="L168">
        <v>1010100</v>
      </c>
      <c r="M168" t="s">
        <v>35</v>
      </c>
      <c r="N168">
        <v>56</v>
      </c>
      <c r="O168" t="s">
        <v>162</v>
      </c>
      <c r="P168" t="s">
        <v>500</v>
      </c>
      <c r="Q168">
        <f t="shared" si="4"/>
        <v>-27</v>
      </c>
      <c r="R168" t="str">
        <f>_xlfn.XLOOKUP(P168,'Painel Additive'!$B:$B,'Painel Additive'!$B:$B,0)</f>
        <v>GRUPO MOSAIC FERTILIZANTES DO BRASIL</v>
      </c>
      <c r="S168">
        <f t="shared" si="5"/>
        <v>90</v>
      </c>
    </row>
    <row r="169" spans="1:19" x14ac:dyDescent="0.25">
      <c r="A169">
        <v>7302</v>
      </c>
      <c r="B169" t="s">
        <v>104</v>
      </c>
      <c r="C169" t="s">
        <v>105</v>
      </c>
      <c r="D169" s="34">
        <v>129924</v>
      </c>
      <c r="E169">
        <v>1246268530</v>
      </c>
      <c r="F169" s="30">
        <v>46191</v>
      </c>
      <c r="G169" s="30"/>
      <c r="H169" t="s">
        <v>28</v>
      </c>
      <c r="I169" t="s">
        <v>29</v>
      </c>
      <c r="J169">
        <v>10941</v>
      </c>
      <c r="K169" s="30">
        <v>46101</v>
      </c>
      <c r="L169">
        <v>1010100</v>
      </c>
      <c r="M169" t="s">
        <v>35</v>
      </c>
      <c r="N169">
        <v>56</v>
      </c>
      <c r="O169" t="s">
        <v>162</v>
      </c>
      <c r="P169" t="s">
        <v>500</v>
      </c>
      <c r="Q169">
        <f t="shared" si="4"/>
        <v>-80</v>
      </c>
      <c r="R169" t="str">
        <f>_xlfn.XLOOKUP(P169,'Painel Additive'!$B:$B,'Painel Additive'!$B:$B,0)</f>
        <v>GRUPO MOSAIC FERTILIZANTES DO BRASIL</v>
      </c>
      <c r="S169">
        <f t="shared" si="5"/>
        <v>90</v>
      </c>
    </row>
    <row r="170" spans="1:19" x14ac:dyDescent="0.25">
      <c r="A170">
        <v>7302</v>
      </c>
      <c r="B170" t="s">
        <v>104</v>
      </c>
      <c r="C170" t="s">
        <v>105</v>
      </c>
      <c r="D170" s="34">
        <v>167720</v>
      </c>
      <c r="E170">
        <v>1246262004</v>
      </c>
      <c r="F170" s="30">
        <v>46145</v>
      </c>
      <c r="G170" s="30"/>
      <c r="H170" t="s">
        <v>28</v>
      </c>
      <c r="I170" t="s">
        <v>29</v>
      </c>
      <c r="J170">
        <v>10622</v>
      </c>
      <c r="K170" s="30">
        <v>46055</v>
      </c>
      <c r="L170">
        <v>1010100</v>
      </c>
      <c r="M170" t="s">
        <v>35</v>
      </c>
      <c r="N170">
        <v>161</v>
      </c>
      <c r="O170" t="s">
        <v>161</v>
      </c>
      <c r="P170" t="s">
        <v>500</v>
      </c>
      <c r="Q170">
        <f t="shared" ref="Q170:Q220" si="6">$R$1-F170</f>
        <v>-34</v>
      </c>
      <c r="R170" t="str">
        <f>_xlfn.XLOOKUP(P170,'Painel Additive'!$B:$B,'Painel Additive'!$B:$B,0)</f>
        <v>GRUPO MOSAIC FERTILIZANTES DO BRASIL</v>
      </c>
      <c r="S170">
        <f t="shared" ref="S170:S220" si="7">F170-K170</f>
        <v>90</v>
      </c>
    </row>
    <row r="171" spans="1:19" x14ac:dyDescent="0.25">
      <c r="A171">
        <v>7302</v>
      </c>
      <c r="B171" t="s">
        <v>104</v>
      </c>
      <c r="C171" t="s">
        <v>105</v>
      </c>
      <c r="D171" s="34">
        <v>64.2</v>
      </c>
      <c r="E171">
        <v>1246226087</v>
      </c>
      <c r="F171" s="30">
        <v>45919</v>
      </c>
      <c r="G171" s="30"/>
      <c r="H171" t="s">
        <v>28</v>
      </c>
      <c r="I171" t="s">
        <v>29</v>
      </c>
      <c r="J171">
        <v>8559</v>
      </c>
      <c r="K171" s="30">
        <v>45859</v>
      </c>
      <c r="L171">
        <v>1010100</v>
      </c>
      <c r="M171" t="s">
        <v>35</v>
      </c>
      <c r="N171">
        <v>161</v>
      </c>
      <c r="O171" t="s">
        <v>161</v>
      </c>
      <c r="P171" t="s">
        <v>500</v>
      </c>
      <c r="Q171">
        <f t="shared" si="6"/>
        <v>192</v>
      </c>
      <c r="R171" t="str">
        <f>_xlfn.XLOOKUP(P171,'Painel Additive'!$B:$B,'Painel Additive'!$B:$B,0)</f>
        <v>GRUPO MOSAIC FERTILIZANTES DO BRASIL</v>
      </c>
      <c r="S171">
        <f t="shared" si="7"/>
        <v>60</v>
      </c>
    </row>
    <row r="172" spans="1:19" x14ac:dyDescent="0.25">
      <c r="A172">
        <v>7103</v>
      </c>
      <c r="B172" t="s">
        <v>569</v>
      </c>
      <c r="C172" t="s">
        <v>570</v>
      </c>
      <c r="D172" s="34">
        <v>57019</v>
      </c>
      <c r="E172">
        <v>1246269403</v>
      </c>
      <c r="F172" s="30">
        <v>46198</v>
      </c>
      <c r="G172" s="30"/>
      <c r="H172" t="s">
        <v>28</v>
      </c>
      <c r="I172" t="s">
        <v>29</v>
      </c>
      <c r="J172">
        <v>10985</v>
      </c>
      <c r="K172" s="30">
        <v>46108</v>
      </c>
      <c r="L172">
        <v>1010100</v>
      </c>
      <c r="M172" t="s">
        <v>35</v>
      </c>
      <c r="N172">
        <v>161</v>
      </c>
      <c r="O172" t="s">
        <v>161</v>
      </c>
      <c r="P172" t="s">
        <v>500</v>
      </c>
      <c r="Q172">
        <f t="shared" si="6"/>
        <v>-87</v>
      </c>
      <c r="R172" t="str">
        <f>_xlfn.XLOOKUP(P172,'Painel Additive'!$B:$B,'Painel Additive'!$B:$B,0)</f>
        <v>GRUPO MOSAIC FERTILIZANTES DO BRASIL</v>
      </c>
      <c r="S172">
        <f t="shared" si="7"/>
        <v>90</v>
      </c>
    </row>
    <row r="173" spans="1:19" x14ac:dyDescent="0.25">
      <c r="A173">
        <v>7103</v>
      </c>
      <c r="B173" t="s">
        <v>569</v>
      </c>
      <c r="C173" t="s">
        <v>570</v>
      </c>
      <c r="D173" s="34">
        <v>288000</v>
      </c>
      <c r="E173">
        <v>1246264792</v>
      </c>
      <c r="F173" s="30">
        <v>46167</v>
      </c>
      <c r="G173" s="30"/>
      <c r="H173" t="s">
        <v>28</v>
      </c>
      <c r="I173" t="s">
        <v>29</v>
      </c>
      <c r="J173">
        <v>2769</v>
      </c>
      <c r="K173" s="30">
        <v>46077</v>
      </c>
      <c r="L173">
        <v>1010100</v>
      </c>
      <c r="M173" t="s">
        <v>35</v>
      </c>
      <c r="N173">
        <v>161</v>
      </c>
      <c r="O173" t="s">
        <v>161</v>
      </c>
      <c r="P173" t="s">
        <v>500</v>
      </c>
      <c r="Q173">
        <f t="shared" si="6"/>
        <v>-56</v>
      </c>
      <c r="R173" t="str">
        <f>_xlfn.XLOOKUP(P173,'Painel Additive'!$B:$B,'Painel Additive'!$B:$B,0)</f>
        <v>GRUPO MOSAIC FERTILIZANTES DO BRASIL</v>
      </c>
      <c r="S173">
        <f t="shared" si="7"/>
        <v>90</v>
      </c>
    </row>
    <row r="174" spans="1:19" x14ac:dyDescent="0.25">
      <c r="A174">
        <v>11724</v>
      </c>
      <c r="B174" t="s">
        <v>118</v>
      </c>
      <c r="C174" t="s">
        <v>119</v>
      </c>
      <c r="D174" s="34">
        <v>143868</v>
      </c>
      <c r="E174">
        <v>1246267487</v>
      </c>
      <c r="F174" s="30">
        <v>46167</v>
      </c>
      <c r="G174" s="30"/>
      <c r="H174" t="s">
        <v>28</v>
      </c>
      <c r="I174" t="s">
        <v>29</v>
      </c>
      <c r="J174">
        <v>10867</v>
      </c>
      <c r="K174" s="30">
        <v>46092</v>
      </c>
      <c r="L174">
        <v>1010100</v>
      </c>
      <c r="M174" t="s">
        <v>35</v>
      </c>
      <c r="N174">
        <v>161</v>
      </c>
      <c r="O174" t="s">
        <v>161</v>
      </c>
      <c r="P174" t="s">
        <v>428</v>
      </c>
      <c r="Q174">
        <f t="shared" si="6"/>
        <v>-56</v>
      </c>
      <c r="R174" t="str">
        <f>_xlfn.XLOOKUP(P174,'Painel Additive'!$B:$B,'Painel Additive'!$B:$B,0)</f>
        <v>GRUPO HINOVE</v>
      </c>
      <c r="S174">
        <f t="shared" si="7"/>
        <v>75</v>
      </c>
    </row>
    <row r="175" spans="1:19" x14ac:dyDescent="0.25">
      <c r="A175">
        <v>11724</v>
      </c>
      <c r="B175" t="s">
        <v>118</v>
      </c>
      <c r="C175" t="s">
        <v>119</v>
      </c>
      <c r="D175" s="34">
        <v>179580.2</v>
      </c>
      <c r="E175">
        <v>1246262079</v>
      </c>
      <c r="F175" s="30">
        <v>46122</v>
      </c>
      <c r="G175" s="30"/>
      <c r="H175" t="s">
        <v>28</v>
      </c>
      <c r="I175" t="s">
        <v>29</v>
      </c>
      <c r="J175">
        <v>10628</v>
      </c>
      <c r="K175" s="30">
        <v>46056</v>
      </c>
      <c r="L175">
        <v>1010100</v>
      </c>
      <c r="M175" t="s">
        <v>35</v>
      </c>
      <c r="N175">
        <v>161</v>
      </c>
      <c r="O175" t="s">
        <v>161</v>
      </c>
      <c r="P175" t="s">
        <v>428</v>
      </c>
      <c r="Q175">
        <f t="shared" si="6"/>
        <v>-11</v>
      </c>
      <c r="R175" t="str">
        <f>_xlfn.XLOOKUP(P175,'Painel Additive'!$B:$B,'Painel Additive'!$B:$B,0)</f>
        <v>GRUPO HINOVE</v>
      </c>
      <c r="S175">
        <f t="shared" si="7"/>
        <v>66</v>
      </c>
    </row>
    <row r="176" spans="1:19" x14ac:dyDescent="0.25">
      <c r="A176">
        <v>11724</v>
      </c>
      <c r="B176" t="s">
        <v>118</v>
      </c>
      <c r="C176" t="s">
        <v>119</v>
      </c>
      <c r="D176" s="34">
        <v>171254.1</v>
      </c>
      <c r="E176">
        <v>1246263820</v>
      </c>
      <c r="F176" s="30">
        <v>46137</v>
      </c>
      <c r="G176" s="30"/>
      <c r="H176" t="s">
        <v>28</v>
      </c>
      <c r="I176" t="s">
        <v>29</v>
      </c>
      <c r="J176">
        <v>10704</v>
      </c>
      <c r="K176" s="30">
        <v>46069</v>
      </c>
      <c r="L176">
        <v>1010100</v>
      </c>
      <c r="M176" t="s">
        <v>35</v>
      </c>
      <c r="N176">
        <v>161</v>
      </c>
      <c r="O176" t="s">
        <v>161</v>
      </c>
      <c r="P176" t="s">
        <v>428</v>
      </c>
      <c r="Q176">
        <f t="shared" si="6"/>
        <v>-26</v>
      </c>
      <c r="R176" t="str">
        <f>_xlfn.XLOOKUP(P176,'Painel Additive'!$B:$B,'Painel Additive'!$B:$B,0)</f>
        <v>GRUPO HINOVE</v>
      </c>
      <c r="S176">
        <f t="shared" si="7"/>
        <v>68</v>
      </c>
    </row>
    <row r="177" spans="1:20" x14ac:dyDescent="0.25">
      <c r="A177">
        <v>10660</v>
      </c>
      <c r="B177" t="s">
        <v>113</v>
      </c>
      <c r="C177" t="s">
        <v>114</v>
      </c>
      <c r="D177" s="34">
        <v>1282.56</v>
      </c>
      <c r="E177">
        <v>1246157883</v>
      </c>
      <c r="F177" s="30">
        <v>45472</v>
      </c>
      <c r="G177" s="30"/>
      <c r="H177" t="s">
        <v>28</v>
      </c>
      <c r="I177" t="s">
        <v>29</v>
      </c>
      <c r="J177">
        <v>3740</v>
      </c>
      <c r="K177" s="30">
        <v>45444</v>
      </c>
      <c r="L177">
        <v>1010100</v>
      </c>
      <c r="M177" t="s">
        <v>35</v>
      </c>
      <c r="N177">
        <v>161</v>
      </c>
      <c r="O177" t="s">
        <v>161</v>
      </c>
      <c r="P177" t="s">
        <v>420</v>
      </c>
      <c r="Q177">
        <f t="shared" si="6"/>
        <v>639</v>
      </c>
      <c r="R177" t="str">
        <f>_xlfn.XLOOKUP(P177,'Painel Additive'!$B:$B,'Painel Additive'!$B:$B,0)</f>
        <v>GRUPO YARA</v>
      </c>
      <c r="S177">
        <f t="shared" si="7"/>
        <v>28</v>
      </c>
    </row>
    <row r="178" spans="1:20" x14ac:dyDescent="0.25">
      <c r="A178">
        <v>10660</v>
      </c>
      <c r="B178" t="s">
        <v>113</v>
      </c>
      <c r="C178" t="s">
        <v>114</v>
      </c>
      <c r="D178" s="34">
        <v>1603.2</v>
      </c>
      <c r="E178">
        <v>1246176576</v>
      </c>
      <c r="F178" s="30">
        <v>45577</v>
      </c>
      <c r="G178" s="30"/>
      <c r="H178" t="s">
        <v>28</v>
      </c>
      <c r="I178" t="s">
        <v>29</v>
      </c>
      <c r="J178">
        <v>5264</v>
      </c>
      <c r="K178" s="30">
        <v>45549</v>
      </c>
      <c r="L178">
        <v>1010100</v>
      </c>
      <c r="M178" t="s">
        <v>35</v>
      </c>
      <c r="N178">
        <v>161</v>
      </c>
      <c r="O178" t="s">
        <v>161</v>
      </c>
      <c r="P178" t="s">
        <v>420</v>
      </c>
      <c r="Q178">
        <f t="shared" si="6"/>
        <v>534</v>
      </c>
      <c r="R178" t="str">
        <f>_xlfn.XLOOKUP(P178,'Painel Additive'!$B:$B,'Painel Additive'!$B:$B,0)</f>
        <v>GRUPO YARA</v>
      </c>
      <c r="S178">
        <f t="shared" si="7"/>
        <v>28</v>
      </c>
    </row>
    <row r="179" spans="1:20" x14ac:dyDescent="0.25">
      <c r="A179">
        <v>10660</v>
      </c>
      <c r="B179" t="s">
        <v>113</v>
      </c>
      <c r="C179" t="s">
        <v>114</v>
      </c>
      <c r="D179" s="34">
        <v>1282.56</v>
      </c>
      <c r="E179">
        <v>1246184893</v>
      </c>
      <c r="F179" s="30">
        <v>45623</v>
      </c>
      <c r="G179" s="30"/>
      <c r="H179" t="s">
        <v>28</v>
      </c>
      <c r="I179" t="s">
        <v>29</v>
      </c>
      <c r="J179">
        <v>5907</v>
      </c>
      <c r="K179" s="30">
        <v>45595</v>
      </c>
      <c r="L179">
        <v>1010100</v>
      </c>
      <c r="M179" t="s">
        <v>35</v>
      </c>
      <c r="N179">
        <v>161</v>
      </c>
      <c r="O179" t="s">
        <v>161</v>
      </c>
      <c r="P179" t="s">
        <v>420</v>
      </c>
      <c r="Q179">
        <f t="shared" si="6"/>
        <v>488</v>
      </c>
      <c r="R179" t="str">
        <f>_xlfn.XLOOKUP(P179,'Painel Additive'!$B:$B,'Painel Additive'!$B:$B,0)</f>
        <v>GRUPO YARA</v>
      </c>
      <c r="S179">
        <f t="shared" si="7"/>
        <v>28</v>
      </c>
    </row>
    <row r="180" spans="1:20" x14ac:dyDescent="0.25">
      <c r="A180">
        <v>10492</v>
      </c>
      <c r="B180" t="s">
        <v>112</v>
      </c>
      <c r="C180" t="s">
        <v>876</v>
      </c>
      <c r="D180" s="34">
        <v>352080</v>
      </c>
      <c r="E180">
        <v>1246269406</v>
      </c>
      <c r="F180" s="30">
        <v>46136</v>
      </c>
      <c r="G180" s="30"/>
      <c r="H180" t="s">
        <v>28</v>
      </c>
      <c r="I180" t="s">
        <v>29</v>
      </c>
      <c r="J180">
        <v>2845</v>
      </c>
      <c r="K180" s="30">
        <v>46108</v>
      </c>
      <c r="L180">
        <v>1010100</v>
      </c>
      <c r="M180" t="s">
        <v>35</v>
      </c>
      <c r="N180">
        <v>161</v>
      </c>
      <c r="O180" t="s">
        <v>161</v>
      </c>
      <c r="P180" t="s">
        <v>417</v>
      </c>
      <c r="Q180">
        <f t="shared" si="6"/>
        <v>-25</v>
      </c>
      <c r="R180" t="str">
        <f>_xlfn.XLOOKUP(P180,'Painel Additive'!$B:$B,'Painel Additive'!$B:$B,0)</f>
        <v>GRUPO UNIFERTIL</v>
      </c>
      <c r="S180">
        <f t="shared" si="7"/>
        <v>28</v>
      </c>
    </row>
    <row r="181" spans="1:20" x14ac:dyDescent="0.25">
      <c r="A181">
        <v>13018</v>
      </c>
      <c r="B181" t="s">
        <v>685</v>
      </c>
      <c r="C181" t="s">
        <v>686</v>
      </c>
      <c r="D181" s="34">
        <v>65364.2</v>
      </c>
      <c r="E181">
        <v>1246251307</v>
      </c>
      <c r="F181" s="30">
        <v>46387</v>
      </c>
      <c r="G181" s="30"/>
      <c r="H181" t="s">
        <v>28</v>
      </c>
      <c r="I181" t="s">
        <v>29</v>
      </c>
      <c r="J181">
        <v>10138</v>
      </c>
      <c r="K181" s="30">
        <v>45988</v>
      </c>
      <c r="L181">
        <v>1010100</v>
      </c>
      <c r="M181" t="s">
        <v>35</v>
      </c>
      <c r="N181">
        <v>161</v>
      </c>
      <c r="O181" t="s">
        <v>161</v>
      </c>
      <c r="P181" t="s">
        <v>683</v>
      </c>
      <c r="Q181">
        <f t="shared" si="6"/>
        <v>-276</v>
      </c>
      <c r="R181" t="str">
        <f>_xlfn.XLOOKUP(P181,'Painel Additive'!$B:$B,'Painel Additive'!$B:$B,0)</f>
        <v>ULTRAFERTIL</v>
      </c>
      <c r="S181">
        <f t="shared" si="7"/>
        <v>399</v>
      </c>
    </row>
    <row r="182" spans="1:20" x14ac:dyDescent="0.25">
      <c r="A182">
        <v>13018</v>
      </c>
      <c r="B182" t="s">
        <v>685</v>
      </c>
      <c r="C182" t="s">
        <v>686</v>
      </c>
      <c r="D182" s="34">
        <v>49092.5</v>
      </c>
      <c r="E182">
        <v>1246237155</v>
      </c>
      <c r="F182" s="30">
        <v>46387</v>
      </c>
      <c r="G182" s="30"/>
      <c r="H182" t="s">
        <v>28</v>
      </c>
      <c r="I182" t="s">
        <v>29</v>
      </c>
      <c r="J182">
        <v>9357</v>
      </c>
      <c r="K182" s="30">
        <v>45917</v>
      </c>
      <c r="L182">
        <v>1010100</v>
      </c>
      <c r="M182" t="s">
        <v>35</v>
      </c>
      <c r="N182">
        <v>161</v>
      </c>
      <c r="O182" t="s">
        <v>161</v>
      </c>
      <c r="P182" t="s">
        <v>683</v>
      </c>
      <c r="Q182">
        <f t="shared" si="6"/>
        <v>-276</v>
      </c>
      <c r="R182" t="str">
        <f>_xlfn.XLOOKUP(P182,'Painel Additive'!$B:$B,'Painel Additive'!$B:$B,0)</f>
        <v>ULTRAFERTIL</v>
      </c>
      <c r="S182">
        <f t="shared" si="7"/>
        <v>470</v>
      </c>
    </row>
    <row r="183" spans="1:20" x14ac:dyDescent="0.25">
      <c r="A183">
        <v>13018</v>
      </c>
      <c r="B183" t="s">
        <v>685</v>
      </c>
      <c r="C183" t="s">
        <v>686</v>
      </c>
      <c r="D183" s="34">
        <v>71295.600000000006</v>
      </c>
      <c r="E183">
        <v>1246239405</v>
      </c>
      <c r="F183" s="30">
        <v>46387</v>
      </c>
      <c r="G183" s="30"/>
      <c r="H183" t="s">
        <v>28</v>
      </c>
      <c r="I183" t="s">
        <v>29</v>
      </c>
      <c r="J183">
        <v>9472</v>
      </c>
      <c r="K183" s="30">
        <v>45926</v>
      </c>
      <c r="L183">
        <v>1010100</v>
      </c>
      <c r="M183" t="s">
        <v>35</v>
      </c>
      <c r="N183">
        <v>161</v>
      </c>
      <c r="O183" t="s">
        <v>161</v>
      </c>
      <c r="P183" t="s">
        <v>683</v>
      </c>
      <c r="Q183">
        <f t="shared" si="6"/>
        <v>-276</v>
      </c>
      <c r="R183" t="str">
        <f>_xlfn.XLOOKUP(P183,'Painel Additive'!$B:$B,'Painel Additive'!$B:$B,0)</f>
        <v>ULTRAFERTIL</v>
      </c>
      <c r="S183">
        <f t="shared" si="7"/>
        <v>461</v>
      </c>
    </row>
    <row r="184" spans="1:20" x14ac:dyDescent="0.25">
      <c r="A184">
        <v>13018</v>
      </c>
      <c r="B184" t="s">
        <v>685</v>
      </c>
      <c r="C184" t="s">
        <v>686</v>
      </c>
      <c r="D184" s="34">
        <v>70705.600000000006</v>
      </c>
      <c r="E184">
        <v>1246239411</v>
      </c>
      <c r="F184" s="30">
        <v>46387</v>
      </c>
      <c r="G184" s="30"/>
      <c r="H184" t="s">
        <v>28</v>
      </c>
      <c r="I184" t="s">
        <v>29</v>
      </c>
      <c r="J184">
        <v>9474</v>
      </c>
      <c r="K184" s="30">
        <v>45926</v>
      </c>
      <c r="L184">
        <v>1010100</v>
      </c>
      <c r="M184" t="s">
        <v>35</v>
      </c>
      <c r="N184">
        <v>161</v>
      </c>
      <c r="O184" t="s">
        <v>161</v>
      </c>
      <c r="P184" t="s">
        <v>683</v>
      </c>
      <c r="Q184">
        <f t="shared" si="6"/>
        <v>-276</v>
      </c>
      <c r="R184" t="str">
        <f>_xlfn.XLOOKUP(P184,'Painel Additive'!$B:$B,'Painel Additive'!$B:$B,0)</f>
        <v>ULTRAFERTIL</v>
      </c>
      <c r="S184">
        <f t="shared" si="7"/>
        <v>461</v>
      </c>
    </row>
    <row r="185" spans="1:20" x14ac:dyDescent="0.25">
      <c r="A185">
        <v>13018</v>
      </c>
      <c r="B185" t="s">
        <v>685</v>
      </c>
      <c r="C185" t="s">
        <v>686</v>
      </c>
      <c r="D185" s="34">
        <v>70800</v>
      </c>
      <c r="E185">
        <v>1246239409</v>
      </c>
      <c r="F185" s="30">
        <v>46387</v>
      </c>
      <c r="G185" s="30"/>
      <c r="H185" t="s">
        <v>28</v>
      </c>
      <c r="I185" t="s">
        <v>29</v>
      </c>
      <c r="J185">
        <v>9473</v>
      </c>
      <c r="K185" s="30">
        <v>45926</v>
      </c>
      <c r="L185">
        <v>1010100</v>
      </c>
      <c r="M185" t="s">
        <v>35</v>
      </c>
      <c r="N185">
        <v>161</v>
      </c>
      <c r="O185" t="s">
        <v>161</v>
      </c>
      <c r="P185" t="s">
        <v>683</v>
      </c>
      <c r="Q185">
        <f t="shared" si="6"/>
        <v>-276</v>
      </c>
      <c r="R185" t="str">
        <f>_xlfn.XLOOKUP(P185,'Painel Additive'!$B:$B,'Painel Additive'!$B:$B,0)</f>
        <v>ULTRAFERTIL</v>
      </c>
      <c r="S185">
        <f t="shared" si="7"/>
        <v>461</v>
      </c>
    </row>
    <row r="186" spans="1:20" x14ac:dyDescent="0.25">
      <c r="A186">
        <v>12741</v>
      </c>
      <c r="B186" t="s">
        <v>307</v>
      </c>
      <c r="C186" t="s">
        <v>888</v>
      </c>
      <c r="D186" s="34">
        <v>137256</v>
      </c>
      <c r="E186">
        <v>1246268240</v>
      </c>
      <c r="F186" s="30">
        <v>46167</v>
      </c>
      <c r="G186" s="30"/>
      <c r="H186" t="s">
        <v>28</v>
      </c>
      <c r="I186" t="s">
        <v>29</v>
      </c>
      <c r="J186">
        <v>10917</v>
      </c>
      <c r="K186" s="30">
        <v>46099</v>
      </c>
      <c r="L186">
        <v>1010100</v>
      </c>
      <c r="M186" t="s">
        <v>35</v>
      </c>
      <c r="N186">
        <v>161</v>
      </c>
      <c r="O186" t="s">
        <v>161</v>
      </c>
      <c r="P186" t="s">
        <v>428</v>
      </c>
      <c r="Q186">
        <f t="shared" si="6"/>
        <v>-56</v>
      </c>
      <c r="R186" t="str">
        <f>_xlfn.XLOOKUP(P186,'Painel Additive'!$B:$B,'Painel Additive'!$B:$B,0)</f>
        <v>GRUPO HINOVE</v>
      </c>
      <c r="S186">
        <f t="shared" si="7"/>
        <v>68</v>
      </c>
    </row>
    <row r="187" spans="1:20" x14ac:dyDescent="0.25">
      <c r="A187">
        <v>13861</v>
      </c>
      <c r="B187" t="s">
        <v>267</v>
      </c>
      <c r="C187" t="s">
        <v>852</v>
      </c>
      <c r="D187" s="34">
        <v>29700</v>
      </c>
      <c r="E187">
        <v>1246264670</v>
      </c>
      <c r="F187" s="30">
        <v>46136</v>
      </c>
      <c r="G187" s="30"/>
      <c r="H187" t="s">
        <v>28</v>
      </c>
      <c r="I187" t="s">
        <v>29</v>
      </c>
      <c r="J187">
        <v>10750</v>
      </c>
      <c r="K187" s="30">
        <v>46076</v>
      </c>
      <c r="L187">
        <v>1010100</v>
      </c>
      <c r="M187" t="s">
        <v>35</v>
      </c>
      <c r="N187">
        <v>161</v>
      </c>
      <c r="O187" t="s">
        <v>161</v>
      </c>
      <c r="P187" t="s">
        <v>419</v>
      </c>
      <c r="Q187">
        <f t="shared" si="6"/>
        <v>-25</v>
      </c>
      <c r="R187" t="str">
        <f>_xlfn.XLOOKUP(P187,'Painel Additive'!$B:$B,'Painel Additive'!$B:$B,0)</f>
        <v>GRUPO ADUBOS ARAGUAIA</v>
      </c>
      <c r="S187">
        <f t="shared" si="7"/>
        <v>60</v>
      </c>
    </row>
    <row r="188" spans="1:20" x14ac:dyDescent="0.25">
      <c r="A188">
        <v>13861</v>
      </c>
      <c r="B188" t="s">
        <v>267</v>
      </c>
      <c r="C188" t="s">
        <v>852</v>
      </c>
      <c r="D188" s="34">
        <v>51280</v>
      </c>
      <c r="E188">
        <v>1246264568</v>
      </c>
      <c r="F188" s="30">
        <v>46136</v>
      </c>
      <c r="G188" s="30"/>
      <c r="H188" t="s">
        <v>28</v>
      </c>
      <c r="I188" t="s">
        <v>29</v>
      </c>
      <c r="J188">
        <v>2764</v>
      </c>
      <c r="K188" s="30">
        <v>46076</v>
      </c>
      <c r="L188">
        <v>1010100</v>
      </c>
      <c r="M188" t="s">
        <v>35</v>
      </c>
      <c r="N188">
        <v>161</v>
      </c>
      <c r="O188" t="s">
        <v>161</v>
      </c>
      <c r="P188" t="s">
        <v>419</v>
      </c>
      <c r="Q188">
        <f t="shared" si="6"/>
        <v>-25</v>
      </c>
      <c r="R188" t="str">
        <f>_xlfn.XLOOKUP(P188,'Painel Additive'!$B:$B,'Painel Additive'!$B:$B,0)</f>
        <v>GRUPO ADUBOS ARAGUAIA</v>
      </c>
      <c r="S188">
        <f t="shared" si="7"/>
        <v>60</v>
      </c>
    </row>
    <row r="189" spans="1:20" x14ac:dyDescent="0.25">
      <c r="A189">
        <v>16099</v>
      </c>
      <c r="B189" t="s">
        <v>857</v>
      </c>
      <c r="C189" t="s">
        <v>858</v>
      </c>
      <c r="D189" s="34">
        <v>429480</v>
      </c>
      <c r="E189">
        <v>1246264672</v>
      </c>
      <c r="F189" s="30">
        <v>46166</v>
      </c>
      <c r="G189" s="30"/>
      <c r="H189" t="s">
        <v>28</v>
      </c>
      <c r="I189" t="s">
        <v>29</v>
      </c>
      <c r="J189">
        <v>2767</v>
      </c>
      <c r="K189" s="30">
        <v>46076</v>
      </c>
      <c r="L189">
        <v>1010100</v>
      </c>
      <c r="M189" t="s">
        <v>35</v>
      </c>
      <c r="N189">
        <v>161</v>
      </c>
      <c r="O189" t="s">
        <v>161</v>
      </c>
      <c r="P189" t="s">
        <v>500</v>
      </c>
      <c r="Q189">
        <f t="shared" si="6"/>
        <v>-55</v>
      </c>
      <c r="R189" t="str">
        <f>_xlfn.XLOOKUP(P189,'Painel Additive'!$B:$B,'Painel Additive'!$B:$B,0)</f>
        <v>GRUPO MOSAIC FERTILIZANTES DO BRASIL</v>
      </c>
      <c r="S189">
        <f t="shared" si="7"/>
        <v>90</v>
      </c>
    </row>
    <row r="190" spans="1:20" x14ac:dyDescent="0.25">
      <c r="A190">
        <v>1891</v>
      </c>
      <c r="B190" t="s">
        <v>739</v>
      </c>
      <c r="C190" t="s">
        <v>740</v>
      </c>
      <c r="D190" s="34">
        <v>303.01</v>
      </c>
      <c r="E190">
        <v>1246250714</v>
      </c>
      <c r="F190" s="30">
        <v>46076</v>
      </c>
      <c r="G190" s="30"/>
      <c r="I190" t="s">
        <v>373</v>
      </c>
      <c r="J190">
        <v>10109</v>
      </c>
      <c r="K190" s="30">
        <v>45986</v>
      </c>
      <c r="L190">
        <v>4011600</v>
      </c>
      <c r="M190" t="s">
        <v>702</v>
      </c>
      <c r="N190">
        <v>124</v>
      </c>
      <c r="O190" t="s">
        <v>741</v>
      </c>
      <c r="P190" t="s">
        <v>739</v>
      </c>
      <c r="Q190">
        <f t="shared" si="6"/>
        <v>35</v>
      </c>
      <c r="R190" t="str">
        <f>_xlfn.XLOOKUP(P190,'Painel Additive'!$B:$B,'Painel Additive'!$B:$B,0)</f>
        <v>MÁRCIO RODRIGO DA SILVA</v>
      </c>
      <c r="S190">
        <f t="shared" si="7"/>
        <v>90</v>
      </c>
    </row>
    <row r="191" spans="1:20" x14ac:dyDescent="0.25">
      <c r="A191">
        <v>707</v>
      </c>
      <c r="B191" t="s">
        <v>53</v>
      </c>
      <c r="C191" t="s">
        <v>54</v>
      </c>
      <c r="D191" s="34">
        <v>40320</v>
      </c>
      <c r="E191">
        <v>1246146706</v>
      </c>
      <c r="F191" s="30">
        <v>45461</v>
      </c>
      <c r="G191" s="30"/>
      <c r="H191" t="s">
        <v>28</v>
      </c>
      <c r="I191" t="s">
        <v>29</v>
      </c>
      <c r="J191">
        <v>3619</v>
      </c>
      <c r="K191" s="30">
        <v>45433</v>
      </c>
      <c r="L191">
        <v>1010100</v>
      </c>
      <c r="M191" t="s">
        <v>35</v>
      </c>
      <c r="N191">
        <v>161</v>
      </c>
      <c r="O191" t="s">
        <v>161</v>
      </c>
      <c r="P191" t="s">
        <v>53</v>
      </c>
      <c r="Q191">
        <f t="shared" si="6"/>
        <v>650</v>
      </c>
      <c r="R191" t="str">
        <f>_xlfn.XLOOKUP(P191,'Painel Additive'!$B:$B,'Painel Additive'!$B:$B,0)</f>
        <v>TERRA FERTILIZANTES LTDA - ARAXÁ</v>
      </c>
      <c r="S191">
        <f t="shared" si="7"/>
        <v>28</v>
      </c>
      <c r="T191">
        <f>F191-$R$1</f>
        <v>-650</v>
      </c>
    </row>
    <row r="192" spans="1:20" x14ac:dyDescent="0.25">
      <c r="A192">
        <v>707</v>
      </c>
      <c r="B192" t="s">
        <v>53</v>
      </c>
      <c r="C192" t="s">
        <v>54</v>
      </c>
      <c r="D192" s="34">
        <v>14640</v>
      </c>
      <c r="E192">
        <v>1246145696</v>
      </c>
      <c r="F192" s="30">
        <v>45454</v>
      </c>
      <c r="G192" s="30"/>
      <c r="H192" t="s">
        <v>28</v>
      </c>
      <c r="I192" t="s">
        <v>29</v>
      </c>
      <c r="J192">
        <v>3538</v>
      </c>
      <c r="K192" s="30">
        <v>45426</v>
      </c>
      <c r="L192">
        <v>1010100</v>
      </c>
      <c r="M192" t="s">
        <v>35</v>
      </c>
      <c r="N192">
        <v>161</v>
      </c>
      <c r="O192" t="s">
        <v>161</v>
      </c>
      <c r="P192" t="s">
        <v>53</v>
      </c>
      <c r="Q192">
        <f t="shared" si="6"/>
        <v>657</v>
      </c>
      <c r="R192" t="str">
        <f>_xlfn.XLOOKUP(P192,'Painel Additive'!$B:$B,'Painel Additive'!$B:$B,0)</f>
        <v>TERRA FERTILIZANTES LTDA - ARAXÁ</v>
      </c>
      <c r="S192">
        <f t="shared" si="7"/>
        <v>28</v>
      </c>
      <c r="T192">
        <f>F192-$R$1</f>
        <v>-657</v>
      </c>
    </row>
    <row r="193" spans="1:20" x14ac:dyDescent="0.25">
      <c r="A193">
        <v>707</v>
      </c>
      <c r="B193" t="s">
        <v>53</v>
      </c>
      <c r="C193" t="s">
        <v>54</v>
      </c>
      <c r="D193" s="34">
        <v>43920</v>
      </c>
      <c r="E193">
        <v>1246148035</v>
      </c>
      <c r="F193" s="30">
        <v>45469</v>
      </c>
      <c r="G193" s="30"/>
      <c r="H193" t="s">
        <v>28</v>
      </c>
      <c r="I193" t="s">
        <v>29</v>
      </c>
      <c r="J193">
        <v>3722</v>
      </c>
      <c r="K193" s="30">
        <v>45441</v>
      </c>
      <c r="L193">
        <v>1010100</v>
      </c>
      <c r="M193" t="s">
        <v>35</v>
      </c>
      <c r="N193">
        <v>161</v>
      </c>
      <c r="O193" t="s">
        <v>161</v>
      </c>
      <c r="P193" t="s">
        <v>53</v>
      </c>
      <c r="Q193">
        <f t="shared" si="6"/>
        <v>642</v>
      </c>
      <c r="R193" t="str">
        <f>_xlfn.XLOOKUP(P193,'Painel Additive'!$B:$B,'Painel Additive'!$B:$B,0)</f>
        <v>TERRA FERTILIZANTES LTDA - ARAXÁ</v>
      </c>
      <c r="S193">
        <f t="shared" si="7"/>
        <v>28</v>
      </c>
      <c r="T193">
        <f>F193-$R$1</f>
        <v>-642</v>
      </c>
    </row>
    <row r="194" spans="1:20" x14ac:dyDescent="0.25">
      <c r="A194">
        <v>707</v>
      </c>
      <c r="B194" t="s">
        <v>53</v>
      </c>
      <c r="C194" t="s">
        <v>54</v>
      </c>
      <c r="D194" s="34">
        <v>36600</v>
      </c>
      <c r="E194">
        <v>1246146938</v>
      </c>
      <c r="F194" s="30">
        <v>45462</v>
      </c>
      <c r="G194" s="30"/>
      <c r="H194" t="s">
        <v>28</v>
      </c>
      <c r="I194" t="s">
        <v>29</v>
      </c>
      <c r="J194">
        <v>3637</v>
      </c>
      <c r="K194" s="30">
        <v>45434</v>
      </c>
      <c r="L194">
        <v>1010100</v>
      </c>
      <c r="M194" t="s">
        <v>35</v>
      </c>
      <c r="N194">
        <v>161</v>
      </c>
      <c r="O194" t="s">
        <v>161</v>
      </c>
      <c r="P194" t="s">
        <v>53</v>
      </c>
      <c r="Q194">
        <f t="shared" si="6"/>
        <v>649</v>
      </c>
      <c r="R194" t="str">
        <f>_xlfn.XLOOKUP(P194,'Painel Additive'!$B:$B,'Painel Additive'!$B:$B,0)</f>
        <v>TERRA FERTILIZANTES LTDA - ARAXÁ</v>
      </c>
      <c r="S194">
        <f t="shared" si="7"/>
        <v>28</v>
      </c>
    </row>
    <row r="195" spans="1:20" x14ac:dyDescent="0.25">
      <c r="A195">
        <v>707</v>
      </c>
      <c r="B195" t="s">
        <v>53</v>
      </c>
      <c r="C195" t="s">
        <v>54</v>
      </c>
      <c r="D195" s="34">
        <v>33600</v>
      </c>
      <c r="E195">
        <v>1246148036</v>
      </c>
      <c r="F195" s="30">
        <v>45469</v>
      </c>
      <c r="G195" s="30"/>
      <c r="H195" t="s">
        <v>28</v>
      </c>
      <c r="I195" t="s">
        <v>29</v>
      </c>
      <c r="J195">
        <v>3723</v>
      </c>
      <c r="K195" s="30">
        <v>45441</v>
      </c>
      <c r="L195">
        <v>1010100</v>
      </c>
      <c r="M195" t="s">
        <v>35</v>
      </c>
      <c r="N195">
        <v>161</v>
      </c>
      <c r="O195" t="s">
        <v>161</v>
      </c>
      <c r="P195" t="s">
        <v>53</v>
      </c>
      <c r="Q195">
        <f t="shared" si="6"/>
        <v>642</v>
      </c>
      <c r="R195" t="str">
        <f>_xlfn.XLOOKUP(P195,'Painel Additive'!$B:$B,'Painel Additive'!$B:$B,0)</f>
        <v>TERRA FERTILIZANTES LTDA - ARAXÁ</v>
      </c>
      <c r="S195">
        <f t="shared" si="7"/>
        <v>28</v>
      </c>
    </row>
    <row r="196" spans="1:20" x14ac:dyDescent="0.25">
      <c r="A196">
        <v>707</v>
      </c>
      <c r="B196" t="s">
        <v>53</v>
      </c>
      <c r="C196" t="s">
        <v>54</v>
      </c>
      <c r="D196" s="34">
        <v>16800</v>
      </c>
      <c r="E196">
        <v>1246141445</v>
      </c>
      <c r="F196" s="30">
        <v>45433</v>
      </c>
      <c r="G196" s="30"/>
      <c r="H196" t="s">
        <v>28</v>
      </c>
      <c r="I196" t="s">
        <v>29</v>
      </c>
      <c r="J196">
        <v>3345</v>
      </c>
      <c r="K196" s="30">
        <v>45405</v>
      </c>
      <c r="L196">
        <v>1010100</v>
      </c>
      <c r="M196" t="s">
        <v>35</v>
      </c>
      <c r="N196">
        <v>161</v>
      </c>
      <c r="O196" t="s">
        <v>161</v>
      </c>
      <c r="P196" t="s">
        <v>53</v>
      </c>
      <c r="Q196">
        <f t="shared" si="6"/>
        <v>678</v>
      </c>
      <c r="R196" t="str">
        <f>_xlfn.XLOOKUP(P196,'Painel Additive'!$B:$B,'Painel Additive'!$B:$B,0)</f>
        <v>TERRA FERTILIZANTES LTDA - ARAXÁ</v>
      </c>
      <c r="S196">
        <f t="shared" si="7"/>
        <v>28</v>
      </c>
    </row>
    <row r="197" spans="1:20" x14ac:dyDescent="0.25">
      <c r="A197">
        <v>707</v>
      </c>
      <c r="B197" t="s">
        <v>53</v>
      </c>
      <c r="C197" t="s">
        <v>54</v>
      </c>
      <c r="D197" s="34">
        <v>40353.599999999999</v>
      </c>
      <c r="E197">
        <v>1246143397</v>
      </c>
      <c r="F197" s="30">
        <v>45443</v>
      </c>
      <c r="G197" s="30"/>
      <c r="H197" t="s">
        <v>28</v>
      </c>
      <c r="I197" t="s">
        <v>29</v>
      </c>
      <c r="J197">
        <v>3448</v>
      </c>
      <c r="K197" s="30">
        <v>45415</v>
      </c>
      <c r="L197">
        <v>1010100</v>
      </c>
      <c r="M197" t="s">
        <v>35</v>
      </c>
      <c r="N197">
        <v>161</v>
      </c>
      <c r="O197" t="s">
        <v>161</v>
      </c>
      <c r="P197" t="s">
        <v>53</v>
      </c>
      <c r="Q197">
        <f t="shared" si="6"/>
        <v>668</v>
      </c>
      <c r="R197" t="str">
        <f>_xlfn.XLOOKUP(P197,'Painel Additive'!$B:$B,'Painel Additive'!$B:$B,0)</f>
        <v>TERRA FERTILIZANTES LTDA - ARAXÁ</v>
      </c>
      <c r="S197">
        <f t="shared" si="7"/>
        <v>28</v>
      </c>
    </row>
    <row r="198" spans="1:20" x14ac:dyDescent="0.25">
      <c r="A198">
        <v>139</v>
      </c>
      <c r="B198" t="s">
        <v>40</v>
      </c>
      <c r="C198" t="s">
        <v>748</v>
      </c>
      <c r="D198" s="34">
        <v>391080</v>
      </c>
      <c r="E198">
        <v>1246268022</v>
      </c>
      <c r="F198" s="30">
        <v>46126</v>
      </c>
      <c r="G198" s="30"/>
      <c r="H198" t="s">
        <v>28</v>
      </c>
      <c r="I198" t="s">
        <v>29</v>
      </c>
      <c r="J198">
        <v>2819</v>
      </c>
      <c r="K198" s="30">
        <v>46098</v>
      </c>
      <c r="L198">
        <v>1010100</v>
      </c>
      <c r="M198" t="s">
        <v>35</v>
      </c>
      <c r="N198">
        <v>161</v>
      </c>
      <c r="O198" t="s">
        <v>161</v>
      </c>
      <c r="P198" t="s">
        <v>40</v>
      </c>
      <c r="Q198">
        <f t="shared" si="6"/>
        <v>-15</v>
      </c>
      <c r="R198" t="str">
        <f>_xlfn.XLOOKUP(P198,'Painel Additive'!$B:$B,'Painel Additive'!$B:$B,0)</f>
        <v>COMIGO - RIO VERDE</v>
      </c>
      <c r="S198">
        <f t="shared" si="7"/>
        <v>28</v>
      </c>
    </row>
    <row r="199" spans="1:20" x14ac:dyDescent="0.25">
      <c r="A199">
        <v>1462</v>
      </c>
      <c r="B199" t="s">
        <v>65</v>
      </c>
      <c r="C199" t="s">
        <v>66</v>
      </c>
      <c r="D199" s="34">
        <v>37608.400000000001</v>
      </c>
      <c r="E199">
        <v>1246266894</v>
      </c>
      <c r="F199" s="30">
        <v>46147</v>
      </c>
      <c r="G199" s="30"/>
      <c r="H199" t="s">
        <v>28</v>
      </c>
      <c r="I199" t="s">
        <v>29</v>
      </c>
      <c r="J199">
        <v>10834</v>
      </c>
      <c r="K199" s="30">
        <v>46087</v>
      </c>
      <c r="L199">
        <v>1010100</v>
      </c>
      <c r="M199" t="s">
        <v>35</v>
      </c>
      <c r="N199">
        <v>161</v>
      </c>
      <c r="O199" t="s">
        <v>161</v>
      </c>
      <c r="P199" t="s">
        <v>65</v>
      </c>
      <c r="Q199">
        <f t="shared" si="6"/>
        <v>-36</v>
      </c>
      <c r="R199" t="str">
        <f>_xlfn.XLOOKUP(P199,'Painel Additive'!$B:$B,'Painel Additive'!$B:$B,0)</f>
        <v>AURORA MINERAÇÃO LTDA</v>
      </c>
      <c r="S199">
        <f t="shared" si="7"/>
        <v>60</v>
      </c>
    </row>
    <row r="200" spans="1:20" x14ac:dyDescent="0.25">
      <c r="A200">
        <v>1462</v>
      </c>
      <c r="B200" t="s">
        <v>65</v>
      </c>
      <c r="C200" t="s">
        <v>66</v>
      </c>
      <c r="D200" s="34">
        <v>37608.400000000001</v>
      </c>
      <c r="E200">
        <v>1246266895</v>
      </c>
      <c r="F200" s="30">
        <v>46157</v>
      </c>
      <c r="G200" s="30"/>
      <c r="H200" t="s">
        <v>28</v>
      </c>
      <c r="I200" t="s">
        <v>29</v>
      </c>
      <c r="J200">
        <v>10834</v>
      </c>
      <c r="K200" s="30">
        <v>46087</v>
      </c>
      <c r="L200">
        <v>1010100</v>
      </c>
      <c r="M200" t="s">
        <v>35</v>
      </c>
      <c r="N200">
        <v>161</v>
      </c>
      <c r="O200" t="s">
        <v>161</v>
      </c>
      <c r="P200" t="s">
        <v>65</v>
      </c>
      <c r="Q200">
        <f t="shared" si="6"/>
        <v>-46</v>
      </c>
      <c r="R200" t="str">
        <f>_xlfn.XLOOKUP(P200,'Painel Additive'!$B:$B,'Painel Additive'!$B:$B,0)</f>
        <v>AURORA MINERAÇÃO LTDA</v>
      </c>
      <c r="S200">
        <f t="shared" si="7"/>
        <v>70</v>
      </c>
    </row>
    <row r="201" spans="1:20" x14ac:dyDescent="0.25">
      <c r="A201">
        <v>1462</v>
      </c>
      <c r="B201" t="s">
        <v>65</v>
      </c>
      <c r="C201" t="s">
        <v>66</v>
      </c>
      <c r="D201" s="34">
        <v>37491.5</v>
      </c>
      <c r="E201">
        <v>1246262008</v>
      </c>
      <c r="F201" s="30">
        <v>46115</v>
      </c>
      <c r="G201" s="30"/>
      <c r="H201" t="s">
        <v>28</v>
      </c>
      <c r="I201" t="s">
        <v>29</v>
      </c>
      <c r="J201">
        <v>10624</v>
      </c>
      <c r="K201" s="30">
        <v>46055</v>
      </c>
      <c r="L201">
        <v>1010100</v>
      </c>
      <c r="M201" t="s">
        <v>35</v>
      </c>
      <c r="N201">
        <v>161</v>
      </c>
      <c r="O201" t="s">
        <v>161</v>
      </c>
      <c r="P201" t="s">
        <v>65</v>
      </c>
      <c r="Q201">
        <f t="shared" si="6"/>
        <v>-4</v>
      </c>
      <c r="R201" t="str">
        <f>_xlfn.XLOOKUP(P201,'Painel Additive'!$B:$B,'Painel Additive'!$B:$B,0)</f>
        <v>AURORA MINERAÇÃO LTDA</v>
      </c>
      <c r="S201">
        <f t="shared" si="7"/>
        <v>60</v>
      </c>
    </row>
    <row r="202" spans="1:20" x14ac:dyDescent="0.25">
      <c r="A202">
        <v>1462</v>
      </c>
      <c r="B202" t="s">
        <v>65</v>
      </c>
      <c r="C202" t="s">
        <v>66</v>
      </c>
      <c r="D202" s="34">
        <v>37491.5</v>
      </c>
      <c r="E202">
        <v>1246262009</v>
      </c>
      <c r="F202" s="30">
        <v>46125</v>
      </c>
      <c r="G202" s="30"/>
      <c r="H202" t="s">
        <v>28</v>
      </c>
      <c r="I202" t="s">
        <v>29</v>
      </c>
      <c r="J202">
        <v>10624</v>
      </c>
      <c r="K202" s="30">
        <v>46055</v>
      </c>
      <c r="L202">
        <v>1010100</v>
      </c>
      <c r="M202" t="s">
        <v>35</v>
      </c>
      <c r="N202">
        <v>161</v>
      </c>
      <c r="O202" t="s">
        <v>161</v>
      </c>
      <c r="P202" t="s">
        <v>65</v>
      </c>
      <c r="Q202">
        <f t="shared" si="6"/>
        <v>-14</v>
      </c>
      <c r="R202" t="str">
        <f>_xlfn.XLOOKUP(P202,'Painel Additive'!$B:$B,'Painel Additive'!$B:$B,0)</f>
        <v>AURORA MINERAÇÃO LTDA</v>
      </c>
      <c r="S202">
        <f t="shared" si="7"/>
        <v>70</v>
      </c>
    </row>
    <row r="203" spans="1:20" x14ac:dyDescent="0.25">
      <c r="A203">
        <v>2011</v>
      </c>
      <c r="B203" t="s">
        <v>726</v>
      </c>
      <c r="C203" t="s">
        <v>549</v>
      </c>
      <c r="D203" s="34">
        <v>80919</v>
      </c>
      <c r="E203">
        <v>1246267143</v>
      </c>
      <c r="F203" s="30">
        <v>46119</v>
      </c>
      <c r="G203" s="30"/>
      <c r="H203" t="s">
        <v>28</v>
      </c>
      <c r="I203" t="s">
        <v>29</v>
      </c>
      <c r="J203">
        <v>10852</v>
      </c>
      <c r="K203" s="30">
        <v>46091</v>
      </c>
      <c r="L203">
        <v>1010100</v>
      </c>
      <c r="M203" t="s">
        <v>35</v>
      </c>
      <c r="N203">
        <v>161</v>
      </c>
      <c r="O203" t="s">
        <v>161</v>
      </c>
      <c r="P203" t="s">
        <v>726</v>
      </c>
      <c r="Q203">
        <f t="shared" si="6"/>
        <v>-8</v>
      </c>
      <c r="R203" t="str">
        <f>_xlfn.XLOOKUP(P203,'Painel Additive'!$B:$B,'Painel Additive'!$B:$B,0)</f>
        <v>FERTGROW S.A</v>
      </c>
      <c r="S203">
        <f t="shared" si="7"/>
        <v>28</v>
      </c>
    </row>
    <row r="204" spans="1:20" x14ac:dyDescent="0.25">
      <c r="A204">
        <v>2011</v>
      </c>
      <c r="B204" t="s">
        <v>726</v>
      </c>
      <c r="C204" t="s">
        <v>549</v>
      </c>
      <c r="D204" s="34">
        <v>80460</v>
      </c>
      <c r="E204">
        <v>1246268490</v>
      </c>
      <c r="F204" s="30">
        <v>46129</v>
      </c>
      <c r="G204" s="30"/>
      <c r="H204" t="s">
        <v>28</v>
      </c>
      <c r="I204" t="s">
        <v>29</v>
      </c>
      <c r="J204">
        <v>10940</v>
      </c>
      <c r="K204" s="30">
        <v>46101</v>
      </c>
      <c r="L204">
        <v>1010100</v>
      </c>
      <c r="M204" t="s">
        <v>35</v>
      </c>
      <c r="N204">
        <v>161</v>
      </c>
      <c r="O204" t="s">
        <v>161</v>
      </c>
      <c r="P204" t="s">
        <v>726</v>
      </c>
      <c r="Q204">
        <f t="shared" si="6"/>
        <v>-18</v>
      </c>
      <c r="R204" t="str">
        <f>_xlfn.XLOOKUP(P204,'Painel Additive'!$B:$B,'Painel Additive'!$B:$B,0)</f>
        <v>FERTGROW S.A</v>
      </c>
      <c r="S204">
        <f t="shared" si="7"/>
        <v>28</v>
      </c>
    </row>
    <row r="205" spans="1:20" x14ac:dyDescent="0.25">
      <c r="A205">
        <v>505</v>
      </c>
      <c r="B205" t="s">
        <v>50</v>
      </c>
      <c r="C205" t="s">
        <v>814</v>
      </c>
      <c r="D205" s="34">
        <v>42240</v>
      </c>
      <c r="E205">
        <v>1246268415</v>
      </c>
      <c r="F205" s="30">
        <v>46128</v>
      </c>
      <c r="G205" s="30"/>
      <c r="H205" t="s">
        <v>28</v>
      </c>
      <c r="I205" t="s">
        <v>29</v>
      </c>
      <c r="J205">
        <v>10930</v>
      </c>
      <c r="K205" s="30">
        <v>46100</v>
      </c>
      <c r="L205">
        <v>1010100</v>
      </c>
      <c r="M205" t="s">
        <v>35</v>
      </c>
      <c r="N205">
        <v>161</v>
      </c>
      <c r="O205" t="s">
        <v>161</v>
      </c>
      <c r="P205" t="s">
        <v>50</v>
      </c>
      <c r="Q205">
        <f t="shared" si="6"/>
        <v>-17</v>
      </c>
      <c r="R205" t="str">
        <f>_xlfn.XLOOKUP(P205,'Painel Additive'!$B:$B,'Painel Additive'!$B:$B,0)</f>
        <v>FERTINE - RECIFE</v>
      </c>
      <c r="S205">
        <f t="shared" si="7"/>
        <v>28</v>
      </c>
    </row>
    <row r="206" spans="1:20" x14ac:dyDescent="0.25">
      <c r="A206">
        <v>3142</v>
      </c>
      <c r="B206" t="s">
        <v>89</v>
      </c>
      <c r="C206" t="s">
        <v>881</v>
      </c>
      <c r="D206" s="34">
        <v>83198.7</v>
      </c>
      <c r="E206">
        <v>1246266915</v>
      </c>
      <c r="F206" s="30">
        <v>46115</v>
      </c>
      <c r="G206" s="30"/>
      <c r="H206" t="s">
        <v>28</v>
      </c>
      <c r="I206" t="s">
        <v>29</v>
      </c>
      <c r="J206">
        <v>10836</v>
      </c>
      <c r="K206" s="30">
        <v>46087</v>
      </c>
      <c r="L206">
        <v>1010100</v>
      </c>
      <c r="M206" t="s">
        <v>35</v>
      </c>
      <c r="N206">
        <v>161</v>
      </c>
      <c r="O206" t="s">
        <v>161</v>
      </c>
      <c r="P206" t="s">
        <v>89</v>
      </c>
      <c r="Q206">
        <f t="shared" si="6"/>
        <v>-4</v>
      </c>
      <c r="R206" t="str">
        <f>_xlfn.XLOOKUP(P206,'Painel Additive'!$B:$B,'Painel Additive'!$B:$B,0)</f>
        <v>INTERFERTIL - SAO FRANCISCO DO SUL</v>
      </c>
      <c r="S206">
        <f t="shared" si="7"/>
        <v>28</v>
      </c>
    </row>
    <row r="207" spans="1:20" x14ac:dyDescent="0.25">
      <c r="A207">
        <v>2900</v>
      </c>
      <c r="B207" t="s">
        <v>550</v>
      </c>
      <c r="C207" t="s">
        <v>886</v>
      </c>
      <c r="D207" s="34">
        <v>17017.16</v>
      </c>
      <c r="E207">
        <v>1246267966</v>
      </c>
      <c r="F207" s="30">
        <v>46137</v>
      </c>
      <c r="G207" s="30"/>
      <c r="H207" t="s">
        <v>28</v>
      </c>
      <c r="I207" t="s">
        <v>29</v>
      </c>
      <c r="J207">
        <v>10901</v>
      </c>
      <c r="K207" s="30">
        <v>46097</v>
      </c>
      <c r="L207">
        <v>1010100</v>
      </c>
      <c r="M207" t="s">
        <v>35</v>
      </c>
      <c r="N207">
        <v>161</v>
      </c>
      <c r="O207" t="s">
        <v>161</v>
      </c>
      <c r="P207" t="s">
        <v>550</v>
      </c>
      <c r="Q207">
        <f t="shared" si="6"/>
        <v>-26</v>
      </c>
      <c r="R207" t="str">
        <f>_xlfn.XLOOKUP(P207,'Painel Additive'!$B:$B,'Painel Additive'!$B:$B,0)</f>
        <v>BIOSAFRA - MARUIM</v>
      </c>
      <c r="S207">
        <f t="shared" si="7"/>
        <v>40</v>
      </c>
    </row>
    <row r="208" spans="1:20" x14ac:dyDescent="0.25">
      <c r="A208">
        <v>2900</v>
      </c>
      <c r="B208" t="s">
        <v>550</v>
      </c>
      <c r="C208" t="s">
        <v>886</v>
      </c>
      <c r="D208" s="34">
        <v>17017.16</v>
      </c>
      <c r="E208">
        <v>1246267967</v>
      </c>
      <c r="F208" s="30">
        <v>46157</v>
      </c>
      <c r="G208" s="30"/>
      <c r="H208" t="s">
        <v>28</v>
      </c>
      <c r="I208" t="s">
        <v>29</v>
      </c>
      <c r="J208">
        <v>10901</v>
      </c>
      <c r="K208" s="30">
        <v>46097</v>
      </c>
      <c r="L208">
        <v>1010100</v>
      </c>
      <c r="M208" t="s">
        <v>35</v>
      </c>
      <c r="N208">
        <v>161</v>
      </c>
      <c r="O208" t="s">
        <v>161</v>
      </c>
      <c r="P208" t="s">
        <v>550</v>
      </c>
      <c r="Q208">
        <f t="shared" si="6"/>
        <v>-46</v>
      </c>
      <c r="R208" t="str">
        <f>_xlfn.XLOOKUP(P208,'Painel Additive'!$B:$B,'Painel Additive'!$B:$B,0)</f>
        <v>BIOSAFRA - MARUIM</v>
      </c>
      <c r="S208">
        <f t="shared" si="7"/>
        <v>60</v>
      </c>
    </row>
    <row r="209" spans="1:19" x14ac:dyDescent="0.25">
      <c r="A209">
        <v>2900</v>
      </c>
      <c r="B209" t="s">
        <v>550</v>
      </c>
      <c r="C209" t="s">
        <v>886</v>
      </c>
      <c r="D209" s="34">
        <v>17017.16</v>
      </c>
      <c r="E209">
        <v>1246267968</v>
      </c>
      <c r="F209" s="30">
        <v>46187</v>
      </c>
      <c r="G209" s="30"/>
      <c r="H209" t="s">
        <v>28</v>
      </c>
      <c r="I209" t="s">
        <v>29</v>
      </c>
      <c r="J209">
        <v>10901</v>
      </c>
      <c r="K209" s="30">
        <v>46097</v>
      </c>
      <c r="L209">
        <v>1010100</v>
      </c>
      <c r="M209" t="s">
        <v>35</v>
      </c>
      <c r="N209">
        <v>161</v>
      </c>
      <c r="O209" t="s">
        <v>161</v>
      </c>
      <c r="P209" t="s">
        <v>550</v>
      </c>
      <c r="Q209">
        <f t="shared" si="6"/>
        <v>-76</v>
      </c>
      <c r="R209" t="str">
        <f>_xlfn.XLOOKUP(P209,'Painel Additive'!$B:$B,'Painel Additive'!$B:$B,0)</f>
        <v>BIOSAFRA - MARUIM</v>
      </c>
      <c r="S209">
        <f t="shared" si="7"/>
        <v>90</v>
      </c>
    </row>
    <row r="210" spans="1:19" x14ac:dyDescent="0.25">
      <c r="A210">
        <v>2900</v>
      </c>
      <c r="B210" t="s">
        <v>550</v>
      </c>
      <c r="C210" t="s">
        <v>886</v>
      </c>
      <c r="D210" s="34">
        <v>32495.81</v>
      </c>
      <c r="E210">
        <v>1246267971</v>
      </c>
      <c r="F210" s="30">
        <v>46137</v>
      </c>
      <c r="G210" s="30"/>
      <c r="H210" t="s">
        <v>28</v>
      </c>
      <c r="I210" t="s">
        <v>29</v>
      </c>
      <c r="J210">
        <v>10902</v>
      </c>
      <c r="K210" s="30">
        <v>46097</v>
      </c>
      <c r="L210">
        <v>1010100</v>
      </c>
      <c r="M210" t="s">
        <v>35</v>
      </c>
      <c r="N210">
        <v>161</v>
      </c>
      <c r="O210" t="s">
        <v>161</v>
      </c>
      <c r="P210" t="s">
        <v>550</v>
      </c>
      <c r="Q210">
        <f t="shared" si="6"/>
        <v>-26</v>
      </c>
      <c r="R210" t="str">
        <f>_xlfn.XLOOKUP(P210,'Painel Additive'!$B:$B,'Painel Additive'!$B:$B,0)</f>
        <v>BIOSAFRA - MARUIM</v>
      </c>
      <c r="S210">
        <f t="shared" si="7"/>
        <v>40</v>
      </c>
    </row>
    <row r="211" spans="1:19" x14ac:dyDescent="0.25">
      <c r="A211">
        <v>2900</v>
      </c>
      <c r="B211" t="s">
        <v>550</v>
      </c>
      <c r="C211" t="s">
        <v>886</v>
      </c>
      <c r="D211" s="34">
        <v>32495.81</v>
      </c>
      <c r="E211">
        <v>1246267972</v>
      </c>
      <c r="F211" s="30">
        <v>46157</v>
      </c>
      <c r="G211" s="30"/>
      <c r="H211" t="s">
        <v>28</v>
      </c>
      <c r="I211" t="s">
        <v>29</v>
      </c>
      <c r="J211">
        <v>10902</v>
      </c>
      <c r="K211" s="30">
        <v>46097</v>
      </c>
      <c r="L211">
        <v>1010100</v>
      </c>
      <c r="M211" t="s">
        <v>35</v>
      </c>
      <c r="N211">
        <v>161</v>
      </c>
      <c r="O211" t="s">
        <v>161</v>
      </c>
      <c r="P211" t="s">
        <v>550</v>
      </c>
      <c r="Q211">
        <f t="shared" si="6"/>
        <v>-46</v>
      </c>
      <c r="R211" t="str">
        <f>_xlfn.XLOOKUP(P211,'Painel Additive'!$B:$B,'Painel Additive'!$B:$B,0)</f>
        <v>BIOSAFRA - MARUIM</v>
      </c>
      <c r="S211">
        <f t="shared" si="7"/>
        <v>60</v>
      </c>
    </row>
    <row r="212" spans="1:19" x14ac:dyDescent="0.25">
      <c r="A212">
        <v>2900</v>
      </c>
      <c r="B212" t="s">
        <v>550</v>
      </c>
      <c r="C212" t="s">
        <v>886</v>
      </c>
      <c r="D212" s="34">
        <v>32495.82</v>
      </c>
      <c r="E212">
        <v>1246267973</v>
      </c>
      <c r="F212" s="30">
        <v>46187</v>
      </c>
      <c r="G212" s="30"/>
      <c r="H212" t="s">
        <v>28</v>
      </c>
      <c r="I212" t="s">
        <v>29</v>
      </c>
      <c r="J212">
        <v>10902</v>
      </c>
      <c r="K212" s="30">
        <v>46097</v>
      </c>
      <c r="L212">
        <v>1010100</v>
      </c>
      <c r="M212" t="s">
        <v>35</v>
      </c>
      <c r="N212">
        <v>161</v>
      </c>
      <c r="O212" t="s">
        <v>161</v>
      </c>
      <c r="P212" t="s">
        <v>550</v>
      </c>
      <c r="Q212">
        <f t="shared" si="6"/>
        <v>-76</v>
      </c>
      <c r="R212" t="str">
        <f>_xlfn.XLOOKUP(P212,'Painel Additive'!$B:$B,'Painel Additive'!$B:$B,0)</f>
        <v>BIOSAFRA - MARUIM</v>
      </c>
      <c r="S212">
        <f t="shared" si="7"/>
        <v>90</v>
      </c>
    </row>
    <row r="213" spans="1:19" x14ac:dyDescent="0.25">
      <c r="A213">
        <v>2622</v>
      </c>
      <c r="B213" t="s">
        <v>83</v>
      </c>
      <c r="C213" t="s">
        <v>565</v>
      </c>
      <c r="D213" s="34">
        <v>410856.52</v>
      </c>
      <c r="E213">
        <v>1246268936</v>
      </c>
      <c r="F213" s="30">
        <v>46196</v>
      </c>
      <c r="G213" s="30"/>
      <c r="H213" t="s">
        <v>28</v>
      </c>
      <c r="I213" t="s">
        <v>29</v>
      </c>
      <c r="J213">
        <v>2842</v>
      </c>
      <c r="K213" s="30">
        <v>46106</v>
      </c>
      <c r="L213">
        <v>1010100</v>
      </c>
      <c r="M213" t="s">
        <v>35</v>
      </c>
      <c r="N213">
        <v>161</v>
      </c>
      <c r="O213" t="s">
        <v>161</v>
      </c>
      <c r="P213" t="s">
        <v>83</v>
      </c>
      <c r="Q213">
        <f t="shared" si="6"/>
        <v>-85</v>
      </c>
      <c r="R213" t="str">
        <f>_xlfn.XLOOKUP(P213,'Painel Additive'!$B:$B,'Painel Additive'!$B:$B,0)</f>
        <v>ADUFERTIL JUNDIAI</v>
      </c>
      <c r="S213">
        <f t="shared" si="7"/>
        <v>90</v>
      </c>
    </row>
    <row r="214" spans="1:19" x14ac:dyDescent="0.25">
      <c r="A214">
        <v>2622</v>
      </c>
      <c r="B214" t="s">
        <v>83</v>
      </c>
      <c r="C214" t="s">
        <v>565</v>
      </c>
      <c r="D214" s="34">
        <v>420160.61</v>
      </c>
      <c r="E214">
        <v>1246260238</v>
      </c>
      <c r="F214" s="30">
        <v>46133</v>
      </c>
      <c r="G214" s="30"/>
      <c r="H214" t="s">
        <v>28</v>
      </c>
      <c r="I214" t="s">
        <v>29</v>
      </c>
      <c r="J214">
        <v>2688</v>
      </c>
      <c r="K214" s="30">
        <v>46043</v>
      </c>
      <c r="L214">
        <v>1010100</v>
      </c>
      <c r="M214" t="s">
        <v>35</v>
      </c>
      <c r="N214">
        <v>161</v>
      </c>
      <c r="O214" t="s">
        <v>161</v>
      </c>
      <c r="P214" t="s">
        <v>83</v>
      </c>
      <c r="Q214">
        <f t="shared" si="6"/>
        <v>-22</v>
      </c>
      <c r="R214" t="str">
        <f>_xlfn.XLOOKUP(P214,'Painel Additive'!$B:$B,'Painel Additive'!$B:$B,0)</f>
        <v>ADUFERTIL JUNDIAI</v>
      </c>
      <c r="S214">
        <f t="shared" si="7"/>
        <v>90</v>
      </c>
    </row>
    <row r="215" spans="1:19" x14ac:dyDescent="0.25">
      <c r="A215">
        <v>2975</v>
      </c>
      <c r="B215" t="s">
        <v>488</v>
      </c>
      <c r="C215" t="s">
        <v>86</v>
      </c>
      <c r="D215" s="34">
        <v>58920</v>
      </c>
      <c r="E215">
        <v>1246269447</v>
      </c>
      <c r="F215" s="30">
        <v>46136</v>
      </c>
      <c r="G215" s="30"/>
      <c r="H215" t="s">
        <v>28</v>
      </c>
      <c r="I215" t="s">
        <v>29</v>
      </c>
      <c r="J215">
        <v>2851</v>
      </c>
      <c r="K215" s="30">
        <v>46108</v>
      </c>
      <c r="L215">
        <v>1010100</v>
      </c>
      <c r="M215" t="s">
        <v>35</v>
      </c>
      <c r="N215">
        <v>161</v>
      </c>
      <c r="O215" t="s">
        <v>161</v>
      </c>
      <c r="P215" t="s">
        <v>488</v>
      </c>
      <c r="Q215">
        <f t="shared" si="6"/>
        <v>-25</v>
      </c>
      <c r="R215" t="str">
        <f>_xlfn.XLOOKUP(P215,'Painel Additive'!$B:$B,'Painel Additive'!$B:$B,0)</f>
        <v>COONAGRO COOPERATIVA - PARANAGUA</v>
      </c>
      <c r="S215">
        <f t="shared" si="7"/>
        <v>28</v>
      </c>
    </row>
    <row r="216" spans="1:19" x14ac:dyDescent="0.25">
      <c r="A216">
        <v>2975</v>
      </c>
      <c r="B216" t="s">
        <v>488</v>
      </c>
      <c r="C216" t="s">
        <v>86</v>
      </c>
      <c r="D216" s="34">
        <v>78164.100000000006</v>
      </c>
      <c r="E216">
        <v>1246267719</v>
      </c>
      <c r="F216" s="30">
        <v>46122</v>
      </c>
      <c r="G216" s="30"/>
      <c r="H216" t="s">
        <v>28</v>
      </c>
      <c r="I216" t="s">
        <v>29</v>
      </c>
      <c r="J216">
        <v>10878</v>
      </c>
      <c r="K216" s="30">
        <v>46094</v>
      </c>
      <c r="L216">
        <v>1010100</v>
      </c>
      <c r="M216" t="s">
        <v>35</v>
      </c>
      <c r="N216">
        <v>161</v>
      </c>
      <c r="O216" t="s">
        <v>161</v>
      </c>
      <c r="P216" t="s">
        <v>488</v>
      </c>
      <c r="Q216">
        <f t="shared" si="6"/>
        <v>-11</v>
      </c>
      <c r="R216" t="str">
        <f>_xlfn.XLOOKUP(P216,'Painel Additive'!$B:$B,'Painel Additive'!$B:$B,0)</f>
        <v>COONAGRO COOPERATIVA - PARANAGUA</v>
      </c>
      <c r="S216">
        <f t="shared" si="7"/>
        <v>28</v>
      </c>
    </row>
    <row r="217" spans="1:19" x14ac:dyDescent="0.25">
      <c r="A217">
        <v>5519</v>
      </c>
      <c r="B217" t="s">
        <v>303</v>
      </c>
      <c r="C217" t="s">
        <v>911</v>
      </c>
      <c r="D217" s="34">
        <v>43569.75</v>
      </c>
      <c r="E217">
        <v>1246269682</v>
      </c>
      <c r="F217" s="30">
        <v>46142</v>
      </c>
      <c r="G217" s="30"/>
      <c r="H217" t="s">
        <v>28</v>
      </c>
      <c r="I217" t="s">
        <v>29</v>
      </c>
      <c r="J217">
        <v>11012</v>
      </c>
      <c r="K217" s="30">
        <v>46112</v>
      </c>
      <c r="L217">
        <v>1010100</v>
      </c>
      <c r="M217" t="s">
        <v>35</v>
      </c>
      <c r="N217">
        <v>161</v>
      </c>
      <c r="O217" t="s">
        <v>161</v>
      </c>
      <c r="P217" t="s">
        <v>303</v>
      </c>
      <c r="Q217">
        <f t="shared" si="6"/>
        <v>-31</v>
      </c>
      <c r="R217" t="str">
        <f>_xlfn.XLOOKUP(P217,'Painel Additive'!$B:$B,'Painel Additive'!$B:$B,0)</f>
        <v>GRANUPAR - RIO BRANCO DO SUL</v>
      </c>
      <c r="S217">
        <f t="shared" si="7"/>
        <v>30</v>
      </c>
    </row>
    <row r="218" spans="1:19" x14ac:dyDescent="0.25">
      <c r="A218">
        <v>5519</v>
      </c>
      <c r="B218" t="s">
        <v>303</v>
      </c>
      <c r="C218" t="s">
        <v>911</v>
      </c>
      <c r="D218" s="34">
        <v>43569.75</v>
      </c>
      <c r="E218">
        <v>1246269683</v>
      </c>
      <c r="F218" s="30">
        <v>46172</v>
      </c>
      <c r="G218" s="30"/>
      <c r="H218" t="s">
        <v>28</v>
      </c>
      <c r="I218" t="s">
        <v>29</v>
      </c>
      <c r="J218">
        <v>11012</v>
      </c>
      <c r="K218" s="30">
        <v>46112</v>
      </c>
      <c r="L218">
        <v>1010100</v>
      </c>
      <c r="M218" t="s">
        <v>35</v>
      </c>
      <c r="N218">
        <v>161</v>
      </c>
      <c r="O218" t="s">
        <v>161</v>
      </c>
      <c r="P218" t="s">
        <v>303</v>
      </c>
      <c r="Q218">
        <f t="shared" si="6"/>
        <v>-61</v>
      </c>
      <c r="R218" t="str">
        <f>_xlfn.XLOOKUP(P218,'Painel Additive'!$B:$B,'Painel Additive'!$B:$B,0)</f>
        <v>GRANUPAR - RIO BRANCO DO SUL</v>
      </c>
      <c r="S218">
        <f t="shared" si="7"/>
        <v>60</v>
      </c>
    </row>
    <row r="219" spans="1:19" x14ac:dyDescent="0.25">
      <c r="A219">
        <v>5209</v>
      </c>
      <c r="B219" t="s">
        <v>94</v>
      </c>
      <c r="C219" t="s">
        <v>846</v>
      </c>
      <c r="D219" s="34">
        <v>28444.5</v>
      </c>
      <c r="E219">
        <v>1246266668</v>
      </c>
      <c r="F219" s="30">
        <v>46114</v>
      </c>
      <c r="G219" s="30">
        <v>46114</v>
      </c>
      <c r="H219" t="s">
        <v>28</v>
      </c>
      <c r="I219" t="s">
        <v>29</v>
      </c>
      <c r="J219">
        <v>10821</v>
      </c>
      <c r="K219" s="30">
        <v>46086</v>
      </c>
      <c r="L219">
        <v>1010100</v>
      </c>
      <c r="M219" t="s">
        <v>35</v>
      </c>
      <c r="N219">
        <v>161</v>
      </c>
      <c r="O219" t="s">
        <v>161</v>
      </c>
      <c r="P219" t="s">
        <v>94</v>
      </c>
      <c r="Q219">
        <f t="shared" si="6"/>
        <v>-3</v>
      </c>
      <c r="R219" t="str">
        <f>_xlfn.XLOOKUP(P219,'Painel Additive'!$B:$B,'Painel Additive'!$B:$B,0)</f>
        <v>NUTRISOYA - CATALÃO</v>
      </c>
      <c r="S219">
        <f t="shared" si="7"/>
        <v>28</v>
      </c>
    </row>
    <row r="220" spans="1:19" x14ac:dyDescent="0.25">
      <c r="A220">
        <v>6177</v>
      </c>
      <c r="B220" t="s">
        <v>745</v>
      </c>
      <c r="C220" t="s">
        <v>822</v>
      </c>
      <c r="D220" s="34">
        <v>122918</v>
      </c>
      <c r="E220">
        <v>1246264685</v>
      </c>
      <c r="F220" s="30">
        <v>46136</v>
      </c>
      <c r="G220" s="30"/>
      <c r="H220" t="s">
        <v>28</v>
      </c>
      <c r="I220" t="s">
        <v>29</v>
      </c>
      <c r="J220">
        <v>10751</v>
      </c>
      <c r="K220" s="30">
        <v>46076</v>
      </c>
      <c r="L220">
        <v>1010100</v>
      </c>
      <c r="M220" t="s">
        <v>35</v>
      </c>
      <c r="N220">
        <v>161</v>
      </c>
      <c r="O220" t="s">
        <v>161</v>
      </c>
      <c r="P220" t="s">
        <v>745</v>
      </c>
      <c r="Q220">
        <f t="shared" si="6"/>
        <v>-25</v>
      </c>
      <c r="R220" t="str">
        <f>_xlfn.XLOOKUP(P220,'Painel Additive'!$B:$B,'Painel Additive'!$B:$B,0)</f>
        <v>NUTRIENTES IND DE FERTILIZANTES LTDA</v>
      </c>
      <c r="S220">
        <f t="shared" si="7"/>
        <v>60</v>
      </c>
    </row>
    <row r="221" spans="1:19" x14ac:dyDescent="0.25">
      <c r="A221">
        <v>6177</v>
      </c>
      <c r="B221" t="s">
        <v>745</v>
      </c>
      <c r="C221" t="s">
        <v>822</v>
      </c>
      <c r="D221" s="34">
        <v>121852</v>
      </c>
      <c r="E221">
        <v>1246269467</v>
      </c>
      <c r="F221" s="30">
        <v>46168</v>
      </c>
      <c r="G221" s="30"/>
      <c r="H221" t="s">
        <v>28</v>
      </c>
      <c r="I221" t="s">
        <v>29</v>
      </c>
      <c r="J221">
        <v>10994</v>
      </c>
      <c r="K221" s="30">
        <v>46108</v>
      </c>
      <c r="L221">
        <v>1010100</v>
      </c>
      <c r="M221" t="s">
        <v>35</v>
      </c>
      <c r="N221">
        <v>161</v>
      </c>
      <c r="O221" t="s">
        <v>161</v>
      </c>
      <c r="P221" t="s">
        <v>745</v>
      </c>
      <c r="Q221">
        <f t="shared" ref="Q221:Q223" si="8">$R$1-F221</f>
        <v>-57</v>
      </c>
      <c r="R221" t="str">
        <f>_xlfn.XLOOKUP(P221,'Painel Additive'!$B:$B,'Painel Additive'!$B:$B,0)</f>
        <v>NUTRIENTES IND DE FERTILIZANTES LTDA</v>
      </c>
      <c r="S221">
        <f t="shared" ref="S221:S223" si="9">F221-K221</f>
        <v>60</v>
      </c>
    </row>
    <row r="222" spans="1:19" x14ac:dyDescent="0.25">
      <c r="A222">
        <v>5300</v>
      </c>
      <c r="B222" t="s">
        <v>30</v>
      </c>
      <c r="C222" t="s">
        <v>551</v>
      </c>
      <c r="D222" s="34">
        <v>175523.4</v>
      </c>
      <c r="E222">
        <v>1246267243</v>
      </c>
      <c r="F222" s="30">
        <v>46119</v>
      </c>
      <c r="G222" s="30"/>
      <c r="H222" t="s">
        <v>28</v>
      </c>
      <c r="I222" t="s">
        <v>29</v>
      </c>
      <c r="J222">
        <v>10859</v>
      </c>
      <c r="K222" s="30">
        <v>46091</v>
      </c>
      <c r="L222">
        <v>1010100</v>
      </c>
      <c r="M222" t="s">
        <v>35</v>
      </c>
      <c r="N222">
        <v>161</v>
      </c>
      <c r="O222" t="s">
        <v>161</v>
      </c>
      <c r="P222" t="s">
        <v>30</v>
      </c>
      <c r="Q222">
        <f t="shared" si="8"/>
        <v>-8</v>
      </c>
      <c r="R222" t="str">
        <f>_xlfn.XLOOKUP(P222,'Painel Additive'!$B:$B,'Painel Additive'!$B:$B,0)</f>
        <v>FOSNOR - LUIS EDUARDO MAGALHAES</v>
      </c>
      <c r="S222">
        <f t="shared" si="9"/>
        <v>28</v>
      </c>
    </row>
    <row r="223" spans="1:19" x14ac:dyDescent="0.25">
      <c r="A223">
        <v>5300</v>
      </c>
      <c r="B223" t="s">
        <v>30</v>
      </c>
      <c r="C223" t="s">
        <v>551</v>
      </c>
      <c r="D223" s="34">
        <v>175465.7</v>
      </c>
      <c r="E223">
        <v>1246269610</v>
      </c>
      <c r="F223" s="30">
        <v>46139</v>
      </c>
      <c r="G223" s="30"/>
      <c r="H223" t="s">
        <v>28</v>
      </c>
      <c r="I223" t="s">
        <v>29</v>
      </c>
      <c r="J223">
        <v>11007</v>
      </c>
      <c r="K223" s="30">
        <v>46111</v>
      </c>
      <c r="L223">
        <v>1010100</v>
      </c>
      <c r="M223" t="s">
        <v>35</v>
      </c>
      <c r="N223">
        <v>161</v>
      </c>
      <c r="O223" t="s">
        <v>161</v>
      </c>
      <c r="P223" t="s">
        <v>30</v>
      </c>
      <c r="Q223">
        <f t="shared" si="8"/>
        <v>-28</v>
      </c>
      <c r="R223" t="str">
        <f>_xlfn.XLOOKUP(P223,'Painel Additive'!$B:$B,'Painel Additive'!$B:$B,0)</f>
        <v>FOSNOR - LUIS EDUARDO MAGALHAES</v>
      </c>
      <c r="S223">
        <f t="shared" si="9"/>
        <v>28</v>
      </c>
    </row>
    <row r="224" spans="1:19" x14ac:dyDescent="0.25">
      <c r="A224">
        <v>4575</v>
      </c>
      <c r="B224" t="s">
        <v>91</v>
      </c>
      <c r="C224" t="s">
        <v>92</v>
      </c>
      <c r="D224" s="34">
        <v>20940</v>
      </c>
      <c r="E224">
        <v>1246113043</v>
      </c>
      <c r="F224" s="30">
        <v>45311</v>
      </c>
      <c r="G224" s="30"/>
      <c r="H224" t="s">
        <v>28</v>
      </c>
      <c r="I224" t="s">
        <v>29</v>
      </c>
      <c r="J224">
        <v>1821</v>
      </c>
      <c r="K224" s="30">
        <v>45233</v>
      </c>
      <c r="L224">
        <v>1010100</v>
      </c>
      <c r="M224" t="s">
        <v>35</v>
      </c>
      <c r="N224">
        <v>161</v>
      </c>
      <c r="O224" t="s">
        <v>161</v>
      </c>
      <c r="P224" t="s">
        <v>91</v>
      </c>
      <c r="Q224">
        <f t="shared" ref="Q224:Q237" si="10">$R$1-F224</f>
        <v>800</v>
      </c>
      <c r="R224" t="str">
        <f>_xlfn.XLOOKUP(P224,'Painel Additive'!$B:$B,'Painel Additive'!$B:$B,0)</f>
        <v>GLINFERTIL - SAO FRANCISCO DO SUL</v>
      </c>
      <c r="S224">
        <f t="shared" ref="S224:S237" si="11">F224-K224</f>
        <v>78</v>
      </c>
    </row>
    <row r="225" spans="1:19" x14ac:dyDescent="0.25">
      <c r="A225">
        <v>4577</v>
      </c>
      <c r="B225" t="s">
        <v>252</v>
      </c>
      <c r="C225" t="s">
        <v>882</v>
      </c>
      <c r="D225" s="34">
        <v>66308</v>
      </c>
      <c r="E225">
        <v>1246267216</v>
      </c>
      <c r="F225" s="30">
        <v>46119</v>
      </c>
      <c r="G225" s="30"/>
      <c r="H225" t="s">
        <v>28</v>
      </c>
      <c r="I225" t="s">
        <v>29</v>
      </c>
      <c r="J225">
        <v>10857</v>
      </c>
      <c r="K225" s="30">
        <v>46091</v>
      </c>
      <c r="L225">
        <v>1010100</v>
      </c>
      <c r="M225" t="s">
        <v>35</v>
      </c>
      <c r="N225">
        <v>161</v>
      </c>
      <c r="O225" t="s">
        <v>161</v>
      </c>
      <c r="P225" t="s">
        <v>252</v>
      </c>
      <c r="Q225">
        <f t="shared" si="10"/>
        <v>-8</v>
      </c>
      <c r="R225" t="str">
        <f>_xlfn.XLOOKUP(P225,'Painel Additive'!$B:$B,'Painel Additive'!$B:$B,0)</f>
        <v>MICROSOLO INDUSTRIAL - SETE LAGOAS</v>
      </c>
      <c r="S225">
        <f t="shared" si="11"/>
        <v>28</v>
      </c>
    </row>
    <row r="226" spans="1:19" x14ac:dyDescent="0.25">
      <c r="A226">
        <v>5657</v>
      </c>
      <c r="B226" t="s">
        <v>95</v>
      </c>
      <c r="C226" t="s">
        <v>912</v>
      </c>
      <c r="D226" s="34">
        <v>20520</v>
      </c>
      <c r="E226">
        <v>1246269700</v>
      </c>
      <c r="F226" s="30">
        <v>46140</v>
      </c>
      <c r="G226" s="30"/>
      <c r="H226" t="s">
        <v>28</v>
      </c>
      <c r="I226" t="s">
        <v>29</v>
      </c>
      <c r="J226">
        <v>11013</v>
      </c>
      <c r="K226" s="30">
        <v>46112</v>
      </c>
      <c r="L226">
        <v>1010100</v>
      </c>
      <c r="M226" t="s">
        <v>35</v>
      </c>
      <c r="N226">
        <v>161</v>
      </c>
      <c r="O226" t="s">
        <v>161</v>
      </c>
      <c r="P226" t="s">
        <v>95</v>
      </c>
      <c r="Q226">
        <f t="shared" si="10"/>
        <v>-29</v>
      </c>
      <c r="R226" t="str">
        <f>_xlfn.XLOOKUP(P226,'Painel Additive'!$B:$B,'Painel Additive'!$B:$B,0)</f>
        <v>FERTIPLANTA - VARGEM GRANDE DO SUL</v>
      </c>
      <c r="S226">
        <f t="shared" si="11"/>
        <v>28</v>
      </c>
    </row>
    <row r="227" spans="1:19" x14ac:dyDescent="0.25">
      <c r="A227">
        <v>5657</v>
      </c>
      <c r="B227" t="s">
        <v>95</v>
      </c>
      <c r="C227" t="s">
        <v>912</v>
      </c>
      <c r="D227" s="34">
        <v>32320</v>
      </c>
      <c r="E227">
        <v>1246269757</v>
      </c>
      <c r="F227" s="30">
        <v>46140</v>
      </c>
      <c r="G227" s="30"/>
      <c r="H227" t="s">
        <v>28</v>
      </c>
      <c r="I227" t="s">
        <v>29</v>
      </c>
      <c r="J227">
        <v>2857</v>
      </c>
      <c r="K227" s="30">
        <v>46112</v>
      </c>
      <c r="L227">
        <v>1010100</v>
      </c>
      <c r="M227" t="s">
        <v>35</v>
      </c>
      <c r="N227">
        <v>161</v>
      </c>
      <c r="O227" t="s">
        <v>161</v>
      </c>
      <c r="P227" t="s">
        <v>95</v>
      </c>
      <c r="Q227">
        <f t="shared" si="10"/>
        <v>-29</v>
      </c>
      <c r="R227" t="str">
        <f>_xlfn.XLOOKUP(P227,'Painel Additive'!$B:$B,'Painel Additive'!$B:$B,0)</f>
        <v>FERTIPLANTA - VARGEM GRANDE DO SUL</v>
      </c>
      <c r="S227">
        <f t="shared" si="11"/>
        <v>28</v>
      </c>
    </row>
    <row r="228" spans="1:19" x14ac:dyDescent="0.25">
      <c r="A228">
        <v>7022</v>
      </c>
      <c r="B228" t="s">
        <v>793</v>
      </c>
      <c r="C228" t="s">
        <v>101</v>
      </c>
      <c r="D228" s="34">
        <v>70894.399999999994</v>
      </c>
      <c r="E228">
        <v>1246266057</v>
      </c>
      <c r="F228" s="30">
        <v>46143</v>
      </c>
      <c r="G228" s="30"/>
      <c r="H228" t="s">
        <v>28</v>
      </c>
      <c r="I228" t="s">
        <v>29</v>
      </c>
      <c r="J228">
        <v>10798</v>
      </c>
      <c r="K228" s="30">
        <v>46083</v>
      </c>
      <c r="L228">
        <v>1010100</v>
      </c>
      <c r="M228" t="s">
        <v>35</v>
      </c>
      <c r="N228">
        <v>161</v>
      </c>
      <c r="O228" t="s">
        <v>161</v>
      </c>
      <c r="P228" t="s">
        <v>793</v>
      </c>
      <c r="Q228">
        <f t="shared" si="10"/>
        <v>-32</v>
      </c>
      <c r="R228" t="str">
        <f>_xlfn.XLOOKUP(P228,'Painel Additive'!$B:$B,'Painel Additive'!$B:$B,0)</f>
        <v>STRATOS/MOSAIC - ROSARIO DO CATETE</v>
      </c>
      <c r="S228">
        <f t="shared" si="11"/>
        <v>60</v>
      </c>
    </row>
    <row r="229" spans="1:19" x14ac:dyDescent="0.25">
      <c r="A229">
        <v>7022</v>
      </c>
      <c r="B229" t="s">
        <v>793</v>
      </c>
      <c r="C229" t="s">
        <v>101</v>
      </c>
      <c r="D229" s="34">
        <v>70918</v>
      </c>
      <c r="E229">
        <v>1246263794</v>
      </c>
      <c r="F229" s="30">
        <v>46129</v>
      </c>
      <c r="G229" s="30"/>
      <c r="H229" t="s">
        <v>28</v>
      </c>
      <c r="I229" t="s">
        <v>29</v>
      </c>
      <c r="J229">
        <v>10699</v>
      </c>
      <c r="K229" s="30">
        <v>46069</v>
      </c>
      <c r="L229">
        <v>1010100</v>
      </c>
      <c r="M229" t="s">
        <v>35</v>
      </c>
      <c r="N229">
        <v>161</v>
      </c>
      <c r="O229" t="s">
        <v>161</v>
      </c>
      <c r="P229" t="s">
        <v>793</v>
      </c>
      <c r="Q229">
        <f t="shared" si="10"/>
        <v>-18</v>
      </c>
      <c r="R229" t="str">
        <f>_xlfn.XLOOKUP(P229,'Painel Additive'!$B:$B,'Painel Additive'!$B:$B,0)</f>
        <v>STRATOS/MOSAIC - ROSARIO DO CATETE</v>
      </c>
      <c r="S229">
        <f t="shared" si="11"/>
        <v>60</v>
      </c>
    </row>
    <row r="230" spans="1:19" x14ac:dyDescent="0.25">
      <c r="A230">
        <v>7022</v>
      </c>
      <c r="B230" t="s">
        <v>793</v>
      </c>
      <c r="C230" t="s">
        <v>101</v>
      </c>
      <c r="D230" s="34">
        <v>70894.399999999994</v>
      </c>
      <c r="E230">
        <v>1246269324</v>
      </c>
      <c r="F230" s="30">
        <v>46197</v>
      </c>
      <c r="G230" s="30"/>
      <c r="H230" t="s">
        <v>28</v>
      </c>
      <c r="I230" t="s">
        <v>29</v>
      </c>
      <c r="J230">
        <v>10982</v>
      </c>
      <c r="K230" s="30">
        <v>46107</v>
      </c>
      <c r="L230">
        <v>1010100</v>
      </c>
      <c r="M230" t="s">
        <v>35</v>
      </c>
      <c r="N230">
        <v>161</v>
      </c>
      <c r="O230" t="s">
        <v>161</v>
      </c>
      <c r="P230" t="s">
        <v>793</v>
      </c>
      <c r="Q230">
        <f t="shared" si="10"/>
        <v>-86</v>
      </c>
      <c r="R230" t="str">
        <f>_xlfn.XLOOKUP(P230,'Painel Additive'!$B:$B,'Painel Additive'!$B:$B,0)</f>
        <v>STRATOS/MOSAIC - ROSARIO DO CATETE</v>
      </c>
      <c r="S230">
        <f t="shared" si="11"/>
        <v>90</v>
      </c>
    </row>
    <row r="231" spans="1:19" x14ac:dyDescent="0.25">
      <c r="A231">
        <v>7022</v>
      </c>
      <c r="B231" t="s">
        <v>793</v>
      </c>
      <c r="C231" t="s">
        <v>101</v>
      </c>
      <c r="D231" s="34">
        <v>71154</v>
      </c>
      <c r="E231">
        <v>1246265854</v>
      </c>
      <c r="F231" s="30">
        <v>46140</v>
      </c>
      <c r="G231" s="30"/>
      <c r="H231" t="s">
        <v>28</v>
      </c>
      <c r="I231" t="s">
        <v>29</v>
      </c>
      <c r="J231">
        <v>10789</v>
      </c>
      <c r="K231" s="30">
        <v>46080</v>
      </c>
      <c r="L231">
        <v>1010100</v>
      </c>
      <c r="M231" t="s">
        <v>35</v>
      </c>
      <c r="N231">
        <v>161</v>
      </c>
      <c r="O231" t="s">
        <v>161</v>
      </c>
      <c r="P231" t="s">
        <v>793</v>
      </c>
      <c r="Q231">
        <f t="shared" si="10"/>
        <v>-29</v>
      </c>
      <c r="R231" t="str">
        <f>_xlfn.XLOOKUP(P231,'Painel Additive'!$B:$B,'Painel Additive'!$B:$B,0)</f>
        <v>STRATOS/MOSAIC - ROSARIO DO CATETE</v>
      </c>
      <c r="S231">
        <f t="shared" si="11"/>
        <v>60</v>
      </c>
    </row>
    <row r="232" spans="1:19" x14ac:dyDescent="0.25">
      <c r="A232">
        <v>7022</v>
      </c>
      <c r="B232" t="s">
        <v>793</v>
      </c>
      <c r="C232" t="s">
        <v>101</v>
      </c>
      <c r="D232" s="34">
        <v>72348.2</v>
      </c>
      <c r="E232">
        <v>1246261819</v>
      </c>
      <c r="F232" s="30">
        <v>46115</v>
      </c>
      <c r="G232" s="30"/>
      <c r="H232" t="s">
        <v>28</v>
      </c>
      <c r="I232" t="s">
        <v>29</v>
      </c>
      <c r="J232">
        <v>10619</v>
      </c>
      <c r="K232" s="30">
        <v>46055</v>
      </c>
      <c r="L232">
        <v>1010100</v>
      </c>
      <c r="M232" t="s">
        <v>35</v>
      </c>
      <c r="N232">
        <v>161</v>
      </c>
      <c r="O232" t="s">
        <v>161</v>
      </c>
      <c r="P232" t="s">
        <v>793</v>
      </c>
      <c r="Q232">
        <f t="shared" si="10"/>
        <v>-4</v>
      </c>
      <c r="R232" t="str">
        <f>_xlfn.XLOOKUP(P232,'Painel Additive'!$B:$B,'Painel Additive'!$B:$B,0)</f>
        <v>STRATOS/MOSAIC - ROSARIO DO CATETE</v>
      </c>
      <c r="S232">
        <f t="shared" si="11"/>
        <v>60</v>
      </c>
    </row>
    <row r="233" spans="1:19" x14ac:dyDescent="0.25">
      <c r="A233">
        <v>7022</v>
      </c>
      <c r="B233" t="s">
        <v>793</v>
      </c>
      <c r="C233" t="s">
        <v>101</v>
      </c>
      <c r="D233" s="34">
        <v>70705.600000000006</v>
      </c>
      <c r="E233">
        <v>1246268533</v>
      </c>
      <c r="F233" s="30">
        <v>46191</v>
      </c>
      <c r="G233" s="30"/>
      <c r="H233" t="s">
        <v>28</v>
      </c>
      <c r="I233" t="s">
        <v>29</v>
      </c>
      <c r="J233">
        <v>10943</v>
      </c>
      <c r="K233" s="30">
        <v>46101</v>
      </c>
      <c r="L233">
        <v>1010100</v>
      </c>
      <c r="M233" t="s">
        <v>35</v>
      </c>
      <c r="N233">
        <v>161</v>
      </c>
      <c r="O233" t="s">
        <v>161</v>
      </c>
      <c r="P233" t="s">
        <v>793</v>
      </c>
      <c r="Q233">
        <f t="shared" si="10"/>
        <v>-80</v>
      </c>
      <c r="R233" t="str">
        <f>_xlfn.XLOOKUP(P233,'Painel Additive'!$B:$B,'Painel Additive'!$B:$B,0)</f>
        <v>STRATOS/MOSAIC - ROSARIO DO CATETE</v>
      </c>
      <c r="S233">
        <f t="shared" si="11"/>
        <v>90</v>
      </c>
    </row>
    <row r="234" spans="1:19" x14ac:dyDescent="0.25">
      <c r="A234">
        <v>7022</v>
      </c>
      <c r="B234" t="s">
        <v>793</v>
      </c>
      <c r="C234" t="s">
        <v>101</v>
      </c>
      <c r="D234" s="34">
        <v>70988.800000000003</v>
      </c>
      <c r="E234">
        <v>1246266859</v>
      </c>
      <c r="F234" s="30">
        <v>46147</v>
      </c>
      <c r="G234" s="30"/>
      <c r="H234" t="s">
        <v>28</v>
      </c>
      <c r="I234" t="s">
        <v>29</v>
      </c>
      <c r="J234">
        <v>10829</v>
      </c>
      <c r="K234" s="30">
        <v>46087</v>
      </c>
      <c r="L234">
        <v>1010100</v>
      </c>
      <c r="M234" t="s">
        <v>35</v>
      </c>
      <c r="N234">
        <v>161</v>
      </c>
      <c r="O234" t="s">
        <v>161</v>
      </c>
      <c r="P234" t="s">
        <v>793</v>
      </c>
      <c r="Q234">
        <f t="shared" si="10"/>
        <v>-36</v>
      </c>
      <c r="R234" t="str">
        <f>_xlfn.XLOOKUP(P234,'Painel Additive'!$B:$B,'Painel Additive'!$B:$B,0)</f>
        <v>STRATOS/MOSAIC - ROSARIO DO CATETE</v>
      </c>
      <c r="S234">
        <f t="shared" si="11"/>
        <v>60</v>
      </c>
    </row>
    <row r="235" spans="1:19" x14ac:dyDescent="0.25">
      <c r="A235">
        <v>7022</v>
      </c>
      <c r="B235" t="s">
        <v>793</v>
      </c>
      <c r="C235" t="s">
        <v>101</v>
      </c>
      <c r="D235" s="34">
        <v>70705.600000000006</v>
      </c>
      <c r="E235">
        <v>1246267824</v>
      </c>
      <c r="F235" s="30">
        <v>46157</v>
      </c>
      <c r="G235" s="30"/>
      <c r="H235" t="s">
        <v>28</v>
      </c>
      <c r="I235" t="s">
        <v>29</v>
      </c>
      <c r="J235">
        <v>10891</v>
      </c>
      <c r="K235" s="30">
        <v>46097</v>
      </c>
      <c r="L235">
        <v>1010100</v>
      </c>
      <c r="M235" t="s">
        <v>35</v>
      </c>
      <c r="N235">
        <v>161</v>
      </c>
      <c r="O235" t="s">
        <v>161</v>
      </c>
      <c r="P235" t="s">
        <v>793</v>
      </c>
      <c r="Q235">
        <f t="shared" si="10"/>
        <v>-46</v>
      </c>
      <c r="R235" t="str">
        <f>_xlfn.XLOOKUP(P235,'Painel Additive'!$B:$B,'Painel Additive'!$B:$B,0)</f>
        <v>STRATOS/MOSAIC - ROSARIO DO CATETE</v>
      </c>
      <c r="S235">
        <f t="shared" si="11"/>
        <v>60</v>
      </c>
    </row>
    <row r="236" spans="1:19" x14ac:dyDescent="0.25">
      <c r="A236">
        <v>7022</v>
      </c>
      <c r="B236" t="s">
        <v>793</v>
      </c>
      <c r="C236" t="s">
        <v>101</v>
      </c>
      <c r="D236" s="34">
        <v>71508</v>
      </c>
      <c r="E236">
        <v>1246267571</v>
      </c>
      <c r="F236" s="30">
        <v>46153</v>
      </c>
      <c r="G236" s="30"/>
      <c r="H236" t="s">
        <v>28</v>
      </c>
      <c r="I236" t="s">
        <v>29</v>
      </c>
      <c r="J236">
        <v>10871</v>
      </c>
      <c r="K236" s="30">
        <v>46093</v>
      </c>
      <c r="L236">
        <v>1010100</v>
      </c>
      <c r="M236" t="s">
        <v>35</v>
      </c>
      <c r="N236">
        <v>161</v>
      </c>
      <c r="O236" t="s">
        <v>161</v>
      </c>
      <c r="P236" t="s">
        <v>793</v>
      </c>
      <c r="Q236">
        <f t="shared" si="10"/>
        <v>-42</v>
      </c>
      <c r="R236" t="str">
        <f>_xlfn.XLOOKUP(P236,'Painel Additive'!$B:$B,'Painel Additive'!$B:$B,0)</f>
        <v>STRATOS/MOSAIC - ROSARIO DO CATETE</v>
      </c>
      <c r="S236">
        <f t="shared" si="11"/>
        <v>60</v>
      </c>
    </row>
    <row r="237" spans="1:19" x14ac:dyDescent="0.25">
      <c r="A237">
        <v>7022</v>
      </c>
      <c r="B237" t="s">
        <v>793</v>
      </c>
      <c r="C237" t="s">
        <v>101</v>
      </c>
      <c r="D237" s="34">
        <v>71980</v>
      </c>
      <c r="E237">
        <v>1246264219</v>
      </c>
      <c r="F237" s="30">
        <v>46133</v>
      </c>
      <c r="G237" s="30"/>
      <c r="H237" t="s">
        <v>28</v>
      </c>
      <c r="I237" t="s">
        <v>29</v>
      </c>
      <c r="J237">
        <v>10730</v>
      </c>
      <c r="K237" s="30">
        <v>46073</v>
      </c>
      <c r="L237">
        <v>1010100</v>
      </c>
      <c r="M237" t="s">
        <v>35</v>
      </c>
      <c r="N237">
        <v>161</v>
      </c>
      <c r="O237" t="s">
        <v>161</v>
      </c>
      <c r="P237" t="s">
        <v>793</v>
      </c>
      <c r="Q237">
        <f t="shared" si="10"/>
        <v>-22</v>
      </c>
      <c r="R237" t="str">
        <f>_xlfn.XLOOKUP(P237,'Painel Additive'!$B:$B,'Painel Additive'!$B:$B,0)</f>
        <v>STRATOS/MOSAIC - ROSARIO DO CATETE</v>
      </c>
      <c r="S237">
        <f t="shared" si="11"/>
        <v>60</v>
      </c>
    </row>
    <row r="238" spans="1:19" x14ac:dyDescent="0.25">
      <c r="A238">
        <v>7022</v>
      </c>
      <c r="B238" t="s">
        <v>793</v>
      </c>
      <c r="C238" t="s">
        <v>101</v>
      </c>
      <c r="D238" s="34">
        <v>70752.800000000003</v>
      </c>
      <c r="E238">
        <v>1246265339</v>
      </c>
      <c r="F238" s="30">
        <v>46139</v>
      </c>
      <c r="G238" s="30"/>
      <c r="H238" t="s">
        <v>28</v>
      </c>
      <c r="I238" t="s">
        <v>29</v>
      </c>
      <c r="J238">
        <v>10774</v>
      </c>
      <c r="K238" s="30">
        <v>46079</v>
      </c>
      <c r="L238">
        <v>1010100</v>
      </c>
      <c r="M238" t="s">
        <v>35</v>
      </c>
      <c r="N238">
        <v>161</v>
      </c>
      <c r="O238" t="s">
        <v>161</v>
      </c>
      <c r="P238" t="s">
        <v>793</v>
      </c>
      <c r="Q238">
        <f t="shared" ref="Q238:Q255" si="12">$R$1-F238</f>
        <v>-28</v>
      </c>
      <c r="R238" t="str">
        <f>_xlfn.XLOOKUP(P238,'Painel Additive'!$B:$B,'Painel Additive'!$B:$B,0)</f>
        <v>STRATOS/MOSAIC - ROSARIO DO CATETE</v>
      </c>
      <c r="S238">
        <f t="shared" ref="S238:S255" si="13">F238-K238</f>
        <v>60</v>
      </c>
    </row>
    <row r="239" spans="1:19" x14ac:dyDescent="0.25">
      <c r="A239">
        <v>9830</v>
      </c>
      <c r="B239" t="s">
        <v>877</v>
      </c>
      <c r="C239" t="s">
        <v>878</v>
      </c>
      <c r="D239" s="34">
        <v>331</v>
      </c>
      <c r="E239">
        <v>1246266367</v>
      </c>
      <c r="F239" s="30">
        <v>46145</v>
      </c>
      <c r="G239" s="30"/>
      <c r="I239" t="s">
        <v>373</v>
      </c>
      <c r="J239">
        <v>10813</v>
      </c>
      <c r="K239" s="30">
        <v>46085</v>
      </c>
      <c r="L239">
        <v>4011600</v>
      </c>
      <c r="M239" t="s">
        <v>702</v>
      </c>
      <c r="N239">
        <v>244</v>
      </c>
      <c r="O239" t="s">
        <v>191</v>
      </c>
      <c r="P239" t="s">
        <v>877</v>
      </c>
      <c r="Q239">
        <f t="shared" si="12"/>
        <v>-34</v>
      </c>
      <c r="R239" t="str">
        <f>_xlfn.XLOOKUP(P239,'Painel Additive'!$B:$B,'Painel Additive'!$B:$B,0)</f>
        <v>ELYMAR JOSE DA SILVA FERREIRA</v>
      </c>
      <c r="S239">
        <f t="shared" si="13"/>
        <v>60</v>
      </c>
    </row>
    <row r="240" spans="1:19" x14ac:dyDescent="0.25">
      <c r="A240">
        <v>9830</v>
      </c>
      <c r="B240" t="s">
        <v>877</v>
      </c>
      <c r="C240" t="s">
        <v>878</v>
      </c>
      <c r="D240" s="34">
        <v>331</v>
      </c>
      <c r="E240">
        <v>1246266368</v>
      </c>
      <c r="F240" s="30">
        <v>46175</v>
      </c>
      <c r="G240" s="30"/>
      <c r="I240" t="s">
        <v>373</v>
      </c>
      <c r="J240">
        <v>10813</v>
      </c>
      <c r="K240" s="30">
        <v>46085</v>
      </c>
      <c r="L240">
        <v>4011600</v>
      </c>
      <c r="M240" t="s">
        <v>702</v>
      </c>
      <c r="N240">
        <v>244</v>
      </c>
      <c r="O240" t="s">
        <v>191</v>
      </c>
      <c r="P240" t="s">
        <v>877</v>
      </c>
      <c r="Q240">
        <f t="shared" si="12"/>
        <v>-64</v>
      </c>
      <c r="R240" t="str">
        <f>_xlfn.XLOOKUP(P240,'Painel Additive'!$B:$B,'Painel Additive'!$B:$B,0)</f>
        <v>ELYMAR JOSE DA SILVA FERREIRA</v>
      </c>
      <c r="S240">
        <f t="shared" si="13"/>
        <v>90</v>
      </c>
    </row>
    <row r="241" spans="1:19" x14ac:dyDescent="0.25">
      <c r="A241">
        <v>10413</v>
      </c>
      <c r="B241" t="s">
        <v>296</v>
      </c>
      <c r="C241" t="s">
        <v>848</v>
      </c>
      <c r="D241" s="34">
        <v>74021.399999999994</v>
      </c>
      <c r="E241">
        <v>1246268581</v>
      </c>
      <c r="F241" s="30">
        <v>46127</v>
      </c>
      <c r="G241" s="30"/>
      <c r="H241" t="s">
        <v>28</v>
      </c>
      <c r="I241" t="s">
        <v>29</v>
      </c>
      <c r="J241">
        <v>10950</v>
      </c>
      <c r="K241" s="30">
        <v>46101</v>
      </c>
      <c r="L241">
        <v>1010100</v>
      </c>
      <c r="M241" t="s">
        <v>35</v>
      </c>
      <c r="N241">
        <v>56</v>
      </c>
      <c r="O241" t="s">
        <v>162</v>
      </c>
      <c r="P241" t="s">
        <v>296</v>
      </c>
      <c r="Q241">
        <f t="shared" si="12"/>
        <v>-16</v>
      </c>
      <c r="R241" t="str">
        <f>_xlfn.XLOOKUP(P241,'Painel Additive'!$B:$B,'Painel Additive'!$B:$B,0)</f>
        <v>BUNGE - SANTOS</v>
      </c>
      <c r="S241">
        <f t="shared" si="13"/>
        <v>26</v>
      </c>
    </row>
    <row r="242" spans="1:19" x14ac:dyDescent="0.25">
      <c r="A242">
        <v>11252</v>
      </c>
      <c r="B242" t="s">
        <v>879</v>
      </c>
      <c r="C242" t="s">
        <v>880</v>
      </c>
      <c r="D242" s="34">
        <v>1260</v>
      </c>
      <c r="E242">
        <v>1246266372</v>
      </c>
      <c r="F242" s="30">
        <v>46115</v>
      </c>
      <c r="G242" s="30">
        <v>46113</v>
      </c>
      <c r="I242" t="s">
        <v>373</v>
      </c>
      <c r="J242">
        <v>10814</v>
      </c>
      <c r="K242" s="30">
        <v>46085</v>
      </c>
      <c r="L242">
        <v>4011600</v>
      </c>
      <c r="M242" t="s">
        <v>702</v>
      </c>
      <c r="N242">
        <v>244</v>
      </c>
      <c r="O242" t="s">
        <v>191</v>
      </c>
      <c r="P242" t="s">
        <v>879</v>
      </c>
      <c r="Q242">
        <f t="shared" si="12"/>
        <v>-4</v>
      </c>
      <c r="R242" t="str">
        <f>_xlfn.XLOOKUP(P242,'Painel Additive'!$B:$B,'Painel Additive'!$B:$B,0)</f>
        <v>MARCELO MARQUES COBRA - PESSOA FISICA</v>
      </c>
      <c r="S242">
        <f t="shared" si="13"/>
        <v>30</v>
      </c>
    </row>
    <row r="243" spans="1:19" x14ac:dyDescent="0.25">
      <c r="A243">
        <v>11637</v>
      </c>
      <c r="B243" t="s">
        <v>735</v>
      </c>
      <c r="C243" t="s">
        <v>898</v>
      </c>
      <c r="D243" s="34">
        <v>207000</v>
      </c>
      <c r="E243">
        <v>1246268339</v>
      </c>
      <c r="F243" s="30">
        <v>46128</v>
      </c>
      <c r="G243" s="30"/>
      <c r="H243" t="s">
        <v>28</v>
      </c>
      <c r="I243" t="s">
        <v>29</v>
      </c>
      <c r="J243">
        <v>2827</v>
      </c>
      <c r="K243" s="30">
        <v>46100</v>
      </c>
      <c r="L243">
        <v>1010100</v>
      </c>
      <c r="M243" t="s">
        <v>35</v>
      </c>
      <c r="N243">
        <v>161</v>
      </c>
      <c r="O243" t="s">
        <v>161</v>
      </c>
      <c r="P243" t="s">
        <v>735</v>
      </c>
      <c r="Q243">
        <f t="shared" si="12"/>
        <v>-17</v>
      </c>
      <c r="R243" t="str">
        <f>_xlfn.XLOOKUP(P243,'Painel Additive'!$B:$B,'Painel Additive'!$B:$B,0)</f>
        <v>AGROPECUARIA MARATA LTDA - MARUIM</v>
      </c>
      <c r="S243">
        <f t="shared" si="13"/>
        <v>28</v>
      </c>
    </row>
    <row r="244" spans="1:19" x14ac:dyDescent="0.25">
      <c r="A244">
        <v>11637</v>
      </c>
      <c r="B244" t="s">
        <v>735</v>
      </c>
      <c r="C244" t="s">
        <v>898</v>
      </c>
      <c r="D244" s="34">
        <v>11160</v>
      </c>
      <c r="E244">
        <v>1246268383</v>
      </c>
      <c r="F244" s="30">
        <v>46128</v>
      </c>
      <c r="G244" s="30"/>
      <c r="H244" t="s">
        <v>28</v>
      </c>
      <c r="I244" t="s">
        <v>29</v>
      </c>
      <c r="J244">
        <v>10927</v>
      </c>
      <c r="K244" s="30">
        <v>46100</v>
      </c>
      <c r="L244">
        <v>1010100</v>
      </c>
      <c r="M244" t="s">
        <v>35</v>
      </c>
      <c r="N244">
        <v>161</v>
      </c>
      <c r="O244" t="s">
        <v>161</v>
      </c>
      <c r="P244" t="s">
        <v>735</v>
      </c>
      <c r="Q244">
        <f t="shared" si="12"/>
        <v>-17</v>
      </c>
      <c r="R244" t="str">
        <f>_xlfn.XLOOKUP(P244,'Painel Additive'!$B:$B,'Painel Additive'!$B:$B,0)</f>
        <v>AGROPECUARIA MARATA LTDA - MARUIM</v>
      </c>
      <c r="S244">
        <f t="shared" si="13"/>
        <v>28</v>
      </c>
    </row>
    <row r="245" spans="1:19" x14ac:dyDescent="0.25">
      <c r="A245">
        <v>12943</v>
      </c>
      <c r="B245" t="s">
        <v>294</v>
      </c>
      <c r="C245" t="s">
        <v>401</v>
      </c>
      <c r="D245" s="34">
        <v>82290</v>
      </c>
      <c r="E245">
        <v>1246187828</v>
      </c>
      <c r="F245" s="30">
        <v>45667</v>
      </c>
      <c r="G245" s="30"/>
      <c r="H245" t="s">
        <v>28</v>
      </c>
      <c r="I245" t="s">
        <v>29</v>
      </c>
      <c r="J245">
        <v>1585</v>
      </c>
      <c r="K245" s="30">
        <v>45639</v>
      </c>
      <c r="L245">
        <v>1010100</v>
      </c>
      <c r="M245" t="s">
        <v>35</v>
      </c>
      <c r="N245">
        <v>161</v>
      </c>
      <c r="O245" t="s">
        <v>161</v>
      </c>
      <c r="P245" t="s">
        <v>294</v>
      </c>
      <c r="Q245">
        <f t="shared" si="12"/>
        <v>444</v>
      </c>
      <c r="R245" t="str">
        <f>_xlfn.XLOOKUP(P245,'Painel Additive'!$B:$B,'Painel Additive'!$B:$B,0)</f>
        <v>ITERUM - RONDONOPOLIS</v>
      </c>
      <c r="S245">
        <f t="shared" si="13"/>
        <v>28</v>
      </c>
    </row>
    <row r="246" spans="1:19" x14ac:dyDescent="0.25">
      <c r="A246">
        <v>12943</v>
      </c>
      <c r="B246" t="s">
        <v>294</v>
      </c>
      <c r="C246" t="s">
        <v>401</v>
      </c>
      <c r="D246" s="34">
        <v>82290</v>
      </c>
      <c r="E246">
        <v>1246187829</v>
      </c>
      <c r="F246" s="30">
        <v>45695</v>
      </c>
      <c r="G246" s="30"/>
      <c r="H246" t="s">
        <v>28</v>
      </c>
      <c r="I246" t="s">
        <v>29</v>
      </c>
      <c r="J246">
        <v>1585</v>
      </c>
      <c r="K246" s="30">
        <v>45639</v>
      </c>
      <c r="L246">
        <v>1010100</v>
      </c>
      <c r="M246" t="s">
        <v>35</v>
      </c>
      <c r="N246">
        <v>161</v>
      </c>
      <c r="O246" t="s">
        <v>161</v>
      </c>
      <c r="P246" t="s">
        <v>294</v>
      </c>
      <c r="Q246">
        <f t="shared" si="12"/>
        <v>416</v>
      </c>
      <c r="R246" t="str">
        <f>_xlfn.XLOOKUP(P246,'Painel Additive'!$B:$B,'Painel Additive'!$B:$B,0)</f>
        <v>ITERUM - RONDONOPOLIS</v>
      </c>
      <c r="S246">
        <f t="shared" si="13"/>
        <v>56</v>
      </c>
    </row>
    <row r="247" spans="1:19" x14ac:dyDescent="0.25">
      <c r="A247">
        <v>12943</v>
      </c>
      <c r="B247" t="s">
        <v>294</v>
      </c>
      <c r="C247" t="s">
        <v>401</v>
      </c>
      <c r="D247" s="34">
        <v>49170</v>
      </c>
      <c r="E247">
        <v>1246183176</v>
      </c>
      <c r="F247" s="30">
        <v>45642</v>
      </c>
      <c r="G247" s="30"/>
      <c r="H247" t="s">
        <v>28</v>
      </c>
      <c r="I247" t="s">
        <v>29</v>
      </c>
      <c r="J247">
        <v>6129</v>
      </c>
      <c r="K247" s="30">
        <v>45614</v>
      </c>
      <c r="L247">
        <v>1010100</v>
      </c>
      <c r="M247" t="s">
        <v>35</v>
      </c>
      <c r="N247">
        <v>161</v>
      </c>
      <c r="O247" t="s">
        <v>161</v>
      </c>
      <c r="P247" t="s">
        <v>294</v>
      </c>
      <c r="Q247">
        <f t="shared" si="12"/>
        <v>469</v>
      </c>
      <c r="R247" t="str">
        <f>_xlfn.XLOOKUP(P247,'Painel Additive'!$B:$B,'Painel Additive'!$B:$B,0)</f>
        <v>ITERUM - RONDONOPOLIS</v>
      </c>
      <c r="S247">
        <f t="shared" si="13"/>
        <v>28</v>
      </c>
    </row>
    <row r="248" spans="1:19" x14ac:dyDescent="0.25">
      <c r="A248">
        <v>12629</v>
      </c>
      <c r="B248" t="s">
        <v>120</v>
      </c>
      <c r="C248" t="s">
        <v>474</v>
      </c>
      <c r="D248" s="34">
        <v>162357</v>
      </c>
      <c r="E248">
        <v>1246266378</v>
      </c>
      <c r="F248" s="30">
        <v>46115</v>
      </c>
      <c r="G248" s="30"/>
      <c r="H248" t="s">
        <v>28</v>
      </c>
      <c r="I248" t="s">
        <v>29</v>
      </c>
      <c r="J248">
        <v>10815</v>
      </c>
      <c r="K248" s="30">
        <v>46085</v>
      </c>
      <c r="L248">
        <v>1010100</v>
      </c>
      <c r="M248" t="s">
        <v>35</v>
      </c>
      <c r="N248">
        <v>161</v>
      </c>
      <c r="O248" t="s">
        <v>161</v>
      </c>
      <c r="P248" t="s">
        <v>120</v>
      </c>
      <c r="Q248">
        <f t="shared" si="12"/>
        <v>-4</v>
      </c>
      <c r="R248" t="str">
        <f>_xlfn.XLOOKUP(P248,'Painel Additive'!$B:$B,'Painel Additive'!$B:$B,0)</f>
        <v>EUROCHEM SERRA DO SALITRE</v>
      </c>
      <c r="S248">
        <f t="shared" si="13"/>
        <v>30</v>
      </c>
    </row>
    <row r="249" spans="1:19" x14ac:dyDescent="0.25">
      <c r="A249">
        <v>12629</v>
      </c>
      <c r="B249" t="s">
        <v>120</v>
      </c>
      <c r="C249" t="s">
        <v>474</v>
      </c>
      <c r="D249" s="34">
        <v>162791.4</v>
      </c>
      <c r="E249">
        <v>1246267013</v>
      </c>
      <c r="F249" s="30">
        <v>46120</v>
      </c>
      <c r="G249" s="30"/>
      <c r="H249" t="s">
        <v>28</v>
      </c>
      <c r="I249" t="s">
        <v>29</v>
      </c>
      <c r="J249">
        <v>10843</v>
      </c>
      <c r="K249" s="30">
        <v>46090</v>
      </c>
      <c r="L249">
        <v>1010100</v>
      </c>
      <c r="M249" t="s">
        <v>35</v>
      </c>
      <c r="N249">
        <v>161</v>
      </c>
      <c r="O249" t="s">
        <v>161</v>
      </c>
      <c r="P249" t="s">
        <v>120</v>
      </c>
      <c r="Q249">
        <f t="shared" si="12"/>
        <v>-9</v>
      </c>
      <c r="R249" t="str">
        <f>_xlfn.XLOOKUP(P249,'Painel Additive'!$B:$B,'Painel Additive'!$B:$B,0)</f>
        <v>EUROCHEM SERRA DO SALITRE</v>
      </c>
      <c r="S249">
        <f t="shared" si="13"/>
        <v>30</v>
      </c>
    </row>
    <row r="250" spans="1:19" x14ac:dyDescent="0.25">
      <c r="A250">
        <v>12629</v>
      </c>
      <c r="B250" t="s">
        <v>120</v>
      </c>
      <c r="C250" t="s">
        <v>474</v>
      </c>
      <c r="D250" s="34">
        <v>150519.6</v>
      </c>
      <c r="E250">
        <v>1246267963</v>
      </c>
      <c r="F250" s="30">
        <v>46127</v>
      </c>
      <c r="G250" s="30"/>
      <c r="H250" t="s">
        <v>28</v>
      </c>
      <c r="I250" t="s">
        <v>29</v>
      </c>
      <c r="J250">
        <v>10900</v>
      </c>
      <c r="K250" s="30">
        <v>46097</v>
      </c>
      <c r="L250">
        <v>1010100</v>
      </c>
      <c r="M250" t="s">
        <v>35</v>
      </c>
      <c r="N250">
        <v>161</v>
      </c>
      <c r="O250" t="s">
        <v>161</v>
      </c>
      <c r="P250" t="s">
        <v>120</v>
      </c>
      <c r="Q250">
        <f t="shared" si="12"/>
        <v>-16</v>
      </c>
      <c r="R250" t="str">
        <f>_xlfn.XLOOKUP(P250,'Painel Additive'!$B:$B,'Painel Additive'!$B:$B,0)</f>
        <v>EUROCHEM SERRA DO SALITRE</v>
      </c>
      <c r="S250">
        <f t="shared" si="13"/>
        <v>30</v>
      </c>
    </row>
    <row r="251" spans="1:19" x14ac:dyDescent="0.25">
      <c r="A251">
        <v>12629</v>
      </c>
      <c r="B251" t="s">
        <v>120</v>
      </c>
      <c r="C251" t="s">
        <v>474</v>
      </c>
      <c r="D251" s="34">
        <v>6516</v>
      </c>
      <c r="E251">
        <v>1246265830</v>
      </c>
      <c r="F251" s="30">
        <v>46113</v>
      </c>
      <c r="G251" s="30"/>
      <c r="H251" t="s">
        <v>28</v>
      </c>
      <c r="I251" t="s">
        <v>29</v>
      </c>
      <c r="J251">
        <v>10586</v>
      </c>
      <c r="K251" s="30">
        <v>46049</v>
      </c>
      <c r="L251">
        <v>1010100</v>
      </c>
      <c r="M251" t="s">
        <v>35</v>
      </c>
      <c r="N251">
        <v>161</v>
      </c>
      <c r="O251" t="s">
        <v>161</v>
      </c>
      <c r="P251" t="s">
        <v>120</v>
      </c>
      <c r="Q251">
        <f t="shared" si="12"/>
        <v>-2</v>
      </c>
      <c r="R251" t="str">
        <f>_xlfn.XLOOKUP(P251,'Painel Additive'!$B:$B,'Painel Additive'!$B:$B,0)</f>
        <v>EUROCHEM SERRA DO SALITRE</v>
      </c>
      <c r="S251">
        <f t="shared" si="13"/>
        <v>64</v>
      </c>
    </row>
    <row r="252" spans="1:19" ht="13.95" customHeight="1" x14ac:dyDescent="0.25">
      <c r="A252">
        <v>12629</v>
      </c>
      <c r="B252" t="s">
        <v>120</v>
      </c>
      <c r="C252" t="s">
        <v>474</v>
      </c>
      <c r="D252" s="34">
        <v>153506.1</v>
      </c>
      <c r="E252">
        <v>1246268563</v>
      </c>
      <c r="F252" s="30">
        <v>46131</v>
      </c>
      <c r="G252" s="30"/>
      <c r="H252" t="s">
        <v>28</v>
      </c>
      <c r="I252" t="s">
        <v>29</v>
      </c>
      <c r="J252">
        <v>10948</v>
      </c>
      <c r="K252" s="30">
        <v>46101</v>
      </c>
      <c r="L252">
        <v>1010100</v>
      </c>
      <c r="M252" t="s">
        <v>35</v>
      </c>
      <c r="N252">
        <v>161</v>
      </c>
      <c r="O252" t="s">
        <v>161</v>
      </c>
      <c r="P252" t="s">
        <v>120</v>
      </c>
      <c r="Q252">
        <f t="shared" si="12"/>
        <v>-20</v>
      </c>
      <c r="R252" t="str">
        <f>_xlfn.XLOOKUP(P252,'Painel Additive'!$B:$B,'Painel Additive'!$B:$B,0)</f>
        <v>EUROCHEM SERRA DO SALITRE</v>
      </c>
      <c r="S252">
        <f t="shared" si="13"/>
        <v>30</v>
      </c>
    </row>
    <row r="253" spans="1:19" x14ac:dyDescent="0.25">
      <c r="A253">
        <v>12629</v>
      </c>
      <c r="B253" t="s">
        <v>120</v>
      </c>
      <c r="C253" t="s">
        <v>474</v>
      </c>
      <c r="D253" s="34">
        <v>162465.60000000001</v>
      </c>
      <c r="E253">
        <v>1246269412</v>
      </c>
      <c r="F253" s="30">
        <v>46138</v>
      </c>
      <c r="G253" s="30"/>
      <c r="H253" t="s">
        <v>28</v>
      </c>
      <c r="I253" t="s">
        <v>29</v>
      </c>
      <c r="J253">
        <v>10987</v>
      </c>
      <c r="K253" s="30">
        <v>46108</v>
      </c>
      <c r="L253">
        <v>1010100</v>
      </c>
      <c r="M253" t="s">
        <v>35</v>
      </c>
      <c r="N253">
        <v>161</v>
      </c>
      <c r="O253" t="s">
        <v>161</v>
      </c>
      <c r="P253" t="s">
        <v>120</v>
      </c>
      <c r="Q253">
        <f t="shared" si="12"/>
        <v>-27</v>
      </c>
      <c r="R253" t="str">
        <f>_xlfn.XLOOKUP(P253,'Painel Additive'!$B:$B,'Painel Additive'!$B:$B,0)</f>
        <v>EUROCHEM SERRA DO SALITRE</v>
      </c>
      <c r="S253">
        <f t="shared" si="13"/>
        <v>30</v>
      </c>
    </row>
    <row r="254" spans="1:19" x14ac:dyDescent="0.25">
      <c r="A254">
        <v>13069</v>
      </c>
      <c r="B254" t="s">
        <v>537</v>
      </c>
      <c r="C254" t="s">
        <v>813</v>
      </c>
      <c r="D254" s="34">
        <v>100</v>
      </c>
      <c r="E254">
        <v>1246258366</v>
      </c>
      <c r="F254" s="30">
        <v>46118</v>
      </c>
      <c r="G254" s="30">
        <v>46114</v>
      </c>
      <c r="I254" t="s">
        <v>373</v>
      </c>
      <c r="J254">
        <v>10425</v>
      </c>
      <c r="K254" s="30">
        <v>46028</v>
      </c>
      <c r="L254">
        <v>4010300</v>
      </c>
      <c r="M254" t="s">
        <v>142</v>
      </c>
      <c r="N254">
        <v>244</v>
      </c>
      <c r="O254" t="s">
        <v>191</v>
      </c>
      <c r="P254" t="s">
        <v>537</v>
      </c>
      <c r="Q254">
        <f t="shared" si="12"/>
        <v>-7</v>
      </c>
      <c r="R254" t="str">
        <f>_xlfn.XLOOKUP(P254,'Painel Additive'!$B:$B,'Painel Additive'!$B:$B,0)</f>
        <v>JOSÉ  FRANCISCO PIRES DE SOUZA</v>
      </c>
      <c r="S254">
        <f t="shared" si="13"/>
        <v>90</v>
      </c>
    </row>
    <row r="255" spans="1:19" x14ac:dyDescent="0.25">
      <c r="A255">
        <v>13069</v>
      </c>
      <c r="B255" t="s">
        <v>537</v>
      </c>
      <c r="C255" t="s">
        <v>813</v>
      </c>
      <c r="D255" s="34">
        <v>100</v>
      </c>
      <c r="E255">
        <v>1246258365</v>
      </c>
      <c r="F255" s="30">
        <v>46118</v>
      </c>
      <c r="G255" s="30"/>
      <c r="I255" t="s">
        <v>373</v>
      </c>
      <c r="J255">
        <v>10425</v>
      </c>
      <c r="K255" s="30">
        <v>46028</v>
      </c>
      <c r="L255">
        <v>4010300</v>
      </c>
      <c r="M255" t="s">
        <v>142</v>
      </c>
      <c r="N255">
        <v>244</v>
      </c>
      <c r="O255" t="s">
        <v>191</v>
      </c>
      <c r="P255" t="s">
        <v>537</v>
      </c>
      <c r="Q255">
        <f t="shared" si="12"/>
        <v>-7</v>
      </c>
      <c r="R255" t="str">
        <f>_xlfn.XLOOKUP(P255,'Painel Additive'!$B:$B,'Painel Additive'!$B:$B,0)</f>
        <v>JOSÉ  FRANCISCO PIRES DE SOUZA</v>
      </c>
      <c r="S255">
        <f t="shared" si="13"/>
        <v>90</v>
      </c>
    </row>
    <row r="256" spans="1:19" x14ac:dyDescent="0.25">
      <c r="A256">
        <v>14094</v>
      </c>
      <c r="B256" t="s">
        <v>265</v>
      </c>
      <c r="C256" t="s">
        <v>266</v>
      </c>
      <c r="D256" s="34">
        <v>100</v>
      </c>
      <c r="E256">
        <v>1246154530</v>
      </c>
      <c r="F256" s="30">
        <v>45474</v>
      </c>
      <c r="G256" s="30"/>
      <c r="I256" t="s">
        <v>373</v>
      </c>
      <c r="J256">
        <v>4088</v>
      </c>
      <c r="K256" s="30">
        <v>45474</v>
      </c>
      <c r="L256">
        <v>4010300</v>
      </c>
      <c r="M256" t="s">
        <v>142</v>
      </c>
      <c r="N256">
        <v>244</v>
      </c>
      <c r="O256" t="s">
        <v>191</v>
      </c>
      <c r="P256" t="s">
        <v>265</v>
      </c>
      <c r="Q256">
        <f t="shared" ref="Q256" si="14">$R$1-F256</f>
        <v>637</v>
      </c>
      <c r="R256" t="str">
        <f>_xlfn.XLOOKUP(P256,'Painel Additive'!$B:$B,'Painel Additive'!$B:$B,0)</f>
        <v>KLEYTON DUARTE SOARES</v>
      </c>
      <c r="S256">
        <f t="shared" ref="S256" si="15">F256-K256</f>
        <v>0</v>
      </c>
    </row>
    <row r="257" spans="1:22" x14ac:dyDescent="0.25">
      <c r="A257">
        <v>13873</v>
      </c>
      <c r="B257" t="s">
        <v>309</v>
      </c>
      <c r="C257" t="s">
        <v>310</v>
      </c>
      <c r="D257" s="34">
        <v>50</v>
      </c>
      <c r="E257">
        <v>1246166396</v>
      </c>
      <c r="F257" s="30">
        <v>45525</v>
      </c>
      <c r="G257" s="30"/>
      <c r="I257" t="s">
        <v>373</v>
      </c>
      <c r="J257">
        <v>4854</v>
      </c>
      <c r="K257" s="30">
        <v>45525</v>
      </c>
      <c r="L257">
        <v>4010300</v>
      </c>
      <c r="M257" t="s">
        <v>142</v>
      </c>
      <c r="N257">
        <v>244</v>
      </c>
      <c r="O257" t="s">
        <v>191</v>
      </c>
      <c r="P257" t="s">
        <v>309</v>
      </c>
      <c r="Q257">
        <f t="shared" ref="Q257:Q262" si="16">$R$1-F257</f>
        <v>586</v>
      </c>
      <c r="R257" t="str">
        <f>_xlfn.XLOOKUP(P257,'Painel Additive'!$B:$B,'Painel Additive'!$B:$B,0)</f>
        <v>MARIA JOSE DA SILVA</v>
      </c>
      <c r="S257">
        <f t="shared" ref="S257:S262" si="17">F257-K257</f>
        <v>0</v>
      </c>
    </row>
    <row r="258" spans="1:22" x14ac:dyDescent="0.25">
      <c r="A258">
        <v>14179</v>
      </c>
      <c r="B258" t="s">
        <v>815</v>
      </c>
      <c r="C258" t="s">
        <v>816</v>
      </c>
      <c r="D258" s="34">
        <v>292.08</v>
      </c>
      <c r="E258">
        <v>1246270339</v>
      </c>
      <c r="F258" s="30">
        <v>46125</v>
      </c>
      <c r="G258" s="30"/>
      <c r="I258" t="s">
        <v>373</v>
      </c>
      <c r="J258">
        <v>10469</v>
      </c>
      <c r="K258" s="30">
        <v>46035</v>
      </c>
      <c r="L258">
        <v>4011600</v>
      </c>
      <c r="M258" t="s">
        <v>702</v>
      </c>
      <c r="N258">
        <v>244</v>
      </c>
      <c r="O258" t="s">
        <v>191</v>
      </c>
      <c r="P258" t="s">
        <v>815</v>
      </c>
      <c r="Q258">
        <f t="shared" si="16"/>
        <v>-14</v>
      </c>
      <c r="R258" t="str">
        <f>_xlfn.XLOOKUP(P258,'Painel Additive'!$B:$B,'Painel Additive'!$B:$B,0)</f>
        <v>LUCAS DA CONCEIÇÃO CASSIMIRO</v>
      </c>
      <c r="S258">
        <f t="shared" si="17"/>
        <v>90</v>
      </c>
    </row>
    <row r="259" spans="1:22" x14ac:dyDescent="0.25">
      <c r="A259">
        <v>14106</v>
      </c>
      <c r="B259" t="s">
        <v>383</v>
      </c>
      <c r="C259" t="s">
        <v>384</v>
      </c>
      <c r="D259" s="34">
        <v>300</v>
      </c>
      <c r="E259">
        <v>1246182736</v>
      </c>
      <c r="F259" s="30">
        <v>45625</v>
      </c>
      <c r="G259" s="30"/>
      <c r="I259" t="s">
        <v>373</v>
      </c>
      <c r="J259">
        <v>6092</v>
      </c>
      <c r="K259" s="30">
        <v>45610</v>
      </c>
      <c r="L259">
        <v>1020400</v>
      </c>
      <c r="M259" t="s">
        <v>144</v>
      </c>
      <c r="N259">
        <v>136</v>
      </c>
      <c r="O259" t="s">
        <v>144</v>
      </c>
      <c r="P259" t="s">
        <v>383</v>
      </c>
      <c r="Q259">
        <f t="shared" si="16"/>
        <v>486</v>
      </c>
      <c r="R259" t="str">
        <f>_xlfn.XLOOKUP(P259,'Painel Additive'!$B:$B,'Painel Additive'!$B:$B,0)</f>
        <v>SEU LIXO</v>
      </c>
      <c r="S259">
        <f t="shared" si="17"/>
        <v>15</v>
      </c>
      <c r="U259" s="3"/>
      <c r="V259" s="3"/>
    </row>
    <row r="260" spans="1:22" x14ac:dyDescent="0.25">
      <c r="A260">
        <v>15749</v>
      </c>
      <c r="B260" t="s">
        <v>555</v>
      </c>
      <c r="C260" t="s">
        <v>908</v>
      </c>
      <c r="D260" s="34">
        <v>66740</v>
      </c>
      <c r="E260">
        <v>1246268739</v>
      </c>
      <c r="F260" s="30">
        <v>46133</v>
      </c>
      <c r="G260" s="30"/>
      <c r="H260" t="s">
        <v>28</v>
      </c>
      <c r="I260" t="s">
        <v>29</v>
      </c>
      <c r="J260">
        <v>2838</v>
      </c>
      <c r="K260" s="30">
        <v>46105</v>
      </c>
      <c r="L260">
        <v>1010100</v>
      </c>
      <c r="M260" t="s">
        <v>35</v>
      </c>
      <c r="N260">
        <v>161</v>
      </c>
      <c r="O260" t="s">
        <v>161</v>
      </c>
      <c r="P260" t="s">
        <v>555</v>
      </c>
      <c r="Q260">
        <f t="shared" si="16"/>
        <v>-22</v>
      </c>
      <c r="R260" t="str">
        <f>_xlfn.XLOOKUP(P260,'Painel Additive'!$B:$B,'Painel Additive'!$B:$B,0)</f>
        <v>FASS AGRO FERTILIZANTES - SERTAOZINHO</v>
      </c>
      <c r="S260">
        <f t="shared" si="17"/>
        <v>28</v>
      </c>
    </row>
    <row r="261" spans="1:22" x14ac:dyDescent="0.25">
      <c r="A261">
        <v>16032</v>
      </c>
      <c r="B261" t="s">
        <v>855</v>
      </c>
      <c r="C261" t="s">
        <v>856</v>
      </c>
      <c r="D261" s="34">
        <v>583.33000000000004</v>
      </c>
      <c r="E261">
        <v>1246264382</v>
      </c>
      <c r="F261" s="30">
        <v>46133</v>
      </c>
      <c r="G261" s="30"/>
      <c r="I261" t="s">
        <v>373</v>
      </c>
      <c r="J261">
        <v>10732</v>
      </c>
      <c r="K261" s="30">
        <v>46073</v>
      </c>
      <c r="L261">
        <v>4011600</v>
      </c>
      <c r="M261" t="s">
        <v>702</v>
      </c>
      <c r="N261">
        <v>244</v>
      </c>
      <c r="O261" t="s">
        <v>191</v>
      </c>
      <c r="P261" t="s">
        <v>855</v>
      </c>
      <c r="Q261">
        <f t="shared" si="16"/>
        <v>-22</v>
      </c>
      <c r="R261" t="str">
        <f>_xlfn.XLOOKUP(P261,'Painel Additive'!$B:$B,'Painel Additive'!$B:$B,0)</f>
        <v>ANDRESSA CAROLINA SILVA RODRIGUES</v>
      </c>
      <c r="S261">
        <f t="shared" si="17"/>
        <v>60</v>
      </c>
    </row>
    <row r="262" spans="1:22" x14ac:dyDescent="0.25">
      <c r="A262">
        <v>16032</v>
      </c>
      <c r="B262" t="s">
        <v>855</v>
      </c>
      <c r="C262" t="s">
        <v>856</v>
      </c>
      <c r="D262" s="34">
        <v>583.34</v>
      </c>
      <c r="E262">
        <v>1246264383</v>
      </c>
      <c r="F262" s="30">
        <v>46163</v>
      </c>
      <c r="G262" s="30"/>
      <c r="I262" t="s">
        <v>373</v>
      </c>
      <c r="J262">
        <v>10732</v>
      </c>
      <c r="K262" s="30">
        <v>46073</v>
      </c>
      <c r="L262">
        <v>4011600</v>
      </c>
      <c r="M262" t="s">
        <v>702</v>
      </c>
      <c r="N262">
        <v>244</v>
      </c>
      <c r="O262" t="s">
        <v>191</v>
      </c>
      <c r="P262" t="s">
        <v>855</v>
      </c>
      <c r="Q262">
        <f t="shared" si="16"/>
        <v>-52</v>
      </c>
      <c r="R262" t="str">
        <f>_xlfn.XLOOKUP(P262,'Painel Additive'!$B:$B,'Painel Additive'!$B:$B,0)</f>
        <v>ANDRESSA CAROLINA SILVA RODRIGUES</v>
      </c>
      <c r="S262">
        <f t="shared" si="17"/>
        <v>90</v>
      </c>
    </row>
    <row r="263" spans="1:22" x14ac:dyDescent="0.25">
      <c r="A263">
        <v>16189</v>
      </c>
      <c r="B263" t="s">
        <v>842</v>
      </c>
      <c r="C263" t="s">
        <v>843</v>
      </c>
      <c r="D263" s="34">
        <v>49440</v>
      </c>
      <c r="E263">
        <v>1246261824</v>
      </c>
      <c r="F263" s="30">
        <v>46087</v>
      </c>
      <c r="G263" s="30"/>
      <c r="I263" t="s">
        <v>373</v>
      </c>
      <c r="J263">
        <v>1246261824</v>
      </c>
      <c r="K263" s="30">
        <v>46055</v>
      </c>
      <c r="L263">
        <v>7240000</v>
      </c>
      <c r="M263" t="s">
        <v>844</v>
      </c>
      <c r="N263">
        <v>46</v>
      </c>
      <c r="O263" t="s">
        <v>163</v>
      </c>
      <c r="P263" t="s">
        <v>842</v>
      </c>
      <c r="Q263">
        <f t="shared" ref="Q263:Q291" si="18">$R$1-F263</f>
        <v>24</v>
      </c>
      <c r="R263" t="str">
        <f>_xlfn.XLOOKUP(P263,'Painel Additive'!$B:$B,'Painel Additive'!$B:$B,0)</f>
        <v>ARSLOG SOLUCOES EM TRANSPORTE</v>
      </c>
      <c r="S263">
        <f t="shared" ref="S263:S291" si="19">F263-K263</f>
        <v>32</v>
      </c>
    </row>
    <row r="264" spans="1:22" x14ac:dyDescent="0.25">
      <c r="A264">
        <v>16802</v>
      </c>
      <c r="B264" t="s">
        <v>795</v>
      </c>
      <c r="C264" t="s">
        <v>796</v>
      </c>
      <c r="D264" s="34">
        <v>1750</v>
      </c>
      <c r="E264">
        <v>1246254799</v>
      </c>
      <c r="F264" s="30">
        <v>46099</v>
      </c>
      <c r="G264" s="30"/>
      <c r="I264" t="s">
        <v>373</v>
      </c>
      <c r="J264">
        <v>10318</v>
      </c>
      <c r="K264" s="30">
        <v>46009</v>
      </c>
      <c r="L264">
        <v>4010300</v>
      </c>
      <c r="M264" t="s">
        <v>142</v>
      </c>
      <c r="N264">
        <v>244</v>
      </c>
      <c r="O264" t="s">
        <v>191</v>
      </c>
      <c r="P264" t="s">
        <v>795</v>
      </c>
      <c r="Q264">
        <f t="shared" si="18"/>
        <v>12</v>
      </c>
      <c r="R264" t="str">
        <f>_xlfn.XLOOKUP(P264,'Painel Additive'!$B:$B,'Painel Additive'!$B:$B,0)</f>
        <v>PATRICIA LARA SOUZA</v>
      </c>
      <c r="S264">
        <f t="shared" si="19"/>
        <v>90</v>
      </c>
    </row>
    <row r="265" spans="1:22" x14ac:dyDescent="0.25">
      <c r="D265" s="34"/>
      <c r="F265" s="30"/>
      <c r="K265" s="30"/>
      <c r="Q265">
        <f t="shared" si="18"/>
        <v>46111</v>
      </c>
      <c r="R265">
        <f>_xlfn.XLOOKUP(P265,'Painel Additive'!$B:$B,'Painel Additive'!$B:$B,0)</f>
        <v>0</v>
      </c>
      <c r="S265">
        <f t="shared" si="19"/>
        <v>0</v>
      </c>
    </row>
    <row r="266" spans="1:22" x14ac:dyDescent="0.25">
      <c r="D266" s="34"/>
      <c r="F266" s="30"/>
      <c r="K266" s="30"/>
      <c r="Q266">
        <f t="shared" si="18"/>
        <v>46111</v>
      </c>
      <c r="R266">
        <f>_xlfn.XLOOKUP(P266,'Painel Additive'!$B:$B,'Painel Additive'!$B:$B,0)</f>
        <v>0</v>
      </c>
      <c r="S266">
        <f t="shared" si="19"/>
        <v>0</v>
      </c>
    </row>
    <row r="267" spans="1:22" x14ac:dyDescent="0.25">
      <c r="D267" s="34"/>
      <c r="F267" s="30"/>
      <c r="K267" s="30"/>
      <c r="Q267">
        <f t="shared" si="18"/>
        <v>46111</v>
      </c>
      <c r="R267">
        <f>_xlfn.XLOOKUP(P267,'Painel Additive'!$B:$B,'Painel Additive'!$B:$B,0)</f>
        <v>0</v>
      </c>
      <c r="S267">
        <f t="shared" si="19"/>
        <v>0</v>
      </c>
    </row>
    <row r="268" spans="1:22" x14ac:dyDescent="0.25">
      <c r="D268" s="34"/>
      <c r="F268" s="30"/>
      <c r="K268" s="30"/>
      <c r="Q268">
        <f t="shared" si="18"/>
        <v>46111</v>
      </c>
      <c r="R268">
        <f>_xlfn.XLOOKUP(P268,'Painel Additive'!$B:$B,'Painel Additive'!$B:$B,0)</f>
        <v>0</v>
      </c>
      <c r="S268">
        <f t="shared" si="19"/>
        <v>0</v>
      </c>
    </row>
    <row r="269" spans="1:22" x14ac:dyDescent="0.25">
      <c r="D269" s="34"/>
      <c r="F269" s="30"/>
      <c r="K269" s="30"/>
      <c r="Q269">
        <f t="shared" si="18"/>
        <v>46111</v>
      </c>
      <c r="R269">
        <f>_xlfn.XLOOKUP(P269,'Painel Additive'!$B:$B,'Painel Additive'!$B:$B,0)</f>
        <v>0</v>
      </c>
      <c r="S269">
        <f t="shared" si="19"/>
        <v>0</v>
      </c>
    </row>
    <row r="270" spans="1:22" x14ac:dyDescent="0.25">
      <c r="D270" s="34"/>
      <c r="F270" s="30"/>
      <c r="K270" s="30"/>
      <c r="Q270">
        <f t="shared" si="18"/>
        <v>46111</v>
      </c>
      <c r="R270">
        <f>_xlfn.XLOOKUP(P270,'Painel Additive'!$B:$B,'Painel Additive'!$B:$B,0)</f>
        <v>0</v>
      </c>
      <c r="S270">
        <f t="shared" si="19"/>
        <v>0</v>
      </c>
    </row>
    <row r="271" spans="1:22" x14ac:dyDescent="0.25">
      <c r="D271" s="34"/>
      <c r="F271" s="30"/>
      <c r="K271" s="30"/>
      <c r="Q271">
        <f t="shared" si="18"/>
        <v>46111</v>
      </c>
      <c r="R271">
        <f>_xlfn.XLOOKUP(P271,'Painel Additive'!$B:$B,'Painel Additive'!$B:$B,0)</f>
        <v>0</v>
      </c>
      <c r="S271">
        <f t="shared" si="19"/>
        <v>0</v>
      </c>
    </row>
    <row r="272" spans="1:22" x14ac:dyDescent="0.25">
      <c r="D272" s="34"/>
      <c r="F272" s="30"/>
      <c r="K272" s="30"/>
      <c r="Q272">
        <f t="shared" si="18"/>
        <v>46111</v>
      </c>
      <c r="R272">
        <f>_xlfn.XLOOKUP(P272,'Painel Additive'!$B:$B,'Painel Additive'!$B:$B,0)</f>
        <v>0</v>
      </c>
      <c r="S272">
        <f t="shared" si="19"/>
        <v>0</v>
      </c>
    </row>
    <row r="273" spans="4:19" x14ac:dyDescent="0.25">
      <c r="D273" s="34"/>
      <c r="F273" s="30"/>
      <c r="K273" s="30"/>
      <c r="Q273">
        <f t="shared" si="18"/>
        <v>46111</v>
      </c>
      <c r="R273">
        <f>_xlfn.XLOOKUP(P273,'Painel Additive'!$B:$B,'Painel Additive'!$B:$B,0)</f>
        <v>0</v>
      </c>
      <c r="S273">
        <f t="shared" si="19"/>
        <v>0</v>
      </c>
    </row>
    <row r="274" spans="4:19" x14ac:dyDescent="0.25">
      <c r="D274" s="34"/>
      <c r="F274" s="30"/>
      <c r="K274" s="30"/>
      <c r="Q274">
        <f t="shared" si="18"/>
        <v>46111</v>
      </c>
      <c r="R274">
        <f>_xlfn.XLOOKUP(P274,'Painel Additive'!$B:$B,'Painel Additive'!$B:$B,0)</f>
        <v>0</v>
      </c>
      <c r="S274">
        <f t="shared" si="19"/>
        <v>0</v>
      </c>
    </row>
    <row r="275" spans="4:19" x14ac:dyDescent="0.25">
      <c r="D275" s="34"/>
      <c r="F275" s="30"/>
      <c r="K275" s="30"/>
      <c r="Q275">
        <f t="shared" si="18"/>
        <v>46111</v>
      </c>
      <c r="R275">
        <f>_xlfn.XLOOKUP(P275,'Painel Additive'!$B:$B,'Painel Additive'!$B:$B,0)</f>
        <v>0</v>
      </c>
      <c r="S275">
        <f t="shared" si="19"/>
        <v>0</v>
      </c>
    </row>
    <row r="276" spans="4:19" x14ac:dyDescent="0.25">
      <c r="D276" s="34"/>
      <c r="F276" s="30"/>
      <c r="K276" s="30"/>
      <c r="Q276">
        <f t="shared" si="18"/>
        <v>46111</v>
      </c>
      <c r="R276">
        <f>_xlfn.XLOOKUP(P276,'Painel Additive'!$B:$B,'Painel Additive'!$B:$B,0)</f>
        <v>0</v>
      </c>
      <c r="S276">
        <f t="shared" si="19"/>
        <v>0</v>
      </c>
    </row>
    <row r="277" spans="4:19" x14ac:dyDescent="0.25">
      <c r="D277" s="34"/>
      <c r="F277" s="30"/>
      <c r="K277" s="30"/>
      <c r="Q277">
        <f t="shared" si="18"/>
        <v>46111</v>
      </c>
      <c r="R277">
        <f>_xlfn.XLOOKUP(P277,'Painel Additive'!$B:$B,'Painel Additive'!$B:$B,0)</f>
        <v>0</v>
      </c>
      <c r="S277">
        <f t="shared" si="19"/>
        <v>0</v>
      </c>
    </row>
    <row r="278" spans="4:19" x14ac:dyDescent="0.25">
      <c r="D278" s="34"/>
      <c r="F278" s="30"/>
      <c r="K278" s="30"/>
      <c r="Q278">
        <f t="shared" si="18"/>
        <v>46111</v>
      </c>
      <c r="R278">
        <f>_xlfn.XLOOKUP(P278,'Painel Additive'!$B:$B,'Painel Additive'!$B:$B,0)</f>
        <v>0</v>
      </c>
      <c r="S278">
        <f t="shared" si="19"/>
        <v>0</v>
      </c>
    </row>
    <row r="279" spans="4:19" x14ac:dyDescent="0.25">
      <c r="D279" s="34"/>
      <c r="F279" s="30"/>
      <c r="K279" s="30"/>
      <c r="Q279">
        <f t="shared" si="18"/>
        <v>46111</v>
      </c>
      <c r="R279">
        <f>_xlfn.XLOOKUP(P279,'Painel Additive'!$B:$B,'Painel Additive'!$B:$B,0)</f>
        <v>0</v>
      </c>
      <c r="S279">
        <f t="shared" si="19"/>
        <v>0</v>
      </c>
    </row>
    <row r="280" spans="4:19" x14ac:dyDescent="0.25">
      <c r="D280" s="34"/>
      <c r="F280" s="30"/>
      <c r="K280" s="30"/>
      <c r="Q280">
        <f t="shared" si="18"/>
        <v>46111</v>
      </c>
      <c r="R280">
        <f>_xlfn.XLOOKUP(P280,'Painel Additive'!$B:$B,'Painel Additive'!$B:$B,0)</f>
        <v>0</v>
      </c>
      <c r="S280">
        <f t="shared" si="19"/>
        <v>0</v>
      </c>
    </row>
    <row r="281" spans="4:19" x14ac:dyDescent="0.25">
      <c r="D281" s="34"/>
      <c r="F281" s="30"/>
      <c r="K281" s="30"/>
      <c r="Q281">
        <f t="shared" si="18"/>
        <v>46111</v>
      </c>
      <c r="R281">
        <f>_xlfn.XLOOKUP(P281,'Painel Additive'!$B:$B,'Painel Additive'!$B:$B,0)</f>
        <v>0</v>
      </c>
      <c r="S281">
        <f t="shared" si="19"/>
        <v>0</v>
      </c>
    </row>
    <row r="282" spans="4:19" x14ac:dyDescent="0.25">
      <c r="D282" s="34"/>
      <c r="F282" s="30"/>
      <c r="K282" s="30"/>
      <c r="Q282">
        <f t="shared" si="18"/>
        <v>46111</v>
      </c>
      <c r="R282">
        <f>_xlfn.XLOOKUP(P282,'Painel Additive'!$B:$B,'Painel Additive'!$B:$B,0)</f>
        <v>0</v>
      </c>
      <c r="S282">
        <f t="shared" si="19"/>
        <v>0</v>
      </c>
    </row>
    <row r="283" spans="4:19" x14ac:dyDescent="0.25">
      <c r="D283" s="34"/>
      <c r="F283" s="30"/>
      <c r="K283" s="30"/>
      <c r="Q283">
        <f t="shared" si="18"/>
        <v>46111</v>
      </c>
      <c r="R283">
        <f>_xlfn.XLOOKUP(P283,'Painel Additive'!$B:$B,'Painel Additive'!$B:$B,0)</f>
        <v>0</v>
      </c>
      <c r="S283">
        <f t="shared" si="19"/>
        <v>0</v>
      </c>
    </row>
    <row r="284" spans="4:19" x14ac:dyDescent="0.25">
      <c r="D284" s="34"/>
      <c r="F284" s="30"/>
      <c r="K284" s="30"/>
      <c r="Q284">
        <f t="shared" si="18"/>
        <v>46111</v>
      </c>
      <c r="R284">
        <f>_xlfn.XLOOKUP(P284,'Painel Additive'!$B:$B,'Painel Additive'!$B:$B,0)</f>
        <v>0</v>
      </c>
      <c r="S284">
        <f t="shared" si="19"/>
        <v>0</v>
      </c>
    </row>
    <row r="285" spans="4:19" x14ac:dyDescent="0.25">
      <c r="D285" s="34"/>
      <c r="F285" s="30"/>
      <c r="K285" s="30"/>
      <c r="Q285">
        <f t="shared" si="18"/>
        <v>46111</v>
      </c>
      <c r="R285">
        <f>_xlfn.XLOOKUP(P285,'Painel Additive'!$B:$B,'Painel Additive'!$B:$B,0)</f>
        <v>0</v>
      </c>
      <c r="S285">
        <f t="shared" si="19"/>
        <v>0</v>
      </c>
    </row>
    <row r="286" spans="4:19" x14ac:dyDescent="0.25">
      <c r="D286" s="34"/>
      <c r="F286" s="30"/>
      <c r="K286" s="30"/>
      <c r="Q286">
        <f t="shared" si="18"/>
        <v>46111</v>
      </c>
      <c r="R286">
        <f>_xlfn.XLOOKUP(P286,'Painel Additive'!$B:$B,'Painel Additive'!$B:$B,0)</f>
        <v>0</v>
      </c>
      <c r="S286">
        <f t="shared" si="19"/>
        <v>0</v>
      </c>
    </row>
    <row r="287" spans="4:19" x14ac:dyDescent="0.25">
      <c r="D287" s="34"/>
      <c r="F287" s="30"/>
      <c r="K287" s="30"/>
      <c r="Q287">
        <f t="shared" si="18"/>
        <v>46111</v>
      </c>
      <c r="R287">
        <f>_xlfn.XLOOKUP(P287,'Painel Additive'!$B:$B,'Painel Additive'!$B:$B,0)</f>
        <v>0</v>
      </c>
      <c r="S287">
        <f t="shared" si="19"/>
        <v>0</v>
      </c>
    </row>
    <row r="288" spans="4:19" x14ac:dyDescent="0.25">
      <c r="D288" s="34"/>
      <c r="F288" s="30"/>
      <c r="K288" s="30"/>
      <c r="Q288">
        <f t="shared" si="18"/>
        <v>46111</v>
      </c>
      <c r="R288">
        <f>_xlfn.XLOOKUP(P288,'Painel Additive'!$B:$B,'Painel Additive'!$B:$B,0)</f>
        <v>0</v>
      </c>
      <c r="S288">
        <f t="shared" si="19"/>
        <v>0</v>
      </c>
    </row>
    <row r="289" spans="4:19" x14ac:dyDescent="0.25">
      <c r="D289" s="34"/>
      <c r="F289" s="30"/>
      <c r="K289" s="30"/>
      <c r="Q289">
        <f t="shared" si="18"/>
        <v>46111</v>
      </c>
      <c r="R289">
        <f>_xlfn.XLOOKUP(P289,'Painel Additive'!$B:$B,'Painel Additive'!$B:$B,0)</f>
        <v>0</v>
      </c>
      <c r="S289">
        <f t="shared" si="19"/>
        <v>0</v>
      </c>
    </row>
    <row r="290" spans="4:19" x14ac:dyDescent="0.25">
      <c r="D290" s="34"/>
      <c r="F290" s="30"/>
      <c r="K290" s="30"/>
      <c r="Q290">
        <f t="shared" si="18"/>
        <v>46111</v>
      </c>
      <c r="R290">
        <f>_xlfn.XLOOKUP(P290,'Painel Additive'!$B:$B,'Painel Additive'!$B:$B,0)</f>
        <v>0</v>
      </c>
      <c r="S290">
        <f t="shared" si="19"/>
        <v>0</v>
      </c>
    </row>
    <row r="291" spans="4:19" x14ac:dyDescent="0.25">
      <c r="D291" s="34"/>
      <c r="F291" s="30"/>
      <c r="K291" s="30"/>
      <c r="Q291">
        <f t="shared" si="18"/>
        <v>46111</v>
      </c>
      <c r="R291">
        <f>_xlfn.XLOOKUP(P291,'Painel Additive'!$B:$B,'Painel Additive'!$B:$B,0)</f>
        <v>0</v>
      </c>
      <c r="S291">
        <f t="shared" si="19"/>
        <v>0</v>
      </c>
    </row>
    <row r="292" spans="4:19" x14ac:dyDescent="0.25">
      <c r="D292" s="34"/>
      <c r="F292" s="30"/>
      <c r="K292" s="30"/>
      <c r="Q292">
        <f t="shared" ref="Q292:Q327" si="20">$R$1-F292</f>
        <v>46111</v>
      </c>
      <c r="R292">
        <f>_xlfn.XLOOKUP(P292,'Painel Additive'!$B:$B,'Painel Additive'!$B:$B,0)</f>
        <v>0</v>
      </c>
      <c r="S292">
        <f t="shared" ref="S292:S327" si="21">F292-K292</f>
        <v>0</v>
      </c>
    </row>
    <row r="293" spans="4:19" x14ac:dyDescent="0.25">
      <c r="D293" s="34"/>
      <c r="F293" s="30"/>
      <c r="K293" s="30"/>
      <c r="Q293">
        <f t="shared" si="20"/>
        <v>46111</v>
      </c>
      <c r="R293">
        <f>_xlfn.XLOOKUP(P293,'Painel Additive'!$B:$B,'Painel Additive'!$B:$B,0)</f>
        <v>0</v>
      </c>
      <c r="S293">
        <f t="shared" si="21"/>
        <v>0</v>
      </c>
    </row>
    <row r="294" spans="4:19" x14ac:dyDescent="0.25">
      <c r="D294" s="34"/>
      <c r="F294" s="30"/>
      <c r="K294" s="30"/>
      <c r="Q294">
        <f t="shared" si="20"/>
        <v>46111</v>
      </c>
      <c r="R294">
        <f>_xlfn.XLOOKUP(P294,'Painel Additive'!$B:$B,'Painel Additive'!$B:$B,0)</f>
        <v>0</v>
      </c>
      <c r="S294">
        <f t="shared" si="21"/>
        <v>0</v>
      </c>
    </row>
    <row r="295" spans="4:19" x14ac:dyDescent="0.25">
      <c r="D295" s="34"/>
      <c r="F295" s="30"/>
      <c r="K295" s="30"/>
      <c r="Q295">
        <f t="shared" si="20"/>
        <v>46111</v>
      </c>
      <c r="R295">
        <f>_xlfn.XLOOKUP(P295,'Painel Additive'!$B:$B,'Painel Additive'!$B:$B,0)</f>
        <v>0</v>
      </c>
      <c r="S295">
        <f t="shared" si="21"/>
        <v>0</v>
      </c>
    </row>
    <row r="296" spans="4:19" x14ac:dyDescent="0.25">
      <c r="D296" s="34"/>
      <c r="F296" s="30"/>
      <c r="K296" s="30"/>
      <c r="Q296">
        <f t="shared" si="20"/>
        <v>46111</v>
      </c>
      <c r="R296">
        <f>_xlfn.XLOOKUP(P296,'Painel Additive'!$B:$B,'Painel Additive'!$B:$B,0)</f>
        <v>0</v>
      </c>
      <c r="S296">
        <f t="shared" si="21"/>
        <v>0</v>
      </c>
    </row>
    <row r="297" spans="4:19" x14ac:dyDescent="0.25">
      <c r="D297" s="34"/>
      <c r="F297" s="30"/>
      <c r="K297" s="30"/>
      <c r="Q297">
        <f t="shared" si="20"/>
        <v>46111</v>
      </c>
      <c r="R297">
        <f>_xlfn.XLOOKUP(P297,'Painel Additive'!$B:$B,'Painel Additive'!$B:$B,0)</f>
        <v>0</v>
      </c>
      <c r="S297">
        <f t="shared" si="21"/>
        <v>0</v>
      </c>
    </row>
    <row r="298" spans="4:19" x14ac:dyDescent="0.25">
      <c r="D298" s="34"/>
      <c r="F298" s="30"/>
      <c r="K298" s="30"/>
      <c r="Q298">
        <f t="shared" si="20"/>
        <v>46111</v>
      </c>
      <c r="R298">
        <f>_xlfn.XLOOKUP(P298,'Painel Additive'!$B:$B,'Painel Additive'!$B:$B,0)</f>
        <v>0</v>
      </c>
      <c r="S298">
        <f t="shared" si="21"/>
        <v>0</v>
      </c>
    </row>
    <row r="299" spans="4:19" x14ac:dyDescent="0.25">
      <c r="D299" s="34"/>
      <c r="F299" s="30"/>
      <c r="K299" s="30"/>
      <c r="Q299">
        <f t="shared" si="20"/>
        <v>46111</v>
      </c>
      <c r="R299">
        <f>_xlfn.XLOOKUP(P299,'Painel Additive'!$B:$B,'Painel Additive'!$B:$B,0)</f>
        <v>0</v>
      </c>
      <c r="S299">
        <f t="shared" si="21"/>
        <v>0</v>
      </c>
    </row>
    <row r="300" spans="4:19" x14ac:dyDescent="0.25">
      <c r="D300" s="34"/>
      <c r="F300" s="30"/>
      <c r="K300" s="30"/>
      <c r="Q300">
        <f t="shared" si="20"/>
        <v>46111</v>
      </c>
      <c r="R300">
        <f>_xlfn.XLOOKUP(P300,'Painel Additive'!$B:$B,'Painel Additive'!$B:$B,0)</f>
        <v>0</v>
      </c>
      <c r="S300">
        <f t="shared" si="21"/>
        <v>0</v>
      </c>
    </row>
    <row r="301" spans="4:19" x14ac:dyDescent="0.25">
      <c r="D301" s="34"/>
      <c r="F301" s="30"/>
      <c r="K301" s="30"/>
      <c r="Q301">
        <f t="shared" si="20"/>
        <v>46111</v>
      </c>
      <c r="R301">
        <f>_xlfn.XLOOKUP(P301,'Painel Additive'!$B:$B,'Painel Additive'!$B:$B,0)</f>
        <v>0</v>
      </c>
      <c r="S301">
        <f t="shared" si="21"/>
        <v>0</v>
      </c>
    </row>
    <row r="302" spans="4:19" x14ac:dyDescent="0.25">
      <c r="D302" s="34"/>
      <c r="F302" s="30"/>
      <c r="K302" s="30"/>
      <c r="Q302">
        <f t="shared" si="20"/>
        <v>46111</v>
      </c>
      <c r="R302">
        <f>_xlfn.XLOOKUP(P302,'Painel Additive'!$B:$B,'Painel Additive'!$B:$B,0)</f>
        <v>0</v>
      </c>
      <c r="S302">
        <f t="shared" si="21"/>
        <v>0</v>
      </c>
    </row>
    <row r="303" spans="4:19" x14ac:dyDescent="0.25">
      <c r="D303" s="34"/>
      <c r="F303" s="30"/>
      <c r="K303" s="30"/>
      <c r="Q303">
        <f t="shared" si="20"/>
        <v>46111</v>
      </c>
      <c r="R303">
        <f>_xlfn.XLOOKUP(P303,'Painel Additive'!$B:$B,'Painel Additive'!$B:$B,0)</f>
        <v>0</v>
      </c>
      <c r="S303">
        <f t="shared" si="21"/>
        <v>0</v>
      </c>
    </row>
    <row r="304" spans="4:19" x14ac:dyDescent="0.25">
      <c r="D304" s="34"/>
      <c r="F304" s="30"/>
      <c r="K304" s="30"/>
      <c r="Q304">
        <f t="shared" si="20"/>
        <v>46111</v>
      </c>
      <c r="R304">
        <f>_xlfn.XLOOKUP(P304,'Painel Additive'!$B:$B,'Painel Additive'!$B:$B,0)</f>
        <v>0</v>
      </c>
      <c r="S304">
        <f t="shared" si="21"/>
        <v>0</v>
      </c>
    </row>
    <row r="305" spans="4:19" x14ac:dyDescent="0.25">
      <c r="D305" s="34"/>
      <c r="F305" s="30"/>
      <c r="K305" s="30"/>
      <c r="Q305">
        <f t="shared" si="20"/>
        <v>46111</v>
      </c>
      <c r="R305">
        <f>_xlfn.XLOOKUP(P305,'Painel Additive'!$B:$B,'Painel Additive'!$B:$B,0)</f>
        <v>0</v>
      </c>
      <c r="S305">
        <f t="shared" si="21"/>
        <v>0</v>
      </c>
    </row>
    <row r="306" spans="4:19" x14ac:dyDescent="0.25">
      <c r="D306" s="34"/>
      <c r="F306" s="30"/>
      <c r="K306" s="30"/>
      <c r="Q306">
        <f t="shared" si="20"/>
        <v>46111</v>
      </c>
      <c r="R306">
        <f>_xlfn.XLOOKUP(P306,'Painel Additive'!$B:$B,'Painel Additive'!$B:$B,0)</f>
        <v>0</v>
      </c>
      <c r="S306">
        <f t="shared" si="21"/>
        <v>0</v>
      </c>
    </row>
    <row r="307" spans="4:19" x14ac:dyDescent="0.25">
      <c r="D307" s="34"/>
      <c r="F307" s="30"/>
      <c r="K307" s="30"/>
      <c r="Q307">
        <f t="shared" si="20"/>
        <v>46111</v>
      </c>
      <c r="R307">
        <f>_xlfn.XLOOKUP(P307,'Painel Additive'!$B:$B,'Painel Additive'!$B:$B,0)</f>
        <v>0</v>
      </c>
      <c r="S307">
        <f t="shared" si="21"/>
        <v>0</v>
      </c>
    </row>
    <row r="308" spans="4:19" x14ac:dyDescent="0.25">
      <c r="D308" s="34"/>
      <c r="F308" s="30"/>
      <c r="K308" s="30"/>
      <c r="Q308">
        <f t="shared" si="20"/>
        <v>46111</v>
      </c>
      <c r="R308">
        <f>_xlfn.XLOOKUP(P308,'Painel Additive'!$B:$B,'Painel Additive'!$B:$B,0)</f>
        <v>0</v>
      </c>
      <c r="S308">
        <f t="shared" si="21"/>
        <v>0</v>
      </c>
    </row>
    <row r="309" spans="4:19" x14ac:dyDescent="0.25">
      <c r="D309" s="34"/>
      <c r="F309" s="30"/>
      <c r="K309" s="30"/>
      <c r="Q309">
        <f t="shared" si="20"/>
        <v>46111</v>
      </c>
      <c r="R309">
        <f>_xlfn.XLOOKUP(P309,'Painel Additive'!$B:$B,'Painel Additive'!$B:$B,0)</f>
        <v>0</v>
      </c>
      <c r="S309">
        <f t="shared" si="21"/>
        <v>0</v>
      </c>
    </row>
    <row r="310" spans="4:19" x14ac:dyDescent="0.25">
      <c r="D310" s="34"/>
      <c r="F310" s="30"/>
      <c r="K310" s="30"/>
      <c r="Q310">
        <f t="shared" si="20"/>
        <v>46111</v>
      </c>
      <c r="R310">
        <f>_xlfn.XLOOKUP(P310,'Painel Additive'!$B:$B,'Painel Additive'!$B:$B,0)</f>
        <v>0</v>
      </c>
      <c r="S310">
        <f t="shared" si="21"/>
        <v>0</v>
      </c>
    </row>
    <row r="311" spans="4:19" x14ac:dyDescent="0.25">
      <c r="D311" s="34"/>
      <c r="F311" s="30"/>
      <c r="K311" s="30"/>
      <c r="Q311">
        <f t="shared" si="20"/>
        <v>46111</v>
      </c>
      <c r="R311">
        <f>_xlfn.XLOOKUP(P311,'Painel Additive'!$B:$B,'Painel Additive'!$B:$B,0)</f>
        <v>0</v>
      </c>
      <c r="S311">
        <f t="shared" si="21"/>
        <v>0</v>
      </c>
    </row>
    <row r="312" spans="4:19" x14ac:dyDescent="0.25">
      <c r="D312" s="34"/>
      <c r="F312" s="30"/>
      <c r="K312" s="30"/>
      <c r="Q312">
        <f t="shared" si="20"/>
        <v>46111</v>
      </c>
      <c r="R312">
        <f>_xlfn.XLOOKUP(P312,'Painel Additive'!$B:$B,'Painel Additive'!$B:$B,0)</f>
        <v>0</v>
      </c>
      <c r="S312">
        <f t="shared" si="21"/>
        <v>0</v>
      </c>
    </row>
    <row r="313" spans="4:19" x14ac:dyDescent="0.25">
      <c r="D313" s="34"/>
      <c r="F313" s="30"/>
      <c r="K313" s="30"/>
      <c r="Q313">
        <f t="shared" si="20"/>
        <v>46111</v>
      </c>
      <c r="R313">
        <f>_xlfn.XLOOKUP(P313,'Painel Additive'!$B:$B,'Painel Additive'!$B:$B,0)</f>
        <v>0</v>
      </c>
      <c r="S313">
        <f t="shared" si="21"/>
        <v>0</v>
      </c>
    </row>
    <row r="314" spans="4:19" x14ac:dyDescent="0.25">
      <c r="D314" s="34"/>
      <c r="F314" s="30"/>
      <c r="K314" s="30"/>
      <c r="Q314">
        <f t="shared" si="20"/>
        <v>46111</v>
      </c>
      <c r="R314">
        <f>_xlfn.XLOOKUP(P314,'Painel Additive'!$B:$B,'Painel Additive'!$B:$B,0)</f>
        <v>0</v>
      </c>
      <c r="S314">
        <f t="shared" si="21"/>
        <v>0</v>
      </c>
    </row>
    <row r="315" spans="4:19" x14ac:dyDescent="0.25">
      <c r="D315" s="34"/>
      <c r="F315" s="30"/>
      <c r="K315" s="30"/>
      <c r="Q315">
        <f t="shared" si="20"/>
        <v>46111</v>
      </c>
      <c r="R315">
        <f>_xlfn.XLOOKUP(P315,'Painel Additive'!$B:$B,'Painel Additive'!$B:$B,0)</f>
        <v>0</v>
      </c>
      <c r="S315">
        <f t="shared" si="21"/>
        <v>0</v>
      </c>
    </row>
    <row r="316" spans="4:19" x14ac:dyDescent="0.25">
      <c r="D316" s="34"/>
      <c r="F316" s="30"/>
      <c r="K316" s="30"/>
      <c r="Q316">
        <f t="shared" si="20"/>
        <v>46111</v>
      </c>
      <c r="R316">
        <f>_xlfn.XLOOKUP(P316,'Painel Additive'!$B:$B,'Painel Additive'!$B:$B,0)</f>
        <v>0</v>
      </c>
      <c r="S316">
        <f t="shared" si="21"/>
        <v>0</v>
      </c>
    </row>
    <row r="317" spans="4:19" x14ac:dyDescent="0.25">
      <c r="D317" s="34"/>
      <c r="F317" s="30"/>
      <c r="K317" s="30"/>
      <c r="Q317">
        <f t="shared" si="20"/>
        <v>46111</v>
      </c>
      <c r="R317">
        <f>_xlfn.XLOOKUP(P317,'Painel Additive'!$B:$B,'Painel Additive'!$B:$B,0)</f>
        <v>0</v>
      </c>
      <c r="S317">
        <f t="shared" si="21"/>
        <v>0</v>
      </c>
    </row>
    <row r="318" spans="4:19" x14ac:dyDescent="0.25">
      <c r="D318" s="34"/>
      <c r="F318" s="30"/>
      <c r="K318" s="30"/>
      <c r="Q318">
        <f t="shared" si="20"/>
        <v>46111</v>
      </c>
      <c r="R318">
        <f>_xlfn.XLOOKUP(P318,'Painel Additive'!$B:$B,'Painel Additive'!$B:$B,0)</f>
        <v>0</v>
      </c>
      <c r="S318">
        <f t="shared" si="21"/>
        <v>0</v>
      </c>
    </row>
    <row r="319" spans="4:19" x14ac:dyDescent="0.25">
      <c r="D319" s="34"/>
      <c r="F319" s="30"/>
      <c r="K319" s="30"/>
      <c r="Q319">
        <f t="shared" si="20"/>
        <v>46111</v>
      </c>
      <c r="R319">
        <f>_xlfn.XLOOKUP(P319,'Painel Additive'!$B:$B,'Painel Additive'!$B:$B,0)</f>
        <v>0</v>
      </c>
      <c r="S319">
        <f t="shared" si="21"/>
        <v>0</v>
      </c>
    </row>
    <row r="320" spans="4:19" x14ac:dyDescent="0.25">
      <c r="D320" s="34"/>
      <c r="F320" s="30"/>
      <c r="K320" s="30"/>
      <c r="Q320">
        <f t="shared" si="20"/>
        <v>46111</v>
      </c>
      <c r="R320">
        <f>_xlfn.XLOOKUP(P320,'Painel Additive'!$B:$B,'Painel Additive'!$B:$B,0)</f>
        <v>0</v>
      </c>
      <c r="S320">
        <f t="shared" si="21"/>
        <v>0</v>
      </c>
    </row>
    <row r="321" spans="4:19" x14ac:dyDescent="0.25">
      <c r="D321" s="34"/>
      <c r="F321" s="30"/>
      <c r="K321" s="30"/>
      <c r="Q321">
        <f t="shared" si="20"/>
        <v>46111</v>
      </c>
      <c r="R321">
        <f>_xlfn.XLOOKUP(P321,'Painel Additive'!$B:$B,'Painel Additive'!$B:$B,0)</f>
        <v>0</v>
      </c>
      <c r="S321">
        <f t="shared" si="21"/>
        <v>0</v>
      </c>
    </row>
    <row r="322" spans="4:19" x14ac:dyDescent="0.25">
      <c r="D322" s="34"/>
      <c r="F322" s="30"/>
      <c r="K322" s="30"/>
      <c r="Q322">
        <f t="shared" si="20"/>
        <v>46111</v>
      </c>
      <c r="R322">
        <f>_xlfn.XLOOKUP(P322,'Painel Additive'!$B:$B,'Painel Additive'!$B:$B,0)</f>
        <v>0</v>
      </c>
      <c r="S322">
        <f t="shared" si="21"/>
        <v>0</v>
      </c>
    </row>
    <row r="323" spans="4:19" x14ac:dyDescent="0.25">
      <c r="D323" s="34"/>
      <c r="F323" s="30"/>
      <c r="K323" s="30"/>
      <c r="Q323">
        <f t="shared" si="20"/>
        <v>46111</v>
      </c>
      <c r="R323">
        <f>_xlfn.XLOOKUP(P323,'Painel Additive'!$B:$B,'Painel Additive'!$B:$B,0)</f>
        <v>0</v>
      </c>
      <c r="S323">
        <f t="shared" si="21"/>
        <v>0</v>
      </c>
    </row>
    <row r="324" spans="4:19" x14ac:dyDescent="0.25">
      <c r="D324" s="34"/>
      <c r="F324" s="30"/>
      <c r="K324" s="30"/>
      <c r="Q324">
        <f t="shared" si="20"/>
        <v>46111</v>
      </c>
      <c r="R324">
        <f>_xlfn.XLOOKUP(P324,'Painel Additive'!$B:$B,'Painel Additive'!$B:$B,0)</f>
        <v>0</v>
      </c>
      <c r="S324">
        <f t="shared" si="21"/>
        <v>0</v>
      </c>
    </row>
    <row r="325" spans="4:19" x14ac:dyDescent="0.25">
      <c r="D325" s="34"/>
      <c r="F325" s="30"/>
      <c r="K325" s="30"/>
      <c r="Q325">
        <f t="shared" si="20"/>
        <v>46111</v>
      </c>
      <c r="R325">
        <f>_xlfn.XLOOKUP(P325,'Painel Additive'!$B:$B,'Painel Additive'!$B:$B,0)</f>
        <v>0</v>
      </c>
      <c r="S325">
        <f t="shared" si="21"/>
        <v>0</v>
      </c>
    </row>
    <row r="326" spans="4:19" x14ac:dyDescent="0.25">
      <c r="D326" s="34"/>
      <c r="F326" s="30"/>
      <c r="K326" s="30"/>
      <c r="Q326">
        <f t="shared" si="20"/>
        <v>46111</v>
      </c>
      <c r="R326">
        <f>_xlfn.XLOOKUP(P326,'Painel Additive'!$B:$B,'Painel Additive'!$B:$B,0)</f>
        <v>0</v>
      </c>
      <c r="S326">
        <f t="shared" si="21"/>
        <v>0</v>
      </c>
    </row>
    <row r="327" spans="4:19" x14ac:dyDescent="0.25">
      <c r="D327" s="34"/>
      <c r="F327" s="30"/>
      <c r="K327" s="30"/>
      <c r="Q327">
        <f t="shared" si="20"/>
        <v>46111</v>
      </c>
      <c r="R327">
        <f>_xlfn.XLOOKUP(P327,'Painel Additive'!$B:$B,'Painel Additive'!$B:$B,0)</f>
        <v>0</v>
      </c>
      <c r="S327">
        <f t="shared" si="21"/>
        <v>0</v>
      </c>
    </row>
    <row r="328" spans="4:19" x14ac:dyDescent="0.25">
      <c r="D328" s="34"/>
      <c r="F328" s="30"/>
      <c r="K328" s="30"/>
    </row>
    <row r="329" spans="4:19" x14ac:dyDescent="0.25">
      <c r="D329" s="34"/>
      <c r="F329" s="30"/>
      <c r="K329" s="30"/>
    </row>
    <row r="330" spans="4:19" x14ac:dyDescent="0.25">
      <c r="D330" s="34"/>
      <c r="F330" s="30"/>
      <c r="K330" s="30"/>
    </row>
    <row r="331" spans="4:19" x14ac:dyDescent="0.25">
      <c r="D331" s="34"/>
      <c r="F331" s="30"/>
      <c r="K331" s="30"/>
    </row>
    <row r="332" spans="4:19" x14ac:dyDescent="0.25">
      <c r="D332" s="34"/>
      <c r="F332" s="30"/>
      <c r="K332" s="30"/>
    </row>
    <row r="333" spans="4:19" x14ac:dyDescent="0.25">
      <c r="D333" s="34"/>
      <c r="F333" s="30"/>
      <c r="K333" s="30"/>
    </row>
    <row r="334" spans="4:19" x14ac:dyDescent="0.25">
      <c r="D334" s="34"/>
      <c r="F334" s="30"/>
      <c r="K334" s="30"/>
    </row>
    <row r="335" spans="4:19" x14ac:dyDescent="0.25">
      <c r="D335" s="34"/>
      <c r="F335" s="30"/>
      <c r="K335" s="30"/>
    </row>
    <row r="336" spans="4:19"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row r="592" spans="4:11" x14ac:dyDescent="0.25">
      <c r="D592" s="34"/>
      <c r="F592" s="30"/>
      <c r="K592" s="30"/>
    </row>
    <row r="593" spans="4:11" x14ac:dyDescent="0.25">
      <c r="D593" s="34"/>
      <c r="F593" s="30"/>
      <c r="K593" s="30"/>
    </row>
    <row r="594" spans="4:11" x14ac:dyDescent="0.25">
      <c r="D594" s="34"/>
      <c r="F594" s="30"/>
      <c r="K594" s="30"/>
    </row>
    <row r="595" spans="4:11" x14ac:dyDescent="0.25">
      <c r="D595" s="34"/>
      <c r="F595" s="30"/>
      <c r="K595" s="30"/>
    </row>
    <row r="596" spans="4:11" x14ac:dyDescent="0.25">
      <c r="D596" s="34"/>
      <c r="F596" s="30"/>
      <c r="K596" s="30"/>
    </row>
    <row r="597" spans="4:11" x14ac:dyDescent="0.25">
      <c r="D597" s="34"/>
      <c r="F597" s="30"/>
      <c r="K597" s="30"/>
    </row>
    <row r="598" spans="4:11" x14ac:dyDescent="0.25">
      <c r="D598" s="34"/>
      <c r="F598" s="30"/>
      <c r="K598" s="30"/>
    </row>
    <row r="599" spans="4:11" x14ac:dyDescent="0.25">
      <c r="D599" s="34"/>
      <c r="F599" s="30"/>
      <c r="K599" s="30"/>
    </row>
    <row r="600" spans="4:11" x14ac:dyDescent="0.25">
      <c r="D600" s="34"/>
      <c r="F600" s="30"/>
      <c r="K600" s="30"/>
    </row>
    <row r="601" spans="4:11" x14ac:dyDescent="0.25">
      <c r="D601" s="34"/>
      <c r="F601" s="30"/>
      <c r="K601" s="30"/>
    </row>
    <row r="602" spans="4:11" x14ac:dyDescent="0.25">
      <c r="D602" s="34"/>
      <c r="F602" s="30"/>
      <c r="K602" s="30"/>
    </row>
    <row r="603" spans="4:11" x14ac:dyDescent="0.25">
      <c r="D603" s="34"/>
      <c r="F603" s="30"/>
      <c r="K603" s="30"/>
    </row>
    <row r="604" spans="4:11" x14ac:dyDescent="0.25">
      <c r="D604" s="34"/>
      <c r="F604" s="30"/>
      <c r="K604" s="30"/>
    </row>
    <row r="605" spans="4:11" x14ac:dyDescent="0.25">
      <c r="D605" s="34"/>
      <c r="F605" s="30"/>
      <c r="K605" s="30"/>
    </row>
    <row r="606" spans="4:11" x14ac:dyDescent="0.25">
      <c r="D606" s="34"/>
      <c r="F606" s="30"/>
      <c r="K606" s="30"/>
    </row>
    <row r="607" spans="4:11" x14ac:dyDescent="0.25">
      <c r="D607" s="34"/>
      <c r="F607" s="30"/>
      <c r="K607" s="30"/>
    </row>
    <row r="608" spans="4:11" x14ac:dyDescent="0.25">
      <c r="D608" s="34"/>
      <c r="F608" s="30"/>
      <c r="K608" s="30"/>
    </row>
    <row r="609" spans="4:11" x14ac:dyDescent="0.25">
      <c r="D609" s="34"/>
      <c r="F609" s="30"/>
      <c r="K609" s="30"/>
    </row>
    <row r="610" spans="4:11" x14ac:dyDescent="0.25">
      <c r="D610" s="34"/>
      <c r="F610" s="30"/>
      <c r="K610" s="30"/>
    </row>
    <row r="611" spans="4:11" x14ac:dyDescent="0.25">
      <c r="D611" s="34"/>
      <c r="F611" s="30"/>
      <c r="K611" s="30"/>
    </row>
    <row r="612" spans="4:11" x14ac:dyDescent="0.25">
      <c r="D612" s="34"/>
      <c r="F612" s="30"/>
      <c r="K612" s="30"/>
    </row>
    <row r="613" spans="4:11" x14ac:dyDescent="0.25">
      <c r="D613" s="34"/>
      <c r="F613" s="30"/>
      <c r="K613" s="30"/>
    </row>
    <row r="614" spans="4:11" x14ac:dyDescent="0.25">
      <c r="D614" s="34"/>
      <c r="F614" s="30"/>
      <c r="K614" s="30"/>
    </row>
    <row r="615" spans="4:11" x14ac:dyDescent="0.25">
      <c r="D615" s="34"/>
      <c r="F615" s="30"/>
      <c r="K615" s="30"/>
    </row>
    <row r="616" spans="4:11" x14ac:dyDescent="0.25">
      <c r="D616" s="34"/>
      <c r="F616" s="30"/>
      <c r="K616" s="30"/>
    </row>
    <row r="617" spans="4:11" x14ac:dyDescent="0.25">
      <c r="D617" s="34"/>
      <c r="F617" s="30"/>
      <c r="K617" s="30"/>
    </row>
    <row r="618" spans="4:11" x14ac:dyDescent="0.25">
      <c r="D618" s="34"/>
      <c r="F618" s="30"/>
      <c r="K618" s="30"/>
    </row>
    <row r="619" spans="4:11" x14ac:dyDescent="0.25">
      <c r="D619" s="34"/>
      <c r="F619" s="30"/>
      <c r="K619" s="30"/>
    </row>
    <row r="620" spans="4:11" x14ac:dyDescent="0.25">
      <c r="D620" s="34"/>
      <c r="F620" s="30"/>
      <c r="K620" s="30"/>
    </row>
    <row r="621" spans="4:11" x14ac:dyDescent="0.25">
      <c r="D621" s="34"/>
      <c r="F621" s="30"/>
      <c r="K621" s="30"/>
    </row>
    <row r="622" spans="4:11" x14ac:dyDescent="0.25">
      <c r="D622" s="34"/>
      <c r="F622" s="30"/>
      <c r="K622" s="30"/>
    </row>
    <row r="623" spans="4:11" x14ac:dyDescent="0.25">
      <c r="D623" s="34"/>
      <c r="F623" s="30"/>
      <c r="K623" s="30"/>
    </row>
    <row r="624" spans="4:11" x14ac:dyDescent="0.25">
      <c r="D624" s="34"/>
      <c r="F624" s="30"/>
      <c r="K624" s="30"/>
    </row>
    <row r="625" spans="4:11" x14ac:dyDescent="0.25">
      <c r="D625" s="34"/>
      <c r="F625" s="30"/>
      <c r="K625" s="30"/>
    </row>
    <row r="626" spans="4:11" x14ac:dyDescent="0.25">
      <c r="D626" s="34"/>
      <c r="F626" s="30"/>
      <c r="K626" s="30"/>
    </row>
    <row r="627" spans="4:11" x14ac:dyDescent="0.25">
      <c r="D627" s="34"/>
      <c r="F627" s="30"/>
      <c r="K627" s="30"/>
    </row>
    <row r="628" spans="4:11" x14ac:dyDescent="0.25">
      <c r="D628" s="34"/>
      <c r="F628" s="30"/>
      <c r="K628" s="30"/>
    </row>
    <row r="629" spans="4:11" x14ac:dyDescent="0.25">
      <c r="D629" s="34"/>
      <c r="F629" s="30"/>
      <c r="K629" s="30"/>
    </row>
    <row r="630" spans="4:11" x14ac:dyDescent="0.25">
      <c r="D630" s="34"/>
      <c r="F630" s="30"/>
      <c r="K630" s="30"/>
    </row>
    <row r="631" spans="4:11" x14ac:dyDescent="0.25">
      <c r="D631" s="34"/>
      <c r="F631" s="30"/>
      <c r="K631" s="30"/>
    </row>
    <row r="632" spans="4:11" x14ac:dyDescent="0.25">
      <c r="D632" s="34"/>
      <c r="F632" s="30"/>
      <c r="K632" s="30"/>
    </row>
  </sheetData>
  <autoFilter ref="A2:R327"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4"/>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K30" sqref="K3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SUBTOTAL(9,D3:D998)</f>
        <v>5540381.379999999</v>
      </c>
      <c r="E1" s="1"/>
      <c r="R1" s="3">
        <v>46111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x14ac:dyDescent="0.25">
      <c r="A3">
        <v>4222</v>
      </c>
      <c r="B3" t="s">
        <v>907</v>
      </c>
      <c r="C3" t="s">
        <v>31</v>
      </c>
      <c r="D3" s="34">
        <v>58715.6</v>
      </c>
      <c r="E3">
        <v>1246268732</v>
      </c>
      <c r="F3" s="30">
        <v>46122</v>
      </c>
      <c r="G3" s="30"/>
      <c r="I3" t="s">
        <v>373</v>
      </c>
      <c r="J3">
        <v>2836</v>
      </c>
      <c r="K3" s="30">
        <v>46105</v>
      </c>
      <c r="L3">
        <v>1010200</v>
      </c>
      <c r="M3" t="s">
        <v>125</v>
      </c>
      <c r="N3">
        <v>40</v>
      </c>
      <c r="O3" t="s">
        <v>171</v>
      </c>
      <c r="P3" t="s">
        <v>907</v>
      </c>
      <c r="Q3">
        <f t="shared" ref="Q3:Q39" si="0">$R$1-F3</f>
        <v>-11</v>
      </c>
      <c r="R3" t="str">
        <f>_xlfn.XLOOKUP(P3,'Painel International'!$B:$B,'Painel International'!$B:$B,0)</f>
        <v>MIP - COLOMBIA</v>
      </c>
    </row>
    <row r="4" spans="1:18" x14ac:dyDescent="0.25">
      <c r="A4">
        <v>2680</v>
      </c>
      <c r="B4" t="s">
        <v>355</v>
      </c>
      <c r="C4" t="s">
        <v>31</v>
      </c>
      <c r="D4" s="34">
        <v>224812.61</v>
      </c>
      <c r="E4">
        <v>1246263810</v>
      </c>
      <c r="F4" s="30">
        <v>46129</v>
      </c>
      <c r="G4" s="30"/>
      <c r="H4" t="s">
        <v>28</v>
      </c>
      <c r="I4" t="s">
        <v>29</v>
      </c>
      <c r="J4">
        <v>2743</v>
      </c>
      <c r="K4" s="30">
        <v>46069</v>
      </c>
      <c r="L4">
        <v>1010200</v>
      </c>
      <c r="M4" t="s">
        <v>125</v>
      </c>
      <c r="N4">
        <v>40</v>
      </c>
      <c r="O4" t="s">
        <v>171</v>
      </c>
      <c r="P4" t="s">
        <v>355</v>
      </c>
      <c r="Q4">
        <f t="shared" si="0"/>
        <v>-18</v>
      </c>
      <c r="R4" t="str">
        <f>_xlfn.XLOOKUP(P4,'Painel International'!$B:$B,'Painel International'!$B:$B,0)</f>
        <v>FERMAGRI S.A - EQUADOR</v>
      </c>
    </row>
    <row r="5" spans="1:18" x14ac:dyDescent="0.25">
      <c r="A5">
        <v>2696</v>
      </c>
      <c r="B5" t="s">
        <v>131</v>
      </c>
      <c r="C5" t="s">
        <v>31</v>
      </c>
      <c r="D5" s="34">
        <v>119098.19</v>
      </c>
      <c r="E5">
        <v>1246265986</v>
      </c>
      <c r="F5" s="30">
        <v>46143</v>
      </c>
      <c r="G5" s="30"/>
      <c r="H5" t="s">
        <v>28</v>
      </c>
      <c r="I5" t="s">
        <v>29</v>
      </c>
      <c r="J5">
        <v>10797</v>
      </c>
      <c r="K5" s="30">
        <v>46083</v>
      </c>
      <c r="L5">
        <v>1010200</v>
      </c>
      <c r="M5" t="s">
        <v>125</v>
      </c>
      <c r="N5">
        <v>40</v>
      </c>
      <c r="O5" t="s">
        <v>171</v>
      </c>
      <c r="P5" t="s">
        <v>131</v>
      </c>
      <c r="Q5">
        <f t="shared" si="0"/>
        <v>-32</v>
      </c>
      <c r="R5" t="str">
        <f>_xlfn.XLOOKUP(P5,'Painel International'!$B:$B,'Painel International'!$B:$B,0)</f>
        <v>MOSAIC FERTILIZANTES PARAGUAY S.R.L.</v>
      </c>
    </row>
    <row r="6" spans="1:18" x14ac:dyDescent="0.25">
      <c r="A6">
        <v>2696</v>
      </c>
      <c r="B6" t="s">
        <v>131</v>
      </c>
      <c r="C6" t="s">
        <v>31</v>
      </c>
      <c r="D6" s="34">
        <v>94619.53</v>
      </c>
      <c r="E6">
        <v>1246262122</v>
      </c>
      <c r="F6" s="30">
        <v>46116</v>
      </c>
      <c r="G6" s="30"/>
      <c r="H6" t="s">
        <v>28</v>
      </c>
      <c r="I6" t="s">
        <v>29</v>
      </c>
      <c r="J6">
        <v>10630</v>
      </c>
      <c r="K6" s="30">
        <v>46056</v>
      </c>
      <c r="L6">
        <v>1010200</v>
      </c>
      <c r="M6" t="s">
        <v>125</v>
      </c>
      <c r="N6">
        <v>40</v>
      </c>
      <c r="O6" t="s">
        <v>171</v>
      </c>
      <c r="P6" t="s">
        <v>131</v>
      </c>
      <c r="Q6">
        <f t="shared" si="0"/>
        <v>-5</v>
      </c>
      <c r="R6" t="str">
        <f>_xlfn.XLOOKUP(P6,'Painel International'!$B:$B,'Painel International'!$B:$B,0)</f>
        <v>MOSAIC FERTILIZANTES PARAGUAY S.R.L.</v>
      </c>
    </row>
    <row r="7" spans="1:18" x14ac:dyDescent="0.25">
      <c r="A7">
        <v>2346</v>
      </c>
      <c r="B7" t="s">
        <v>535</v>
      </c>
      <c r="C7" t="s">
        <v>812</v>
      </c>
      <c r="D7" s="34">
        <v>103419.88999999998</v>
      </c>
      <c r="E7">
        <v>1246265843</v>
      </c>
      <c r="F7" s="30">
        <v>46170</v>
      </c>
      <c r="G7" s="30"/>
      <c r="H7" t="s">
        <v>28</v>
      </c>
      <c r="I7" t="s">
        <v>29</v>
      </c>
      <c r="J7">
        <v>2789</v>
      </c>
      <c r="K7" s="30">
        <v>46080</v>
      </c>
      <c r="L7">
        <v>1010200</v>
      </c>
      <c r="M7" t="s">
        <v>125</v>
      </c>
      <c r="N7">
        <v>40</v>
      </c>
      <c r="O7" t="s">
        <v>171</v>
      </c>
      <c r="P7" t="s">
        <v>535</v>
      </c>
      <c r="Q7">
        <f t="shared" si="0"/>
        <v>-59</v>
      </c>
      <c r="R7" t="str">
        <f>_xlfn.XLOOKUP(P7,'Painel International'!$B:$B,'Painel International'!$B:$B,0)</f>
        <v>TEPEYAC - MÉXICO</v>
      </c>
    </row>
    <row r="8" spans="1:18" x14ac:dyDescent="0.25">
      <c r="A8">
        <v>2651</v>
      </c>
      <c r="B8" t="s">
        <v>128</v>
      </c>
      <c r="C8" t="s">
        <v>31</v>
      </c>
      <c r="D8" s="34">
        <v>252226.12</v>
      </c>
      <c r="E8">
        <v>1246223341</v>
      </c>
      <c r="F8" s="30">
        <v>45935</v>
      </c>
      <c r="G8" s="30"/>
      <c r="H8" t="s">
        <v>28</v>
      </c>
      <c r="I8" t="s">
        <v>29</v>
      </c>
      <c r="J8">
        <v>8388</v>
      </c>
      <c r="K8" s="30">
        <v>45845</v>
      </c>
      <c r="L8">
        <v>1010200</v>
      </c>
      <c r="M8" t="s">
        <v>125</v>
      </c>
      <c r="N8">
        <v>40</v>
      </c>
      <c r="O8" t="s">
        <v>171</v>
      </c>
      <c r="P8" t="s">
        <v>128</v>
      </c>
      <c r="Q8">
        <f t="shared" si="0"/>
        <v>176</v>
      </c>
      <c r="R8" t="str">
        <f>_xlfn.XLOOKUP(P8,'Painel International'!$B:$B,'Painel International'!$B:$B,0)</f>
        <v>AGROBROKERS - COLÔMBIA</v>
      </c>
    </row>
    <row r="9" spans="1:18" x14ac:dyDescent="0.25">
      <c r="A9">
        <v>2651</v>
      </c>
      <c r="B9" t="s">
        <v>128</v>
      </c>
      <c r="C9" t="s">
        <v>31</v>
      </c>
      <c r="D9" s="34">
        <v>197281.56999999998</v>
      </c>
      <c r="E9">
        <v>1246213269</v>
      </c>
      <c r="F9" s="30">
        <v>45849</v>
      </c>
      <c r="G9" s="30"/>
      <c r="H9" t="s">
        <v>28</v>
      </c>
      <c r="I9" t="s">
        <v>29</v>
      </c>
      <c r="J9">
        <v>1965</v>
      </c>
      <c r="K9" s="30">
        <v>45789</v>
      </c>
      <c r="L9">
        <v>1010200</v>
      </c>
      <c r="M9" t="s">
        <v>125</v>
      </c>
      <c r="N9">
        <v>40</v>
      </c>
      <c r="O9" t="s">
        <v>171</v>
      </c>
      <c r="P9" t="s">
        <v>128</v>
      </c>
      <c r="Q9">
        <f t="shared" si="0"/>
        <v>262</v>
      </c>
      <c r="R9" t="str">
        <f>_xlfn.XLOOKUP(P9,'Painel International'!$B:$B,'Painel International'!$B:$B,0)</f>
        <v>AGROBROKERS - COLÔMBIA</v>
      </c>
    </row>
    <row r="10" spans="1:18" x14ac:dyDescent="0.25">
      <c r="A10">
        <v>2287</v>
      </c>
      <c r="B10" t="s">
        <v>126</v>
      </c>
      <c r="C10" t="s">
        <v>127</v>
      </c>
      <c r="D10" s="34">
        <v>157607.13</v>
      </c>
      <c r="E10">
        <v>1246268026</v>
      </c>
      <c r="F10" s="30">
        <v>46128</v>
      </c>
      <c r="G10" s="30"/>
      <c r="H10" t="s">
        <v>28</v>
      </c>
      <c r="I10" t="s">
        <v>29</v>
      </c>
      <c r="J10">
        <v>10909</v>
      </c>
      <c r="K10" s="30">
        <v>46098</v>
      </c>
      <c r="L10">
        <v>1010200</v>
      </c>
      <c r="M10" t="s">
        <v>125</v>
      </c>
      <c r="N10">
        <v>40</v>
      </c>
      <c r="O10" t="s">
        <v>171</v>
      </c>
      <c r="P10" t="s">
        <v>126</v>
      </c>
      <c r="Q10">
        <f t="shared" si="0"/>
        <v>-17</v>
      </c>
      <c r="R10" t="str">
        <f>_xlfn.XLOOKUP(P10,'Painel International'!$B:$B,'Painel International'!$B:$B,0)</f>
        <v>BUNGE PARAGUAY S.A</v>
      </c>
    </row>
    <row r="11" spans="1:18" x14ac:dyDescent="0.25">
      <c r="A11">
        <v>2655</v>
      </c>
      <c r="B11" t="s">
        <v>360</v>
      </c>
      <c r="C11" t="s">
        <v>31</v>
      </c>
      <c r="D11" s="34">
        <v>40017.64</v>
      </c>
      <c r="E11">
        <v>1246268741</v>
      </c>
      <c r="F11" s="30">
        <v>46165</v>
      </c>
      <c r="G11" s="30"/>
      <c r="H11" t="s">
        <v>28</v>
      </c>
      <c r="I11" t="s">
        <v>29</v>
      </c>
      <c r="J11">
        <v>10964</v>
      </c>
      <c r="K11" s="30">
        <v>46105</v>
      </c>
      <c r="L11">
        <v>1010200</v>
      </c>
      <c r="M11" t="s">
        <v>125</v>
      </c>
      <c r="N11">
        <v>40</v>
      </c>
      <c r="O11" t="s">
        <v>171</v>
      </c>
      <c r="P11" t="s">
        <v>360</v>
      </c>
      <c r="Q11">
        <f t="shared" si="0"/>
        <v>-54</v>
      </c>
      <c r="R11" t="str">
        <f>_xlfn.XLOOKUP(P11,'Painel International'!$B:$B,'Painel International'!$B:$B,0)</f>
        <v>EQUILIBRA PERU S.A</v>
      </c>
    </row>
    <row r="12" spans="1:18" x14ac:dyDescent="0.25">
      <c r="A12">
        <v>2656</v>
      </c>
      <c r="B12" t="s">
        <v>130</v>
      </c>
      <c r="C12" t="s">
        <v>31</v>
      </c>
      <c r="D12" s="34">
        <v>145895</v>
      </c>
      <c r="E12">
        <v>1246267103</v>
      </c>
      <c r="F12" s="30">
        <v>46120</v>
      </c>
      <c r="G12" s="30"/>
      <c r="H12" t="s">
        <v>28</v>
      </c>
      <c r="I12" t="s">
        <v>29</v>
      </c>
      <c r="J12">
        <v>10850</v>
      </c>
      <c r="K12" s="30">
        <v>46090</v>
      </c>
      <c r="L12">
        <v>1010200</v>
      </c>
      <c r="M12" t="s">
        <v>125</v>
      </c>
      <c r="N12">
        <v>40</v>
      </c>
      <c r="O12" t="s">
        <v>171</v>
      </c>
      <c r="P12" t="s">
        <v>130</v>
      </c>
      <c r="Q12">
        <f t="shared" si="0"/>
        <v>-9</v>
      </c>
      <c r="R12" t="str">
        <f>_xlfn.XLOOKUP(P12,'Painel International'!$B:$B,'Painel International'!$B:$B,0)</f>
        <v>ISUSA - URUGUAI</v>
      </c>
    </row>
    <row r="13" spans="1:18" x14ac:dyDescent="0.25">
      <c r="A13">
        <v>6370</v>
      </c>
      <c r="B13" t="s">
        <v>295</v>
      </c>
      <c r="C13" t="s">
        <v>32</v>
      </c>
      <c r="D13" s="34">
        <v>180607.46</v>
      </c>
      <c r="E13">
        <v>1246267940</v>
      </c>
      <c r="F13" s="30">
        <v>46127</v>
      </c>
      <c r="G13" s="30"/>
      <c r="H13" t="s">
        <v>28</v>
      </c>
      <c r="I13" t="s">
        <v>29</v>
      </c>
      <c r="J13">
        <v>10898</v>
      </c>
      <c r="K13" s="30">
        <v>46097</v>
      </c>
      <c r="L13">
        <v>1010200</v>
      </c>
      <c r="M13" t="s">
        <v>125</v>
      </c>
      <c r="N13">
        <v>40</v>
      </c>
      <c r="O13" t="s">
        <v>171</v>
      </c>
      <c r="P13" t="s">
        <v>295</v>
      </c>
      <c r="Q13">
        <f t="shared" si="0"/>
        <v>-16</v>
      </c>
      <c r="R13" t="str">
        <f>_xlfn.XLOOKUP(P13,'Painel International'!$B:$B,'Painel International'!$B:$B,0)</f>
        <v>YTL S.A. - PARAGUAI</v>
      </c>
    </row>
    <row r="14" spans="1:18" x14ac:dyDescent="0.25">
      <c r="A14">
        <v>6370</v>
      </c>
      <c r="B14" t="s">
        <v>295</v>
      </c>
      <c r="C14" t="s">
        <v>32</v>
      </c>
      <c r="D14" s="34">
        <v>149433.42000000001</v>
      </c>
      <c r="E14">
        <v>1246265943</v>
      </c>
      <c r="F14" s="30">
        <v>46113</v>
      </c>
      <c r="G14" s="30"/>
      <c r="H14" t="s">
        <v>28</v>
      </c>
      <c r="I14" t="s">
        <v>29</v>
      </c>
      <c r="J14">
        <v>10796</v>
      </c>
      <c r="K14" s="30">
        <v>46083</v>
      </c>
      <c r="L14">
        <v>1010200</v>
      </c>
      <c r="M14" t="s">
        <v>125</v>
      </c>
      <c r="N14">
        <v>40</v>
      </c>
      <c r="O14" t="s">
        <v>171</v>
      </c>
      <c r="P14" t="s">
        <v>295</v>
      </c>
      <c r="Q14">
        <f t="shared" si="0"/>
        <v>-2</v>
      </c>
      <c r="R14" t="str">
        <f>_xlfn.XLOOKUP(P14,'Painel International'!$B:$B,'Painel International'!$B:$B,0)</f>
        <v>YTL S.A. - PARAGUAI</v>
      </c>
    </row>
    <row r="15" spans="1:18" x14ac:dyDescent="0.25">
      <c r="A15">
        <v>6370</v>
      </c>
      <c r="B15" t="s">
        <v>295</v>
      </c>
      <c r="C15" t="s">
        <v>32</v>
      </c>
      <c r="D15" s="34">
        <v>180350.34</v>
      </c>
      <c r="E15">
        <v>1246268448</v>
      </c>
      <c r="F15" s="30">
        <v>46130</v>
      </c>
      <c r="G15" s="30"/>
      <c r="H15" t="s">
        <v>28</v>
      </c>
      <c r="I15" t="s">
        <v>29</v>
      </c>
      <c r="J15">
        <v>10933</v>
      </c>
      <c r="K15" s="30">
        <v>46100</v>
      </c>
      <c r="L15">
        <v>1010200</v>
      </c>
      <c r="M15" t="s">
        <v>125</v>
      </c>
      <c r="N15">
        <v>40</v>
      </c>
      <c r="O15" t="s">
        <v>171</v>
      </c>
      <c r="P15" t="s">
        <v>295</v>
      </c>
      <c r="Q15">
        <f t="shared" si="0"/>
        <v>-19</v>
      </c>
      <c r="R15" t="str">
        <f>_xlfn.XLOOKUP(P15,'Painel International'!$B:$B,'Painel International'!$B:$B,0)</f>
        <v>YTL S.A. - PARAGUAI</v>
      </c>
    </row>
    <row r="16" spans="1:18" x14ac:dyDescent="0.25">
      <c r="A16">
        <v>9295</v>
      </c>
      <c r="B16" t="s">
        <v>382</v>
      </c>
      <c r="C16" t="s">
        <v>127</v>
      </c>
      <c r="D16" s="34">
        <v>132178.28</v>
      </c>
      <c r="E16">
        <v>1246267425</v>
      </c>
      <c r="F16" s="30">
        <v>46122</v>
      </c>
      <c r="G16" s="30"/>
      <c r="H16" t="s">
        <v>28</v>
      </c>
      <c r="I16" t="s">
        <v>29</v>
      </c>
      <c r="J16">
        <v>10864</v>
      </c>
      <c r="K16" s="30">
        <v>46092</v>
      </c>
      <c r="L16">
        <v>1010200</v>
      </c>
      <c r="M16" t="s">
        <v>125</v>
      </c>
      <c r="N16">
        <v>40</v>
      </c>
      <c r="O16" t="s">
        <v>171</v>
      </c>
      <c r="P16" t="s">
        <v>382</v>
      </c>
      <c r="Q16">
        <f t="shared" si="0"/>
        <v>-11</v>
      </c>
      <c r="R16" t="str">
        <f>_xlfn.XLOOKUP(P16,'Painel International'!$B:$B,'Painel International'!$B:$B,0)</f>
        <v>TECNOMYL S.A. - PARAGUAY</v>
      </c>
    </row>
    <row r="17" spans="1:18" x14ac:dyDescent="0.25">
      <c r="A17">
        <v>9355</v>
      </c>
      <c r="B17" t="s">
        <v>337</v>
      </c>
      <c r="C17" t="s">
        <v>31</v>
      </c>
      <c r="D17" s="34">
        <v>604265.81999999983</v>
      </c>
      <c r="E17">
        <v>1246264749</v>
      </c>
      <c r="F17" s="30">
        <v>46177</v>
      </c>
      <c r="G17" s="30"/>
      <c r="H17" t="s">
        <v>28</v>
      </c>
      <c r="I17" t="s">
        <v>29</v>
      </c>
      <c r="J17">
        <v>2768</v>
      </c>
      <c r="K17" s="30">
        <v>46077</v>
      </c>
      <c r="L17">
        <v>1010200</v>
      </c>
      <c r="M17" t="s">
        <v>125</v>
      </c>
      <c r="N17">
        <v>40</v>
      </c>
      <c r="O17" t="s">
        <v>171</v>
      </c>
      <c r="P17" t="s">
        <v>337</v>
      </c>
      <c r="Q17">
        <f t="shared" si="0"/>
        <v>-66</v>
      </c>
      <c r="R17" t="str">
        <f>_xlfn.XLOOKUP(P17,'Painel International'!$B:$B,'Painel International'!$B:$B,0)</f>
        <v>NITROFERT SAS - COLOMBIA</v>
      </c>
    </row>
    <row r="18" spans="1:18" x14ac:dyDescent="0.25">
      <c r="A18">
        <v>9355</v>
      </c>
      <c r="B18" t="s">
        <v>337</v>
      </c>
      <c r="C18" t="s">
        <v>31</v>
      </c>
      <c r="D18" s="34">
        <v>1191855.2599999998</v>
      </c>
      <c r="E18">
        <v>1246265046</v>
      </c>
      <c r="F18" s="30">
        <v>46180</v>
      </c>
      <c r="G18" s="30"/>
      <c r="H18" t="s">
        <v>28</v>
      </c>
      <c r="I18" t="s">
        <v>29</v>
      </c>
      <c r="J18">
        <v>10762</v>
      </c>
      <c r="K18" s="30">
        <v>46078</v>
      </c>
      <c r="L18">
        <v>1010200</v>
      </c>
      <c r="M18" t="s">
        <v>125</v>
      </c>
      <c r="N18">
        <v>40</v>
      </c>
      <c r="O18" t="s">
        <v>171</v>
      </c>
      <c r="P18" t="s">
        <v>337</v>
      </c>
      <c r="Q18">
        <f t="shared" si="0"/>
        <v>-69</v>
      </c>
      <c r="R18" t="str">
        <f>_xlfn.XLOOKUP(P18,'Painel International'!$B:$B,'Painel International'!$B:$B,0)</f>
        <v>NITROFERT SAS - COLOMBIA</v>
      </c>
    </row>
    <row r="19" spans="1:18" x14ac:dyDescent="0.25">
      <c r="A19">
        <v>9355</v>
      </c>
      <c r="B19" t="s">
        <v>337</v>
      </c>
      <c r="C19" t="s">
        <v>31</v>
      </c>
      <c r="D19" s="34">
        <v>292178.84000000003</v>
      </c>
      <c r="E19">
        <v>1246264769</v>
      </c>
      <c r="F19" s="30">
        <v>46180</v>
      </c>
      <c r="G19" s="30"/>
      <c r="H19" t="s">
        <v>28</v>
      </c>
      <c r="I19" t="s">
        <v>29</v>
      </c>
      <c r="J19">
        <v>10753</v>
      </c>
      <c r="K19" s="30">
        <v>46077</v>
      </c>
      <c r="L19">
        <v>1010200</v>
      </c>
      <c r="M19" t="s">
        <v>125</v>
      </c>
      <c r="N19">
        <v>40</v>
      </c>
      <c r="O19" t="s">
        <v>171</v>
      </c>
      <c r="P19" t="s">
        <v>337</v>
      </c>
      <c r="Q19">
        <f t="shared" si="0"/>
        <v>-69</v>
      </c>
      <c r="R19" t="str">
        <f>_xlfn.XLOOKUP(P19,'Painel International'!$B:$B,'Painel International'!$B:$B,0)</f>
        <v>NITROFERT SAS - COLOMBIA</v>
      </c>
    </row>
    <row r="20" spans="1:18" x14ac:dyDescent="0.25">
      <c r="A20">
        <v>9355</v>
      </c>
      <c r="B20" t="s">
        <v>337</v>
      </c>
      <c r="C20" t="s">
        <v>31</v>
      </c>
      <c r="D20" s="34">
        <v>1191855.2599999998</v>
      </c>
      <c r="E20">
        <v>1246265200</v>
      </c>
      <c r="F20" s="30">
        <v>46177</v>
      </c>
      <c r="G20" s="30"/>
      <c r="H20" t="s">
        <v>28</v>
      </c>
      <c r="I20" t="s">
        <v>29</v>
      </c>
      <c r="J20">
        <v>2778</v>
      </c>
      <c r="K20" s="30">
        <v>46078</v>
      </c>
      <c r="L20">
        <v>1010200</v>
      </c>
      <c r="M20" t="s">
        <v>125</v>
      </c>
      <c r="N20">
        <v>40</v>
      </c>
      <c r="O20" t="s">
        <v>171</v>
      </c>
      <c r="P20" t="s">
        <v>337</v>
      </c>
      <c r="Q20">
        <f t="shared" si="0"/>
        <v>-66</v>
      </c>
      <c r="R20" t="str">
        <f>_xlfn.XLOOKUP(P20,'Painel International'!$B:$B,'Painel International'!$B:$B,0)</f>
        <v>NITROFERT SAS - COLOMBIA</v>
      </c>
    </row>
    <row r="21" spans="1:18" x14ac:dyDescent="0.25">
      <c r="A21">
        <v>11768</v>
      </c>
      <c r="B21" t="s">
        <v>305</v>
      </c>
      <c r="C21" t="s">
        <v>31</v>
      </c>
      <c r="D21" s="34">
        <v>86689.1</v>
      </c>
      <c r="E21">
        <v>1246264534</v>
      </c>
      <c r="F21" s="30">
        <v>46136</v>
      </c>
      <c r="G21" s="30"/>
      <c r="H21" t="s">
        <v>28</v>
      </c>
      <c r="I21" t="s">
        <v>29</v>
      </c>
      <c r="J21">
        <v>10744</v>
      </c>
      <c r="K21" s="30">
        <v>46076</v>
      </c>
      <c r="L21">
        <v>1010200</v>
      </c>
      <c r="M21" t="s">
        <v>125</v>
      </c>
      <c r="N21">
        <v>40</v>
      </c>
      <c r="O21" t="s">
        <v>171</v>
      </c>
      <c r="P21" t="s">
        <v>305</v>
      </c>
      <c r="Q21">
        <f t="shared" si="0"/>
        <v>-25</v>
      </c>
      <c r="R21" t="str">
        <f>_xlfn.XLOOKUP(P21,'Painel International'!$B:$B,'Painel International'!$B:$B,0)</f>
        <v>CERES PERU S.A</v>
      </c>
    </row>
    <row r="22" spans="1:18" x14ac:dyDescent="0.25">
      <c r="A22">
        <v>11770</v>
      </c>
      <c r="B22" t="s">
        <v>438</v>
      </c>
      <c r="C22" t="s">
        <v>31</v>
      </c>
      <c r="D22" s="34">
        <v>14548.35</v>
      </c>
      <c r="E22">
        <v>1246263524</v>
      </c>
      <c r="F22" s="30">
        <v>46039</v>
      </c>
      <c r="G22" s="30"/>
      <c r="H22" t="s">
        <v>28</v>
      </c>
      <c r="I22" t="s">
        <v>29</v>
      </c>
      <c r="J22">
        <v>9853</v>
      </c>
      <c r="K22" s="30">
        <v>45959</v>
      </c>
      <c r="L22">
        <v>1010200</v>
      </c>
      <c r="M22" t="s">
        <v>125</v>
      </c>
      <c r="N22">
        <v>40</v>
      </c>
      <c r="O22" t="s">
        <v>171</v>
      </c>
      <c r="P22" t="s">
        <v>438</v>
      </c>
      <c r="Q22">
        <f t="shared" si="0"/>
        <v>72</v>
      </c>
      <c r="R22" t="str">
        <f>_xlfn.XLOOKUP(P22,'Painel International'!$B:$B,'Painel International'!$B:$B,0)</f>
        <v>FERTIBAL - EQUADOR</v>
      </c>
    </row>
    <row r="23" spans="1:18" x14ac:dyDescent="0.25">
      <c r="A23">
        <v>11580</v>
      </c>
      <c r="B23" t="s">
        <v>492</v>
      </c>
      <c r="C23" t="s">
        <v>31</v>
      </c>
      <c r="D23" s="34">
        <v>76480.23</v>
      </c>
      <c r="E23">
        <v>1246268734</v>
      </c>
      <c r="F23" s="30">
        <v>46440</v>
      </c>
      <c r="G23" s="30"/>
      <c r="H23" t="s">
        <v>28</v>
      </c>
      <c r="I23" t="s">
        <v>29</v>
      </c>
      <c r="J23">
        <v>2837</v>
      </c>
      <c r="K23" s="30">
        <v>46105</v>
      </c>
      <c r="L23">
        <v>1010200</v>
      </c>
      <c r="M23" t="s">
        <v>125</v>
      </c>
      <c r="N23">
        <v>40</v>
      </c>
      <c r="O23" t="s">
        <v>171</v>
      </c>
      <c r="P23" t="s">
        <v>492</v>
      </c>
      <c r="Q23">
        <f t="shared" si="0"/>
        <v>-329</v>
      </c>
      <c r="R23" t="str">
        <f>_xlfn.XLOOKUP(P23,'Painel International'!$B:$B,'Painel International'!$B:$B,0)</f>
        <v>AGRO MIL AGROS SAS - COLOMBIA</v>
      </c>
    </row>
    <row r="24" spans="1:18" x14ac:dyDescent="0.25">
      <c r="A24">
        <v>13330</v>
      </c>
      <c r="B24" t="s">
        <v>679</v>
      </c>
      <c r="C24" t="s">
        <v>680</v>
      </c>
      <c r="D24" s="34">
        <v>527.28</v>
      </c>
      <c r="E24">
        <v>1246238356</v>
      </c>
      <c r="F24" s="30">
        <v>45927</v>
      </c>
      <c r="G24" s="30"/>
      <c r="I24" t="s">
        <v>373</v>
      </c>
      <c r="J24">
        <v>9092</v>
      </c>
      <c r="K24" s="30">
        <v>45897</v>
      </c>
      <c r="L24">
        <v>1010200</v>
      </c>
      <c r="M24" t="s">
        <v>125</v>
      </c>
      <c r="N24">
        <v>40</v>
      </c>
      <c r="O24" t="s">
        <v>171</v>
      </c>
      <c r="P24" t="s">
        <v>679</v>
      </c>
      <c r="Q24">
        <f t="shared" si="0"/>
        <v>184</v>
      </c>
      <c r="R24" t="str">
        <f>_xlfn.XLOOKUP(P24,'Painel International'!$B:$B,'Painel International'!$B:$B,0)</f>
        <v>ORGANITEC - PARAGUAY</v>
      </c>
    </row>
    <row r="25" spans="1:18" x14ac:dyDescent="0.25">
      <c r="A25">
        <v>15543</v>
      </c>
      <c r="B25" t="s">
        <v>853</v>
      </c>
      <c r="C25" t="s">
        <v>854</v>
      </c>
      <c r="D25" s="34">
        <v>45718.46</v>
      </c>
      <c r="E25">
        <v>1246264533</v>
      </c>
      <c r="F25" s="30">
        <v>46181</v>
      </c>
      <c r="G25" s="30"/>
      <c r="I25" t="s">
        <v>373</v>
      </c>
      <c r="J25">
        <v>10745</v>
      </c>
      <c r="K25" s="30">
        <v>46076</v>
      </c>
      <c r="L25">
        <v>1010200</v>
      </c>
      <c r="M25" t="s">
        <v>125</v>
      </c>
      <c r="N25">
        <v>40</v>
      </c>
      <c r="O25" t="s">
        <v>171</v>
      </c>
      <c r="P25" t="s">
        <v>853</v>
      </c>
      <c r="Q25">
        <f t="shared" si="0"/>
        <v>-70</v>
      </c>
      <c r="R25" t="str">
        <f>_xlfn.XLOOKUP(P25,'Painel International'!$B:$B,'Painel International'!$B:$B,0)</f>
        <v>GOTLAND EQUADOR (SOLINAG)</v>
      </c>
    </row>
    <row r="26" spans="1:18" x14ac:dyDescent="0.25">
      <c r="D26" s="34"/>
      <c r="F26" s="30"/>
      <c r="K26" s="30"/>
      <c r="Q26">
        <f t="shared" si="0"/>
        <v>46111</v>
      </c>
      <c r="R26">
        <f>_xlfn.XLOOKUP(P26,'Painel International'!$B:$B,'Painel International'!$B:$B,0)</f>
        <v>0</v>
      </c>
    </row>
    <row r="27" spans="1:18" x14ac:dyDescent="0.25">
      <c r="D27" s="34"/>
      <c r="F27" s="30"/>
      <c r="K27" s="30"/>
      <c r="Q27">
        <f t="shared" si="0"/>
        <v>46111</v>
      </c>
      <c r="R27">
        <f>_xlfn.XLOOKUP(P27,'Painel International'!$B:$B,'Painel International'!$B:$B,0)</f>
        <v>0</v>
      </c>
    </row>
    <row r="28" spans="1:18" x14ac:dyDescent="0.25">
      <c r="D28" s="34"/>
      <c r="F28" s="30"/>
      <c r="K28" s="30"/>
      <c r="Q28">
        <f t="shared" si="0"/>
        <v>46111</v>
      </c>
      <c r="R28">
        <f>_xlfn.XLOOKUP(P28,'Painel International'!$B:$B,'Painel International'!$B:$B,0)</f>
        <v>0</v>
      </c>
    </row>
    <row r="29" spans="1:18" x14ac:dyDescent="0.25">
      <c r="D29" s="34"/>
      <c r="F29" s="30"/>
      <c r="K29" s="30"/>
      <c r="Q29">
        <f t="shared" si="0"/>
        <v>46111</v>
      </c>
      <c r="R29">
        <f>_xlfn.XLOOKUP(P29,'Painel International'!$B:$B,'Painel International'!$B:$B,0)</f>
        <v>0</v>
      </c>
    </row>
    <row r="30" spans="1:18" x14ac:dyDescent="0.25">
      <c r="D30" s="34"/>
      <c r="F30" s="30"/>
      <c r="K30" s="30"/>
      <c r="Q30">
        <f t="shared" si="0"/>
        <v>46111</v>
      </c>
      <c r="R30">
        <f>_xlfn.XLOOKUP(P30,'Painel International'!$B:$B,'Painel International'!$B:$B,0)</f>
        <v>0</v>
      </c>
    </row>
    <row r="31" spans="1:18" x14ac:dyDescent="0.25">
      <c r="D31" s="34"/>
      <c r="F31" s="30"/>
      <c r="K31" s="30"/>
      <c r="Q31">
        <f t="shared" si="0"/>
        <v>46111</v>
      </c>
      <c r="R31">
        <f>_xlfn.XLOOKUP(P31,'Painel International'!$B:$B,'Painel International'!$B:$B,0)</f>
        <v>0</v>
      </c>
    </row>
    <row r="32" spans="1:18" x14ac:dyDescent="0.25">
      <c r="D32" s="34"/>
      <c r="F32" s="30"/>
      <c r="K32" s="30"/>
      <c r="Q32">
        <f t="shared" si="0"/>
        <v>46111</v>
      </c>
      <c r="R32">
        <f>_xlfn.XLOOKUP(P32,'Painel International'!$B:$B,'Painel International'!$B:$B,0)</f>
        <v>0</v>
      </c>
    </row>
    <row r="33" spans="4:18" x14ac:dyDescent="0.25">
      <c r="D33" s="34"/>
      <c r="F33" s="30"/>
      <c r="K33" s="30"/>
      <c r="Q33">
        <f t="shared" si="0"/>
        <v>46111</v>
      </c>
      <c r="R33">
        <f>_xlfn.XLOOKUP(P33,'Painel International'!$B:$B,'Painel International'!$B:$B,0)</f>
        <v>0</v>
      </c>
    </row>
    <row r="34" spans="4:18" x14ac:dyDescent="0.25">
      <c r="D34" s="34"/>
      <c r="F34" s="30"/>
      <c r="K34" s="30"/>
      <c r="Q34">
        <f t="shared" si="0"/>
        <v>46111</v>
      </c>
      <c r="R34">
        <f>_xlfn.XLOOKUP(P34,'Painel International'!$B:$B,'Painel International'!$B:$B,0)</f>
        <v>0</v>
      </c>
    </row>
    <row r="35" spans="4:18" x14ac:dyDescent="0.25">
      <c r="D35" s="34"/>
      <c r="F35" s="30"/>
      <c r="K35" s="30"/>
      <c r="Q35">
        <f t="shared" si="0"/>
        <v>46111</v>
      </c>
      <c r="R35">
        <f>_xlfn.XLOOKUP(P35,'Painel International'!$B:$B,'Painel International'!$B:$B,0)</f>
        <v>0</v>
      </c>
    </row>
    <row r="36" spans="4:18" x14ac:dyDescent="0.25">
      <c r="D36" s="34"/>
      <c r="F36" s="30"/>
      <c r="K36" s="30"/>
      <c r="Q36">
        <f t="shared" si="0"/>
        <v>46111</v>
      </c>
      <c r="R36">
        <f>_xlfn.XLOOKUP(P36,'Painel International'!$B:$B,'Painel International'!$B:$B,0)</f>
        <v>0</v>
      </c>
    </row>
    <row r="37" spans="4:18" x14ac:dyDescent="0.25">
      <c r="D37" s="34"/>
      <c r="F37" s="30"/>
      <c r="K37" s="30"/>
      <c r="Q37">
        <f t="shared" si="0"/>
        <v>46111</v>
      </c>
      <c r="R37">
        <f>_xlfn.XLOOKUP(P37,'Painel International'!$B:$B,'Painel International'!$B:$B,0)</f>
        <v>0</v>
      </c>
    </row>
    <row r="38" spans="4:18" x14ac:dyDescent="0.25">
      <c r="D38" s="34"/>
      <c r="F38" s="30"/>
      <c r="K38" s="30"/>
      <c r="Q38">
        <f t="shared" si="0"/>
        <v>46111</v>
      </c>
      <c r="R38">
        <f>_xlfn.XLOOKUP(P38,'Painel International'!$B:$B,'Painel International'!$B:$B,0)</f>
        <v>0</v>
      </c>
    </row>
    <row r="39" spans="4:18" x14ac:dyDescent="0.25">
      <c r="D39" s="34"/>
      <c r="F39" s="30"/>
      <c r="K39" s="30"/>
      <c r="Q39">
        <f t="shared" si="0"/>
        <v>46111</v>
      </c>
      <c r="R39">
        <f>_xlfn.XLOOKUP(P39,'Painel International'!$B:$B,'Painel International'!$B:$B,0)</f>
        <v>0</v>
      </c>
    </row>
    <row r="40" spans="4:18" x14ac:dyDescent="0.25">
      <c r="D40" s="34"/>
      <c r="F40" s="30"/>
      <c r="K40" s="30"/>
      <c r="Q40">
        <f t="shared" ref="Q40" si="1">$R$1-F40</f>
        <v>46111</v>
      </c>
      <c r="R40">
        <f>_xlfn.XLOOKUP(P40,'Painel International'!$B:$B,'Painel International'!$B:$B,0)</f>
        <v>0</v>
      </c>
    </row>
    <row r="41" spans="4:18" x14ac:dyDescent="0.25">
      <c r="D41" s="34"/>
      <c r="F41" s="30"/>
      <c r="K41" s="30"/>
      <c r="Q41">
        <f t="shared" ref="Q41" si="2">$R$1-F41</f>
        <v>46111</v>
      </c>
      <c r="R41">
        <f>_xlfn.XLOOKUP(P41,'Painel International'!$B:$B,'Painel International'!$B:$B,0)</f>
        <v>0</v>
      </c>
    </row>
    <row r="42" spans="4:18" x14ac:dyDescent="0.25">
      <c r="D42" s="34"/>
      <c r="F42" s="30"/>
      <c r="K42" s="30"/>
      <c r="Q42">
        <f>$R$1-F42</f>
        <v>46111</v>
      </c>
      <c r="R42">
        <f>_xlfn.XLOOKUP(P42,'Painel International'!$B:$B,'Painel International'!$B:$B,0)</f>
        <v>0</v>
      </c>
    </row>
    <row r="43" spans="4:18" x14ac:dyDescent="0.25">
      <c r="D43" s="34"/>
      <c r="F43" s="30"/>
      <c r="K43" s="30"/>
      <c r="Q43">
        <f t="shared" ref="Q43:Q44" si="3">$R$1-F43</f>
        <v>46111</v>
      </c>
      <c r="R43">
        <f>_xlfn.XLOOKUP(P43,'Painel International'!$B:$B,'Painel International'!$B:$B,0)</f>
        <v>0</v>
      </c>
    </row>
    <row r="44" spans="4:18" x14ac:dyDescent="0.25">
      <c r="D44" s="34"/>
      <c r="F44" s="30"/>
      <c r="K44" s="30"/>
      <c r="Q44">
        <f t="shared" si="3"/>
        <v>46111</v>
      </c>
      <c r="R44">
        <f>_xlfn.XLOOKUP(P44,'Painel International'!$B:$B,'Painel International'!$B:$B,0)</f>
        <v>0</v>
      </c>
    </row>
  </sheetData>
  <autoFilter ref="A2:S44"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A3" sqref="A3:P298"/>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30275712.02</v>
      </c>
      <c r="E1" s="35"/>
      <c r="F1" s="35"/>
      <c r="G1" s="35"/>
      <c r="R1" s="3">
        <v>46111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409</v>
      </c>
      <c r="Q2" s="4" t="s">
        <v>5</v>
      </c>
    </row>
    <row r="3" spans="1:18" x14ac:dyDescent="0.25">
      <c r="A3">
        <v>9824</v>
      </c>
      <c r="B3" t="s">
        <v>728</v>
      </c>
      <c r="C3" t="s">
        <v>190</v>
      </c>
      <c r="D3" s="34">
        <v>69971.199999999997</v>
      </c>
      <c r="E3">
        <v>1246154720</v>
      </c>
      <c r="F3" s="30">
        <v>45738</v>
      </c>
      <c r="G3" s="30"/>
      <c r="H3" t="s">
        <v>173</v>
      </c>
      <c r="I3" t="s">
        <v>174</v>
      </c>
      <c r="J3">
        <v>4113</v>
      </c>
      <c r="K3" s="30">
        <v>45475</v>
      </c>
      <c r="L3">
        <v>1010100</v>
      </c>
      <c r="M3" t="s">
        <v>35</v>
      </c>
      <c r="N3">
        <v>161</v>
      </c>
      <c r="O3" t="s">
        <v>161</v>
      </c>
      <c r="P3" t="s">
        <v>427</v>
      </c>
      <c r="Q3">
        <f t="shared" ref="Q3:Q65" si="0">$R$1-F3</f>
        <v>373</v>
      </c>
      <c r="R3" t="str">
        <f>_xlfn.XLOOKUP(P3,'Painel Fertilizers'!$B:$B,'Painel Fertilizers'!$B:$B,0)</f>
        <v>GRUPO TRIANGULO AGRO</v>
      </c>
    </row>
    <row r="4" spans="1:18" x14ac:dyDescent="0.25">
      <c r="A4">
        <v>9824</v>
      </c>
      <c r="B4" t="s">
        <v>728</v>
      </c>
      <c r="C4" t="s">
        <v>190</v>
      </c>
      <c r="D4" s="34">
        <v>60656</v>
      </c>
      <c r="E4">
        <v>1246154724</v>
      </c>
      <c r="F4" s="30">
        <v>45738</v>
      </c>
      <c r="G4" s="30"/>
      <c r="H4" t="s">
        <v>173</v>
      </c>
      <c r="I4" t="s">
        <v>174</v>
      </c>
      <c r="J4">
        <v>4114</v>
      </c>
      <c r="K4" s="30">
        <v>45475</v>
      </c>
      <c r="L4">
        <v>1010100</v>
      </c>
      <c r="M4" t="s">
        <v>35</v>
      </c>
      <c r="N4">
        <v>161</v>
      </c>
      <c r="O4" t="s">
        <v>161</v>
      </c>
      <c r="P4" t="s">
        <v>427</v>
      </c>
      <c r="Q4">
        <f t="shared" si="0"/>
        <v>373</v>
      </c>
      <c r="R4" t="str">
        <f>_xlfn.XLOOKUP(P4,'Painel Fertilizers'!$B:$B,'Painel Fertilizers'!$B:$B,0)</f>
        <v>GRUPO TRIANGULO AGRO</v>
      </c>
    </row>
    <row r="5" spans="1:18" x14ac:dyDescent="0.25">
      <c r="A5">
        <v>10371</v>
      </c>
      <c r="B5" t="s">
        <v>255</v>
      </c>
      <c r="C5" t="s">
        <v>256</v>
      </c>
      <c r="D5" s="34">
        <v>56674.77</v>
      </c>
      <c r="E5">
        <v>1246161059</v>
      </c>
      <c r="F5" s="30">
        <v>45736</v>
      </c>
      <c r="G5" s="30"/>
      <c r="H5" t="s">
        <v>173</v>
      </c>
      <c r="I5" t="s">
        <v>174</v>
      </c>
      <c r="J5">
        <v>4516</v>
      </c>
      <c r="K5" s="30">
        <v>45502</v>
      </c>
      <c r="L5">
        <v>1010100</v>
      </c>
      <c r="M5" t="s">
        <v>35</v>
      </c>
      <c r="N5">
        <v>161</v>
      </c>
      <c r="O5" t="s">
        <v>161</v>
      </c>
      <c r="P5" t="s">
        <v>427</v>
      </c>
      <c r="Q5">
        <f t="shared" si="0"/>
        <v>375</v>
      </c>
      <c r="R5" t="str">
        <f>_xlfn.XLOOKUP(P5,'Painel Fertilizers'!$B:$B,'Painel Fertilizers'!$B:$B,0)</f>
        <v>GRUPO TRIANGULO AGRO</v>
      </c>
    </row>
    <row r="6" spans="1:18" x14ac:dyDescent="0.25">
      <c r="A6">
        <v>10371</v>
      </c>
      <c r="B6" t="s">
        <v>255</v>
      </c>
      <c r="C6" t="s">
        <v>256</v>
      </c>
      <c r="D6" s="34">
        <v>50007.15</v>
      </c>
      <c r="E6">
        <v>1246161057</v>
      </c>
      <c r="F6" s="30">
        <v>45736</v>
      </c>
      <c r="G6" s="30"/>
      <c r="H6" t="s">
        <v>173</v>
      </c>
      <c r="I6" t="s">
        <v>174</v>
      </c>
      <c r="J6">
        <v>4515</v>
      </c>
      <c r="K6" s="30">
        <v>45502</v>
      </c>
      <c r="L6">
        <v>1010100</v>
      </c>
      <c r="M6" t="s">
        <v>35</v>
      </c>
      <c r="N6">
        <v>161</v>
      </c>
      <c r="O6" t="s">
        <v>161</v>
      </c>
      <c r="P6" t="s">
        <v>427</v>
      </c>
      <c r="Q6">
        <f t="shared" si="0"/>
        <v>375</v>
      </c>
      <c r="R6" t="str">
        <f>_xlfn.XLOOKUP(P6,'Painel Fertilizers'!$B:$B,'Painel Fertilizers'!$B:$B,0)</f>
        <v>GRUPO TRIANGULO AGRO</v>
      </c>
    </row>
    <row r="7" spans="1:18" x14ac:dyDescent="0.25">
      <c r="A7">
        <v>11207</v>
      </c>
      <c r="B7" t="s">
        <v>729</v>
      </c>
      <c r="C7" t="s">
        <v>194</v>
      </c>
      <c r="D7" s="34">
        <v>153825.49</v>
      </c>
      <c r="E7">
        <v>1246067872</v>
      </c>
      <c r="F7" s="30">
        <v>45412</v>
      </c>
      <c r="G7" s="30"/>
      <c r="H7" t="s">
        <v>173</v>
      </c>
      <c r="I7" t="s">
        <v>174</v>
      </c>
      <c r="J7">
        <v>20696</v>
      </c>
      <c r="K7" s="30">
        <v>44973</v>
      </c>
      <c r="L7">
        <v>1010100</v>
      </c>
      <c r="M7" t="s">
        <v>35</v>
      </c>
      <c r="N7">
        <v>161</v>
      </c>
      <c r="O7" t="s">
        <v>161</v>
      </c>
      <c r="P7" t="s">
        <v>429</v>
      </c>
      <c r="Q7">
        <f t="shared" si="0"/>
        <v>699</v>
      </c>
      <c r="R7" t="str">
        <f>_xlfn.XLOOKUP(P7,'Painel Fertilizers'!$B:$B,'Painel Fertilizers'!$B:$B,0)</f>
        <v>GRUPO LEANDRO SARTI</v>
      </c>
    </row>
    <row r="8" spans="1:18" x14ac:dyDescent="0.25">
      <c r="A8">
        <v>11207</v>
      </c>
      <c r="B8" t="s">
        <v>729</v>
      </c>
      <c r="C8" t="s">
        <v>194</v>
      </c>
      <c r="D8" s="34">
        <v>118231.86</v>
      </c>
      <c r="E8">
        <v>1246074301</v>
      </c>
      <c r="F8" s="30">
        <v>45412</v>
      </c>
      <c r="G8" s="30"/>
      <c r="H8" t="s">
        <v>173</v>
      </c>
      <c r="I8" t="s">
        <v>174</v>
      </c>
      <c r="J8">
        <v>21005</v>
      </c>
      <c r="K8" s="30">
        <v>45015</v>
      </c>
      <c r="L8">
        <v>1010100</v>
      </c>
      <c r="M8" t="s">
        <v>35</v>
      </c>
      <c r="N8">
        <v>161</v>
      </c>
      <c r="O8" t="s">
        <v>161</v>
      </c>
      <c r="P8" t="s">
        <v>429</v>
      </c>
      <c r="Q8">
        <f t="shared" si="0"/>
        <v>699</v>
      </c>
      <c r="R8" t="str">
        <f>_xlfn.XLOOKUP(P8,'Painel Fertilizers'!$B:$B,'Painel Fertilizers'!$B:$B,0)</f>
        <v>GRUPO LEANDRO SARTI</v>
      </c>
    </row>
    <row r="9" spans="1:18" x14ac:dyDescent="0.25">
      <c r="A9">
        <v>11207</v>
      </c>
      <c r="B9" t="s">
        <v>729</v>
      </c>
      <c r="C9" t="s">
        <v>194</v>
      </c>
      <c r="D9" s="34">
        <v>91167.15</v>
      </c>
      <c r="E9">
        <v>1246075550</v>
      </c>
      <c r="F9" s="30">
        <v>45412</v>
      </c>
      <c r="G9" s="30"/>
      <c r="H9" t="s">
        <v>173</v>
      </c>
      <c r="I9" t="s">
        <v>174</v>
      </c>
      <c r="J9">
        <v>21053</v>
      </c>
      <c r="K9" s="30">
        <v>45022</v>
      </c>
      <c r="L9">
        <v>1010100</v>
      </c>
      <c r="M9" t="s">
        <v>35</v>
      </c>
      <c r="N9">
        <v>161</v>
      </c>
      <c r="O9" t="s">
        <v>161</v>
      </c>
      <c r="P9" t="s">
        <v>429</v>
      </c>
      <c r="Q9">
        <f t="shared" si="0"/>
        <v>699</v>
      </c>
      <c r="R9" t="str">
        <f>_xlfn.XLOOKUP(P9,'Painel Fertilizers'!$B:$B,'Painel Fertilizers'!$B:$B,0)</f>
        <v>GRUPO LEANDRO SARTI</v>
      </c>
    </row>
    <row r="10" spans="1:18" x14ac:dyDescent="0.25">
      <c r="A10">
        <v>11207</v>
      </c>
      <c r="B10" t="s">
        <v>729</v>
      </c>
      <c r="C10" t="s">
        <v>194</v>
      </c>
      <c r="D10" s="34">
        <v>43771.16</v>
      </c>
      <c r="E10">
        <v>1246094423</v>
      </c>
      <c r="F10" s="30">
        <v>45423</v>
      </c>
      <c r="G10" s="30"/>
      <c r="H10" t="s">
        <v>173</v>
      </c>
      <c r="I10" t="s">
        <v>174</v>
      </c>
      <c r="J10">
        <v>356</v>
      </c>
      <c r="K10" s="30">
        <v>45133</v>
      </c>
      <c r="L10">
        <v>1010100</v>
      </c>
      <c r="M10" t="s">
        <v>35</v>
      </c>
      <c r="N10">
        <v>161</v>
      </c>
      <c r="O10" t="s">
        <v>161</v>
      </c>
      <c r="P10" t="s">
        <v>429</v>
      </c>
      <c r="Q10">
        <f t="shared" si="0"/>
        <v>688</v>
      </c>
      <c r="R10" t="str">
        <f>_xlfn.XLOOKUP(P10,'Painel Fertilizers'!$B:$B,'Painel Fertilizers'!$B:$B,0)</f>
        <v>GRUPO LEANDRO SARTI</v>
      </c>
    </row>
    <row r="11" spans="1:18" x14ac:dyDescent="0.25">
      <c r="A11">
        <v>11207</v>
      </c>
      <c r="B11" t="s">
        <v>729</v>
      </c>
      <c r="C11" t="s">
        <v>194</v>
      </c>
      <c r="D11" s="34">
        <v>44760.26</v>
      </c>
      <c r="E11">
        <v>1246092027</v>
      </c>
      <c r="F11" s="30">
        <v>45504</v>
      </c>
      <c r="G11" s="30"/>
      <c r="H11" t="s">
        <v>173</v>
      </c>
      <c r="I11" t="s">
        <v>174</v>
      </c>
      <c r="J11">
        <v>138</v>
      </c>
      <c r="K11" s="30">
        <v>45119</v>
      </c>
      <c r="L11">
        <v>1010100</v>
      </c>
      <c r="M11" t="s">
        <v>35</v>
      </c>
      <c r="N11">
        <v>161</v>
      </c>
      <c r="O11" t="s">
        <v>161</v>
      </c>
      <c r="P11" t="s">
        <v>429</v>
      </c>
      <c r="Q11">
        <f t="shared" si="0"/>
        <v>607</v>
      </c>
      <c r="R11" t="str">
        <f>_xlfn.XLOOKUP(P11,'Painel Fertilizers'!$B:$B,'Painel Fertilizers'!$B:$B,0)</f>
        <v>GRUPO LEANDRO SARTI</v>
      </c>
    </row>
    <row r="12" spans="1:18" x14ac:dyDescent="0.25">
      <c r="A12">
        <v>11207</v>
      </c>
      <c r="B12" t="s">
        <v>729</v>
      </c>
      <c r="C12" t="s">
        <v>194</v>
      </c>
      <c r="D12" s="34">
        <v>43771.16</v>
      </c>
      <c r="E12">
        <v>1246093362</v>
      </c>
      <c r="F12" s="30">
        <v>45417</v>
      </c>
      <c r="G12" s="30"/>
      <c r="H12" t="s">
        <v>173</v>
      </c>
      <c r="I12" t="s">
        <v>174</v>
      </c>
      <c r="J12">
        <v>253</v>
      </c>
      <c r="K12" s="30">
        <v>45127</v>
      </c>
      <c r="L12">
        <v>1010100</v>
      </c>
      <c r="M12" t="s">
        <v>35</v>
      </c>
      <c r="N12">
        <v>161</v>
      </c>
      <c r="O12" t="s">
        <v>161</v>
      </c>
      <c r="P12" t="s">
        <v>429</v>
      </c>
      <c r="Q12">
        <f t="shared" si="0"/>
        <v>694</v>
      </c>
      <c r="R12" t="str">
        <f>_xlfn.XLOOKUP(P12,'Painel Fertilizers'!$B:$B,'Painel Fertilizers'!$B:$B,0)</f>
        <v>GRUPO LEANDRO SARTI</v>
      </c>
    </row>
    <row r="13" spans="1:18" x14ac:dyDescent="0.25">
      <c r="A13">
        <v>11207</v>
      </c>
      <c r="B13" t="s">
        <v>729</v>
      </c>
      <c r="C13" t="s">
        <v>194</v>
      </c>
      <c r="D13" s="34">
        <v>47925.4</v>
      </c>
      <c r="E13">
        <v>1246094864</v>
      </c>
      <c r="F13" s="30">
        <v>45544</v>
      </c>
      <c r="G13" s="30"/>
      <c r="H13" t="s">
        <v>173</v>
      </c>
      <c r="I13" t="s">
        <v>174</v>
      </c>
      <c r="J13">
        <v>407</v>
      </c>
      <c r="K13" s="30">
        <v>45135</v>
      </c>
      <c r="L13">
        <v>1010100</v>
      </c>
      <c r="M13" t="s">
        <v>35</v>
      </c>
      <c r="N13">
        <v>161</v>
      </c>
      <c r="O13" t="s">
        <v>161</v>
      </c>
      <c r="P13" t="s">
        <v>429</v>
      </c>
      <c r="Q13">
        <f t="shared" si="0"/>
        <v>567</v>
      </c>
      <c r="R13" t="str">
        <f>_xlfn.XLOOKUP(P13,'Painel Fertilizers'!$B:$B,'Painel Fertilizers'!$B:$B,0)</f>
        <v>GRUPO LEANDRO SARTI</v>
      </c>
    </row>
    <row r="14" spans="1:18" x14ac:dyDescent="0.25">
      <c r="A14">
        <v>11207</v>
      </c>
      <c r="B14" t="s">
        <v>729</v>
      </c>
      <c r="C14" t="s">
        <v>194</v>
      </c>
      <c r="D14" s="34">
        <v>106301.38</v>
      </c>
      <c r="E14">
        <v>1246094863</v>
      </c>
      <c r="F14" s="30">
        <v>45425</v>
      </c>
      <c r="G14" s="30"/>
      <c r="H14" t="s">
        <v>173</v>
      </c>
      <c r="I14" t="s">
        <v>174</v>
      </c>
      <c r="J14">
        <v>406</v>
      </c>
      <c r="K14" s="30">
        <v>45135</v>
      </c>
      <c r="L14">
        <v>1010100</v>
      </c>
      <c r="M14" t="s">
        <v>35</v>
      </c>
      <c r="N14">
        <v>161</v>
      </c>
      <c r="O14" t="s">
        <v>161</v>
      </c>
      <c r="P14" t="s">
        <v>429</v>
      </c>
      <c r="Q14">
        <f t="shared" si="0"/>
        <v>686</v>
      </c>
      <c r="R14" t="str">
        <f>_xlfn.XLOOKUP(P14,'Painel Fertilizers'!$B:$B,'Painel Fertilizers'!$B:$B,0)</f>
        <v>GRUPO LEANDRO SARTI</v>
      </c>
    </row>
    <row r="15" spans="1:18" x14ac:dyDescent="0.25">
      <c r="A15">
        <v>11207</v>
      </c>
      <c r="B15" t="s">
        <v>729</v>
      </c>
      <c r="C15" t="s">
        <v>194</v>
      </c>
      <c r="D15" s="34">
        <v>150072.54</v>
      </c>
      <c r="E15">
        <v>1246095554</v>
      </c>
      <c r="F15" s="30">
        <v>45415</v>
      </c>
      <c r="G15" s="30"/>
      <c r="H15" t="s">
        <v>173</v>
      </c>
      <c r="I15" t="s">
        <v>174</v>
      </c>
      <c r="J15">
        <v>485</v>
      </c>
      <c r="K15" s="30">
        <v>45140</v>
      </c>
      <c r="L15">
        <v>1010100</v>
      </c>
      <c r="M15" t="s">
        <v>35</v>
      </c>
      <c r="N15">
        <v>161</v>
      </c>
      <c r="O15" t="s">
        <v>161</v>
      </c>
      <c r="P15" t="s">
        <v>429</v>
      </c>
      <c r="Q15">
        <f t="shared" si="0"/>
        <v>696</v>
      </c>
      <c r="R15" t="str">
        <f>_xlfn.XLOOKUP(P15,'Painel Fertilizers'!$B:$B,'Painel Fertilizers'!$B:$B,0)</f>
        <v>GRUPO LEANDRO SARTI</v>
      </c>
    </row>
    <row r="16" spans="1:18" x14ac:dyDescent="0.25">
      <c r="A16">
        <v>11207</v>
      </c>
      <c r="B16" t="s">
        <v>729</v>
      </c>
      <c r="C16" t="s">
        <v>194</v>
      </c>
      <c r="D16" s="34">
        <v>150072.54999999999</v>
      </c>
      <c r="E16">
        <v>1246098101</v>
      </c>
      <c r="F16" s="30">
        <v>45414</v>
      </c>
      <c r="G16" s="30"/>
      <c r="H16" t="s">
        <v>173</v>
      </c>
      <c r="I16" t="s">
        <v>174</v>
      </c>
      <c r="J16">
        <v>151</v>
      </c>
      <c r="K16" s="30">
        <v>45154</v>
      </c>
      <c r="L16">
        <v>1010100</v>
      </c>
      <c r="M16" t="s">
        <v>35</v>
      </c>
      <c r="N16">
        <v>161</v>
      </c>
      <c r="O16" t="s">
        <v>161</v>
      </c>
      <c r="P16" t="s">
        <v>429</v>
      </c>
      <c r="Q16">
        <f t="shared" si="0"/>
        <v>697</v>
      </c>
      <c r="R16" t="str">
        <f>_xlfn.XLOOKUP(P16,'Painel Fertilizers'!$B:$B,'Painel Fertilizers'!$B:$B,0)</f>
        <v>GRUPO LEANDRO SARTI</v>
      </c>
    </row>
    <row r="17" spans="1:18" x14ac:dyDescent="0.25">
      <c r="A17">
        <v>11207</v>
      </c>
      <c r="B17" t="s">
        <v>729</v>
      </c>
      <c r="C17" t="s">
        <v>194</v>
      </c>
      <c r="D17" s="34">
        <v>43771.16</v>
      </c>
      <c r="E17">
        <v>1246098102</v>
      </c>
      <c r="F17" s="30">
        <v>45414</v>
      </c>
      <c r="G17" s="30"/>
      <c r="H17" t="s">
        <v>173</v>
      </c>
      <c r="I17" t="s">
        <v>174</v>
      </c>
      <c r="J17">
        <v>152</v>
      </c>
      <c r="K17" s="30">
        <v>45154</v>
      </c>
      <c r="L17">
        <v>1010100</v>
      </c>
      <c r="M17" t="s">
        <v>35</v>
      </c>
      <c r="N17">
        <v>161</v>
      </c>
      <c r="O17" t="s">
        <v>161</v>
      </c>
      <c r="P17" t="s">
        <v>429</v>
      </c>
      <c r="Q17">
        <f t="shared" si="0"/>
        <v>697</v>
      </c>
      <c r="R17" t="str">
        <f>_xlfn.XLOOKUP(P17,'Painel Fertilizers'!$B:$B,'Painel Fertilizers'!$B:$B,0)</f>
        <v>GRUPO LEANDRO SARTI</v>
      </c>
    </row>
    <row r="18" spans="1:18" x14ac:dyDescent="0.25">
      <c r="A18">
        <v>11207</v>
      </c>
      <c r="B18" t="s">
        <v>729</v>
      </c>
      <c r="C18" t="s">
        <v>194</v>
      </c>
      <c r="D18" s="34">
        <v>150072.54</v>
      </c>
      <c r="E18">
        <v>1246096042</v>
      </c>
      <c r="F18" s="30">
        <v>45417</v>
      </c>
      <c r="G18" s="30"/>
      <c r="H18" t="s">
        <v>173</v>
      </c>
      <c r="I18" t="s">
        <v>174</v>
      </c>
      <c r="J18">
        <v>520</v>
      </c>
      <c r="K18" s="30">
        <v>45142</v>
      </c>
      <c r="L18">
        <v>1010100</v>
      </c>
      <c r="M18" t="s">
        <v>35</v>
      </c>
      <c r="N18">
        <v>161</v>
      </c>
      <c r="O18" t="s">
        <v>161</v>
      </c>
      <c r="P18" t="s">
        <v>429</v>
      </c>
      <c r="Q18">
        <f t="shared" si="0"/>
        <v>694</v>
      </c>
      <c r="R18" t="str">
        <f>_xlfn.XLOOKUP(P18,'Painel Fertilizers'!$B:$B,'Painel Fertilizers'!$B:$B,0)</f>
        <v>GRUPO LEANDRO SARTI</v>
      </c>
    </row>
    <row r="19" spans="1:18" x14ac:dyDescent="0.25">
      <c r="A19">
        <v>11207</v>
      </c>
      <c r="B19" t="s">
        <v>729</v>
      </c>
      <c r="C19" t="s">
        <v>194</v>
      </c>
      <c r="D19" s="34">
        <v>150072.54999999999</v>
      </c>
      <c r="E19">
        <v>1246098739</v>
      </c>
      <c r="F19" s="30">
        <v>45446</v>
      </c>
      <c r="G19" s="30"/>
      <c r="H19" t="s">
        <v>173</v>
      </c>
      <c r="I19" t="s">
        <v>174</v>
      </c>
      <c r="J19">
        <v>161</v>
      </c>
      <c r="K19" s="30">
        <v>45156</v>
      </c>
      <c r="L19">
        <v>1010100</v>
      </c>
      <c r="M19" t="s">
        <v>35</v>
      </c>
      <c r="N19">
        <v>161</v>
      </c>
      <c r="O19" t="s">
        <v>161</v>
      </c>
      <c r="P19" t="s">
        <v>429</v>
      </c>
      <c r="Q19">
        <f t="shared" si="0"/>
        <v>665</v>
      </c>
      <c r="R19" t="str">
        <f>_xlfn.XLOOKUP(P19,'Painel Fertilizers'!$B:$B,'Painel Fertilizers'!$B:$B,0)</f>
        <v>GRUPO LEANDRO SARTI</v>
      </c>
    </row>
    <row r="20" spans="1:18" x14ac:dyDescent="0.25">
      <c r="A20">
        <v>11207</v>
      </c>
      <c r="B20" t="s">
        <v>729</v>
      </c>
      <c r="C20" t="s">
        <v>194</v>
      </c>
      <c r="D20" s="34">
        <v>150072.54</v>
      </c>
      <c r="E20">
        <v>1246103409</v>
      </c>
      <c r="F20" s="30">
        <v>45421</v>
      </c>
      <c r="G20" s="30"/>
      <c r="H20" t="s">
        <v>173</v>
      </c>
      <c r="I20" t="s">
        <v>174</v>
      </c>
      <c r="J20">
        <v>231</v>
      </c>
      <c r="K20" s="30">
        <v>45181</v>
      </c>
      <c r="L20">
        <v>1010100</v>
      </c>
      <c r="M20" t="s">
        <v>35</v>
      </c>
      <c r="N20">
        <v>161</v>
      </c>
      <c r="O20" t="s">
        <v>161</v>
      </c>
      <c r="P20" t="s">
        <v>429</v>
      </c>
      <c r="Q20">
        <f t="shared" si="0"/>
        <v>690</v>
      </c>
      <c r="R20" t="str">
        <f>_xlfn.XLOOKUP(P20,'Painel Fertilizers'!$B:$B,'Painel Fertilizers'!$B:$B,0)</f>
        <v>GRUPO LEANDRO SARTI</v>
      </c>
    </row>
    <row r="21" spans="1:18" x14ac:dyDescent="0.25">
      <c r="A21">
        <v>11207</v>
      </c>
      <c r="B21" t="s">
        <v>729</v>
      </c>
      <c r="C21" t="s">
        <v>194</v>
      </c>
      <c r="D21" s="34">
        <v>150072.54999999999</v>
      </c>
      <c r="E21">
        <v>1246104480</v>
      </c>
      <c r="F21" s="30">
        <v>45427</v>
      </c>
      <c r="G21" s="30"/>
      <c r="H21" t="s">
        <v>173</v>
      </c>
      <c r="I21" t="s">
        <v>174</v>
      </c>
      <c r="J21">
        <v>1209</v>
      </c>
      <c r="K21" s="30">
        <v>45187</v>
      </c>
      <c r="L21">
        <v>1010100</v>
      </c>
      <c r="M21" t="s">
        <v>35</v>
      </c>
      <c r="N21">
        <v>161</v>
      </c>
      <c r="O21" t="s">
        <v>161</v>
      </c>
      <c r="P21" t="s">
        <v>429</v>
      </c>
      <c r="Q21">
        <f t="shared" si="0"/>
        <v>684</v>
      </c>
      <c r="R21" t="str">
        <f>_xlfn.XLOOKUP(P21,'Painel Fertilizers'!$B:$B,'Painel Fertilizers'!$B:$B,0)</f>
        <v>GRUPO LEANDRO SARTI</v>
      </c>
    </row>
    <row r="22" spans="1:18" x14ac:dyDescent="0.25">
      <c r="A22">
        <v>11207</v>
      </c>
      <c r="B22" t="s">
        <v>729</v>
      </c>
      <c r="C22" t="s">
        <v>194</v>
      </c>
      <c r="D22" s="34">
        <v>98152.42</v>
      </c>
      <c r="E22">
        <v>1246128194</v>
      </c>
      <c r="F22" s="30">
        <v>45595</v>
      </c>
      <c r="G22" s="30"/>
      <c r="H22" t="s">
        <v>173</v>
      </c>
      <c r="I22" t="s">
        <v>174</v>
      </c>
      <c r="J22">
        <v>2705</v>
      </c>
      <c r="K22" s="30">
        <v>45327</v>
      </c>
      <c r="L22">
        <v>1010100</v>
      </c>
      <c r="M22" t="s">
        <v>35</v>
      </c>
      <c r="N22">
        <v>161</v>
      </c>
      <c r="O22" t="s">
        <v>161</v>
      </c>
      <c r="P22" t="s">
        <v>429</v>
      </c>
      <c r="Q22">
        <f t="shared" si="0"/>
        <v>516</v>
      </c>
      <c r="R22" t="str">
        <f>_xlfn.XLOOKUP(P22,'Painel Fertilizers'!$B:$B,'Painel Fertilizers'!$B:$B,0)</f>
        <v>GRUPO LEANDRO SARTI</v>
      </c>
    </row>
    <row r="23" spans="1:18" x14ac:dyDescent="0.25">
      <c r="A23">
        <v>11207</v>
      </c>
      <c r="B23" t="s">
        <v>729</v>
      </c>
      <c r="C23" t="s">
        <v>194</v>
      </c>
      <c r="D23" s="34">
        <v>98152.43</v>
      </c>
      <c r="E23">
        <v>1246128212</v>
      </c>
      <c r="F23" s="30">
        <v>45595</v>
      </c>
      <c r="G23" s="30"/>
      <c r="H23" t="s">
        <v>173</v>
      </c>
      <c r="I23" t="s">
        <v>174</v>
      </c>
      <c r="J23">
        <v>2708</v>
      </c>
      <c r="K23" s="30">
        <v>45327</v>
      </c>
      <c r="L23">
        <v>1010100</v>
      </c>
      <c r="M23" t="s">
        <v>35</v>
      </c>
      <c r="N23">
        <v>161</v>
      </c>
      <c r="O23" t="s">
        <v>161</v>
      </c>
      <c r="P23" t="s">
        <v>429</v>
      </c>
      <c r="Q23">
        <f t="shared" si="0"/>
        <v>516</v>
      </c>
      <c r="R23" t="str">
        <f>_xlfn.XLOOKUP(P23,'Painel Fertilizers'!$B:$B,'Painel Fertilizers'!$B:$B,0)</f>
        <v>GRUPO LEANDRO SARTI</v>
      </c>
    </row>
    <row r="24" spans="1:18" x14ac:dyDescent="0.25">
      <c r="A24">
        <v>11207</v>
      </c>
      <c r="B24" t="s">
        <v>729</v>
      </c>
      <c r="C24" t="s">
        <v>194</v>
      </c>
      <c r="D24" s="34">
        <v>43771.16</v>
      </c>
      <c r="E24">
        <v>1246102312</v>
      </c>
      <c r="F24" s="30">
        <v>45414</v>
      </c>
      <c r="G24" s="30"/>
      <c r="H24" t="s">
        <v>173</v>
      </c>
      <c r="I24" t="s">
        <v>174</v>
      </c>
      <c r="J24">
        <v>1038</v>
      </c>
      <c r="K24" s="30">
        <v>45174</v>
      </c>
      <c r="L24">
        <v>1010100</v>
      </c>
      <c r="M24" t="s">
        <v>35</v>
      </c>
      <c r="N24">
        <v>161</v>
      </c>
      <c r="O24" t="s">
        <v>161</v>
      </c>
      <c r="P24" t="s">
        <v>429</v>
      </c>
      <c r="Q24">
        <f t="shared" si="0"/>
        <v>697</v>
      </c>
      <c r="R24" t="str">
        <f>_xlfn.XLOOKUP(P24,'Painel Fertilizers'!$B:$B,'Painel Fertilizers'!$B:$B,0)</f>
        <v>GRUPO LEANDRO SARTI</v>
      </c>
    </row>
    <row r="25" spans="1:18" x14ac:dyDescent="0.25">
      <c r="A25">
        <v>11207</v>
      </c>
      <c r="B25" t="s">
        <v>729</v>
      </c>
      <c r="C25" t="s">
        <v>194</v>
      </c>
      <c r="D25" s="34">
        <v>43771.16</v>
      </c>
      <c r="E25">
        <v>1246103425</v>
      </c>
      <c r="F25" s="30">
        <v>45421</v>
      </c>
      <c r="G25" s="30"/>
      <c r="H25" t="s">
        <v>173</v>
      </c>
      <c r="I25" t="s">
        <v>174</v>
      </c>
      <c r="J25">
        <v>232</v>
      </c>
      <c r="K25" s="30">
        <v>45181</v>
      </c>
      <c r="L25">
        <v>1010100</v>
      </c>
      <c r="M25" t="s">
        <v>35</v>
      </c>
      <c r="N25">
        <v>161</v>
      </c>
      <c r="O25" t="s">
        <v>161</v>
      </c>
      <c r="P25" t="s">
        <v>429</v>
      </c>
      <c r="Q25">
        <f t="shared" si="0"/>
        <v>690</v>
      </c>
      <c r="R25" t="str">
        <f>_xlfn.XLOOKUP(P25,'Painel Fertilizers'!$B:$B,'Painel Fertilizers'!$B:$B,0)</f>
        <v>GRUPO LEANDRO SARTI</v>
      </c>
    </row>
    <row r="26" spans="1:18" x14ac:dyDescent="0.25">
      <c r="A26">
        <v>11207</v>
      </c>
      <c r="B26" t="s">
        <v>729</v>
      </c>
      <c r="C26" t="s">
        <v>194</v>
      </c>
      <c r="D26" s="34">
        <v>85883.37</v>
      </c>
      <c r="E26">
        <v>1246128634</v>
      </c>
      <c r="F26" s="30">
        <v>45597</v>
      </c>
      <c r="G26" s="30"/>
      <c r="H26" t="s">
        <v>173</v>
      </c>
      <c r="I26" t="s">
        <v>174</v>
      </c>
      <c r="J26">
        <v>2731</v>
      </c>
      <c r="K26" s="30">
        <v>45329</v>
      </c>
      <c r="L26">
        <v>1010100</v>
      </c>
      <c r="M26" t="s">
        <v>35</v>
      </c>
      <c r="N26">
        <v>161</v>
      </c>
      <c r="O26" t="s">
        <v>161</v>
      </c>
      <c r="P26" t="s">
        <v>429</v>
      </c>
      <c r="Q26">
        <f t="shared" si="0"/>
        <v>514</v>
      </c>
      <c r="R26" t="str">
        <f>_xlfn.XLOOKUP(P26,'Painel Fertilizers'!$B:$B,'Painel Fertilizers'!$B:$B,0)</f>
        <v>GRUPO LEANDRO SARTI</v>
      </c>
    </row>
    <row r="27" spans="1:18" x14ac:dyDescent="0.25">
      <c r="A27">
        <v>11207</v>
      </c>
      <c r="B27" t="s">
        <v>729</v>
      </c>
      <c r="C27" t="s">
        <v>194</v>
      </c>
      <c r="D27" s="34">
        <v>150072.54</v>
      </c>
      <c r="E27">
        <v>1246106013</v>
      </c>
      <c r="F27" s="30">
        <v>45416</v>
      </c>
      <c r="G27" s="30"/>
      <c r="H27" t="s">
        <v>173</v>
      </c>
      <c r="I27" t="s">
        <v>174</v>
      </c>
      <c r="J27">
        <v>1329</v>
      </c>
      <c r="K27" s="30">
        <v>45194</v>
      </c>
      <c r="L27">
        <v>1010100</v>
      </c>
      <c r="M27" t="s">
        <v>35</v>
      </c>
      <c r="N27">
        <v>161</v>
      </c>
      <c r="O27" t="s">
        <v>161</v>
      </c>
      <c r="P27" t="s">
        <v>429</v>
      </c>
      <c r="Q27">
        <f t="shared" si="0"/>
        <v>695</v>
      </c>
      <c r="R27" t="str">
        <f>_xlfn.XLOOKUP(P27,'Painel Fertilizers'!$B:$B,'Painel Fertilizers'!$B:$B,0)</f>
        <v>GRUPO LEANDRO SARTI</v>
      </c>
    </row>
    <row r="28" spans="1:18" x14ac:dyDescent="0.25">
      <c r="A28">
        <v>11207</v>
      </c>
      <c r="B28" t="s">
        <v>729</v>
      </c>
      <c r="C28" t="s">
        <v>194</v>
      </c>
      <c r="D28" s="34">
        <v>150072.54</v>
      </c>
      <c r="E28">
        <v>1246102752</v>
      </c>
      <c r="F28" s="30">
        <v>45415</v>
      </c>
      <c r="G28" s="30"/>
      <c r="H28" t="s">
        <v>173</v>
      </c>
      <c r="I28" t="s">
        <v>174</v>
      </c>
      <c r="J28">
        <v>1071</v>
      </c>
      <c r="K28" s="30">
        <v>45175</v>
      </c>
      <c r="L28">
        <v>1010100</v>
      </c>
      <c r="M28" t="s">
        <v>35</v>
      </c>
      <c r="N28">
        <v>161</v>
      </c>
      <c r="O28" t="s">
        <v>161</v>
      </c>
      <c r="P28" t="s">
        <v>429</v>
      </c>
      <c r="Q28">
        <f t="shared" si="0"/>
        <v>696</v>
      </c>
      <c r="R28" t="str">
        <f>_xlfn.XLOOKUP(P28,'Painel Fertilizers'!$B:$B,'Painel Fertilizers'!$B:$B,0)</f>
        <v>GRUPO LEANDRO SARTI</v>
      </c>
    </row>
    <row r="29" spans="1:18" x14ac:dyDescent="0.25">
      <c r="A29">
        <v>11207</v>
      </c>
      <c r="B29" t="s">
        <v>729</v>
      </c>
      <c r="C29" t="s">
        <v>194</v>
      </c>
      <c r="D29" s="34">
        <v>43771.16</v>
      </c>
      <c r="E29">
        <v>1246103933</v>
      </c>
      <c r="F29" s="30">
        <v>45423</v>
      </c>
      <c r="G29" s="30"/>
      <c r="H29" t="s">
        <v>173</v>
      </c>
      <c r="I29" t="s">
        <v>174</v>
      </c>
      <c r="J29">
        <v>1167</v>
      </c>
      <c r="K29" s="30">
        <v>45183</v>
      </c>
      <c r="L29">
        <v>1010100</v>
      </c>
      <c r="M29" t="s">
        <v>35</v>
      </c>
      <c r="N29">
        <v>161</v>
      </c>
      <c r="O29" t="s">
        <v>161</v>
      </c>
      <c r="P29" t="s">
        <v>429</v>
      </c>
      <c r="Q29">
        <f t="shared" si="0"/>
        <v>688</v>
      </c>
      <c r="R29" t="str">
        <f>_xlfn.XLOOKUP(P29,'Painel Fertilizers'!$B:$B,'Painel Fertilizers'!$B:$B,0)</f>
        <v>GRUPO LEANDRO SARTI</v>
      </c>
    </row>
    <row r="30" spans="1:18" x14ac:dyDescent="0.25">
      <c r="A30">
        <v>11207</v>
      </c>
      <c r="B30" t="s">
        <v>729</v>
      </c>
      <c r="C30" t="s">
        <v>194</v>
      </c>
      <c r="D30" s="34">
        <v>150072.54</v>
      </c>
      <c r="E30">
        <v>1246105096</v>
      </c>
      <c r="F30" s="30">
        <v>45429</v>
      </c>
      <c r="G30" s="30"/>
      <c r="H30" t="s">
        <v>173</v>
      </c>
      <c r="I30" t="s">
        <v>174</v>
      </c>
      <c r="J30">
        <v>1263</v>
      </c>
      <c r="K30" s="30">
        <v>45189</v>
      </c>
      <c r="L30">
        <v>1010100</v>
      </c>
      <c r="M30" t="s">
        <v>35</v>
      </c>
      <c r="N30">
        <v>161</v>
      </c>
      <c r="O30" t="s">
        <v>161</v>
      </c>
      <c r="P30" t="s">
        <v>429</v>
      </c>
      <c r="Q30">
        <f t="shared" si="0"/>
        <v>682</v>
      </c>
      <c r="R30" t="str">
        <f>_xlfn.XLOOKUP(P30,'Painel Fertilizers'!$B:$B,'Painel Fertilizers'!$B:$B,0)</f>
        <v>GRUPO LEANDRO SARTI</v>
      </c>
    </row>
    <row r="31" spans="1:18" x14ac:dyDescent="0.25">
      <c r="A31">
        <v>11207</v>
      </c>
      <c r="B31" t="s">
        <v>729</v>
      </c>
      <c r="C31" t="s">
        <v>194</v>
      </c>
      <c r="D31" s="34">
        <v>85883.37</v>
      </c>
      <c r="E31">
        <v>1246131973</v>
      </c>
      <c r="F31" s="30">
        <v>45595</v>
      </c>
      <c r="G31" s="30"/>
      <c r="H31" t="s">
        <v>173</v>
      </c>
      <c r="I31" t="s">
        <v>174</v>
      </c>
      <c r="J31">
        <v>2972</v>
      </c>
      <c r="K31" s="30">
        <v>45352</v>
      </c>
      <c r="L31">
        <v>1010100</v>
      </c>
      <c r="M31" t="s">
        <v>35</v>
      </c>
      <c r="N31">
        <v>161</v>
      </c>
      <c r="O31" t="s">
        <v>161</v>
      </c>
      <c r="P31" t="s">
        <v>429</v>
      </c>
      <c r="Q31">
        <f t="shared" si="0"/>
        <v>516</v>
      </c>
      <c r="R31" t="str">
        <f>_xlfn.XLOOKUP(P31,'Painel Fertilizers'!$B:$B,'Painel Fertilizers'!$B:$B,0)</f>
        <v>GRUPO LEANDRO SARTI</v>
      </c>
    </row>
    <row r="32" spans="1:18" x14ac:dyDescent="0.25">
      <c r="A32">
        <v>11456</v>
      </c>
      <c r="B32" t="s">
        <v>201</v>
      </c>
      <c r="C32" t="s">
        <v>202</v>
      </c>
      <c r="D32" s="34">
        <v>108608.88999999998</v>
      </c>
      <c r="E32">
        <v>1246074872</v>
      </c>
      <c r="F32" s="30">
        <v>45412</v>
      </c>
      <c r="G32" s="30"/>
      <c r="H32" t="s">
        <v>173</v>
      </c>
      <c r="I32" t="s">
        <v>174</v>
      </c>
      <c r="J32">
        <v>21029</v>
      </c>
      <c r="K32" s="30">
        <v>45019</v>
      </c>
      <c r="L32">
        <v>1010100</v>
      </c>
      <c r="M32" t="s">
        <v>35</v>
      </c>
      <c r="N32">
        <v>161</v>
      </c>
      <c r="O32" t="s">
        <v>161</v>
      </c>
      <c r="P32" t="s">
        <v>429</v>
      </c>
      <c r="Q32">
        <f t="shared" si="0"/>
        <v>699</v>
      </c>
      <c r="R32" t="str">
        <f>_xlfn.XLOOKUP(P32,'Painel Fertilizers'!$B:$B,'Painel Fertilizers'!$B:$B,0)</f>
        <v>GRUPO LEANDRO SARTI</v>
      </c>
    </row>
    <row r="33" spans="1:18" x14ac:dyDescent="0.25">
      <c r="A33">
        <v>11456</v>
      </c>
      <c r="B33" t="s">
        <v>201</v>
      </c>
      <c r="C33" t="s">
        <v>202</v>
      </c>
      <c r="D33" s="34">
        <v>136139</v>
      </c>
      <c r="E33">
        <v>1246074571</v>
      </c>
      <c r="F33" s="30">
        <v>45412</v>
      </c>
      <c r="G33" s="30"/>
      <c r="H33" t="s">
        <v>173</v>
      </c>
      <c r="I33" t="s">
        <v>174</v>
      </c>
      <c r="J33">
        <v>21023</v>
      </c>
      <c r="K33" s="30">
        <v>45017</v>
      </c>
      <c r="L33">
        <v>1010100</v>
      </c>
      <c r="M33" t="s">
        <v>35</v>
      </c>
      <c r="N33">
        <v>161</v>
      </c>
      <c r="O33" t="s">
        <v>161</v>
      </c>
      <c r="P33" t="s">
        <v>429</v>
      </c>
      <c r="Q33">
        <f t="shared" si="0"/>
        <v>699</v>
      </c>
      <c r="R33" t="str">
        <f>_xlfn.XLOOKUP(P33,'Painel Fertilizers'!$B:$B,'Painel Fertilizers'!$B:$B,0)</f>
        <v>GRUPO LEANDRO SARTI</v>
      </c>
    </row>
    <row r="34" spans="1:18" x14ac:dyDescent="0.25">
      <c r="A34">
        <v>11456</v>
      </c>
      <c r="B34" t="s">
        <v>201</v>
      </c>
      <c r="C34" t="s">
        <v>202</v>
      </c>
      <c r="D34" s="34">
        <v>150110.1</v>
      </c>
      <c r="E34">
        <v>1246127149</v>
      </c>
      <c r="F34" s="30">
        <v>45615</v>
      </c>
      <c r="G34" s="30"/>
      <c r="H34" t="s">
        <v>173</v>
      </c>
      <c r="I34" t="s">
        <v>174</v>
      </c>
      <c r="J34">
        <v>2634</v>
      </c>
      <c r="K34" s="30">
        <v>45320</v>
      </c>
      <c r="L34">
        <v>1010100</v>
      </c>
      <c r="M34" t="s">
        <v>35</v>
      </c>
      <c r="N34">
        <v>161</v>
      </c>
      <c r="O34" t="s">
        <v>161</v>
      </c>
      <c r="P34" t="s">
        <v>429</v>
      </c>
      <c r="Q34">
        <f t="shared" si="0"/>
        <v>496</v>
      </c>
      <c r="R34" t="str">
        <f>_xlfn.XLOOKUP(P34,'Painel Fertilizers'!$B:$B,'Painel Fertilizers'!$B:$B,0)</f>
        <v>GRUPO LEANDRO SARTI</v>
      </c>
    </row>
    <row r="35" spans="1:18" x14ac:dyDescent="0.25">
      <c r="A35">
        <v>11456</v>
      </c>
      <c r="B35" t="s">
        <v>201</v>
      </c>
      <c r="C35" t="s">
        <v>202</v>
      </c>
      <c r="D35" s="34">
        <v>150110.1</v>
      </c>
      <c r="E35">
        <v>1246128463</v>
      </c>
      <c r="F35" s="30">
        <v>45623</v>
      </c>
      <c r="G35" s="30"/>
      <c r="H35" t="s">
        <v>173</v>
      </c>
      <c r="I35" t="s">
        <v>174</v>
      </c>
      <c r="J35">
        <v>2720</v>
      </c>
      <c r="K35" s="30">
        <v>45328</v>
      </c>
      <c r="L35">
        <v>1010100</v>
      </c>
      <c r="M35" t="s">
        <v>35</v>
      </c>
      <c r="N35">
        <v>161</v>
      </c>
      <c r="O35" t="s">
        <v>161</v>
      </c>
      <c r="P35" t="s">
        <v>429</v>
      </c>
      <c r="Q35">
        <f t="shared" si="0"/>
        <v>488</v>
      </c>
      <c r="R35" t="str">
        <f>_xlfn.XLOOKUP(P35,'Painel Fertilizers'!$B:$B,'Painel Fertilizers'!$B:$B,0)</f>
        <v>GRUPO LEANDRO SARTI</v>
      </c>
    </row>
    <row r="36" spans="1:18" x14ac:dyDescent="0.25">
      <c r="A36">
        <v>14166</v>
      </c>
      <c r="B36" t="s">
        <v>123</v>
      </c>
      <c r="C36" t="s">
        <v>124</v>
      </c>
      <c r="D36" s="34">
        <v>82152</v>
      </c>
      <c r="E36">
        <v>1246231876</v>
      </c>
      <c r="F36" s="30">
        <v>46144</v>
      </c>
      <c r="G36" s="30"/>
      <c r="H36" t="s">
        <v>173</v>
      </c>
      <c r="I36" t="s">
        <v>174</v>
      </c>
      <c r="J36">
        <v>8933</v>
      </c>
      <c r="K36" s="30">
        <v>45888</v>
      </c>
      <c r="L36">
        <v>1010100</v>
      </c>
      <c r="M36" t="s">
        <v>35</v>
      </c>
      <c r="N36">
        <v>161</v>
      </c>
      <c r="O36" t="s">
        <v>161</v>
      </c>
      <c r="P36" t="s">
        <v>432</v>
      </c>
      <c r="Q36">
        <f t="shared" si="0"/>
        <v>-33</v>
      </c>
      <c r="R36" t="str">
        <f>_xlfn.XLOOKUP(P36,'Painel Fertilizers'!$B:$B,'Painel Fertilizers'!$B:$B,0)</f>
        <v>GRUPO TAKI AGRO</v>
      </c>
    </row>
    <row r="37" spans="1:18" x14ac:dyDescent="0.25">
      <c r="A37">
        <v>14166</v>
      </c>
      <c r="B37" t="s">
        <v>123</v>
      </c>
      <c r="C37" t="s">
        <v>124</v>
      </c>
      <c r="D37" s="34">
        <v>93462.6</v>
      </c>
      <c r="E37">
        <v>1246231878</v>
      </c>
      <c r="F37" s="30">
        <v>46144</v>
      </c>
      <c r="G37" s="30"/>
      <c r="H37" t="s">
        <v>173</v>
      </c>
      <c r="I37" t="s">
        <v>174</v>
      </c>
      <c r="J37">
        <v>8934</v>
      </c>
      <c r="K37" s="30">
        <v>45888</v>
      </c>
      <c r="L37">
        <v>1010100</v>
      </c>
      <c r="M37" t="s">
        <v>35</v>
      </c>
      <c r="N37">
        <v>161</v>
      </c>
      <c r="O37" t="s">
        <v>161</v>
      </c>
      <c r="P37" t="s">
        <v>432</v>
      </c>
      <c r="Q37">
        <f t="shared" si="0"/>
        <v>-33</v>
      </c>
      <c r="R37" t="str">
        <f>_xlfn.XLOOKUP(P37,'Painel Fertilizers'!$B:$B,'Painel Fertilizers'!$B:$B,0)</f>
        <v>GRUPO TAKI AGRO</v>
      </c>
    </row>
    <row r="38" spans="1:18" x14ac:dyDescent="0.25">
      <c r="A38">
        <v>14166</v>
      </c>
      <c r="B38" t="s">
        <v>123</v>
      </c>
      <c r="C38" t="s">
        <v>124</v>
      </c>
      <c r="D38" s="34">
        <v>131112.51999999999</v>
      </c>
      <c r="E38">
        <v>1246231981</v>
      </c>
      <c r="F38" s="30">
        <v>46143</v>
      </c>
      <c r="G38" s="30"/>
      <c r="H38" t="s">
        <v>173</v>
      </c>
      <c r="I38" t="s">
        <v>174</v>
      </c>
      <c r="J38">
        <v>8941</v>
      </c>
      <c r="K38" s="30">
        <v>45889</v>
      </c>
      <c r="L38">
        <v>1010100</v>
      </c>
      <c r="M38" t="s">
        <v>35</v>
      </c>
      <c r="N38">
        <v>56</v>
      </c>
      <c r="O38" t="s">
        <v>162</v>
      </c>
      <c r="P38" t="s">
        <v>432</v>
      </c>
      <c r="Q38">
        <f t="shared" si="0"/>
        <v>-32</v>
      </c>
      <c r="R38" t="str">
        <f>_xlfn.XLOOKUP(P38,'Painel Fertilizers'!$B:$B,'Painel Fertilizers'!$B:$B,0)</f>
        <v>GRUPO TAKI AGRO</v>
      </c>
    </row>
    <row r="39" spans="1:18" x14ac:dyDescent="0.25">
      <c r="A39">
        <v>14166</v>
      </c>
      <c r="B39" t="s">
        <v>123</v>
      </c>
      <c r="C39" t="s">
        <v>124</v>
      </c>
      <c r="D39" s="34">
        <v>188705.92000000001</v>
      </c>
      <c r="E39">
        <v>1246224769</v>
      </c>
      <c r="F39" s="30">
        <v>46132</v>
      </c>
      <c r="G39" s="30"/>
      <c r="H39" t="s">
        <v>173</v>
      </c>
      <c r="I39" t="s">
        <v>174</v>
      </c>
      <c r="J39">
        <v>8477</v>
      </c>
      <c r="K39" s="30">
        <v>45852</v>
      </c>
      <c r="L39">
        <v>1010100</v>
      </c>
      <c r="M39" t="s">
        <v>35</v>
      </c>
      <c r="N39">
        <v>161</v>
      </c>
      <c r="O39" t="s">
        <v>161</v>
      </c>
      <c r="P39" t="s">
        <v>432</v>
      </c>
      <c r="Q39">
        <f t="shared" si="0"/>
        <v>-21</v>
      </c>
      <c r="R39" t="str">
        <f>_xlfn.XLOOKUP(P39,'Painel Fertilizers'!$B:$B,'Painel Fertilizers'!$B:$B,0)</f>
        <v>GRUPO TAKI AGRO</v>
      </c>
    </row>
    <row r="40" spans="1:18" x14ac:dyDescent="0.25">
      <c r="A40">
        <v>14166</v>
      </c>
      <c r="B40" t="s">
        <v>123</v>
      </c>
      <c r="C40" t="s">
        <v>124</v>
      </c>
      <c r="D40" s="34">
        <v>83930.4</v>
      </c>
      <c r="E40">
        <v>1246227452</v>
      </c>
      <c r="F40" s="30">
        <v>46131</v>
      </c>
      <c r="G40" s="30"/>
      <c r="H40" t="s">
        <v>173</v>
      </c>
      <c r="I40" t="s">
        <v>174</v>
      </c>
      <c r="J40">
        <v>8647</v>
      </c>
      <c r="K40" s="30">
        <v>45866</v>
      </c>
      <c r="L40">
        <v>1010100</v>
      </c>
      <c r="M40" t="s">
        <v>35</v>
      </c>
      <c r="N40">
        <v>161</v>
      </c>
      <c r="O40" t="s">
        <v>161</v>
      </c>
      <c r="P40" t="s">
        <v>432</v>
      </c>
      <c r="Q40">
        <f t="shared" si="0"/>
        <v>-20</v>
      </c>
      <c r="R40" t="str">
        <f>_xlfn.XLOOKUP(P40,'Painel Fertilizers'!$B:$B,'Painel Fertilizers'!$B:$B,0)</f>
        <v>GRUPO TAKI AGRO</v>
      </c>
    </row>
    <row r="41" spans="1:18" x14ac:dyDescent="0.25">
      <c r="A41">
        <v>14166</v>
      </c>
      <c r="B41" t="s">
        <v>123</v>
      </c>
      <c r="C41" t="s">
        <v>124</v>
      </c>
      <c r="D41" s="34">
        <v>191491.28</v>
      </c>
      <c r="E41">
        <v>1246221981</v>
      </c>
      <c r="F41" s="30">
        <v>46140</v>
      </c>
      <c r="G41" s="30"/>
      <c r="H41" t="s">
        <v>173</v>
      </c>
      <c r="I41" t="s">
        <v>174</v>
      </c>
      <c r="J41">
        <v>8305</v>
      </c>
      <c r="K41" s="30">
        <v>45838</v>
      </c>
      <c r="L41">
        <v>1010100</v>
      </c>
      <c r="M41" t="s">
        <v>35</v>
      </c>
      <c r="N41">
        <v>161</v>
      </c>
      <c r="O41" t="s">
        <v>161</v>
      </c>
      <c r="P41" t="s">
        <v>432</v>
      </c>
      <c r="Q41">
        <f t="shared" si="0"/>
        <v>-29</v>
      </c>
      <c r="R41" t="str">
        <f>_xlfn.XLOOKUP(P41,'Painel Fertilizers'!$B:$B,'Painel Fertilizers'!$B:$B,0)</f>
        <v>GRUPO TAKI AGRO</v>
      </c>
    </row>
    <row r="42" spans="1:18" x14ac:dyDescent="0.25">
      <c r="A42">
        <v>14849</v>
      </c>
      <c r="B42" t="s">
        <v>353</v>
      </c>
      <c r="C42" t="s">
        <v>619</v>
      </c>
      <c r="D42" s="34">
        <v>133718</v>
      </c>
      <c r="E42">
        <v>1246222953</v>
      </c>
      <c r="F42" s="30">
        <v>46143</v>
      </c>
      <c r="G42" s="30"/>
      <c r="H42" t="s">
        <v>173</v>
      </c>
      <c r="I42" t="s">
        <v>174</v>
      </c>
      <c r="J42">
        <v>8360</v>
      </c>
      <c r="K42" s="30">
        <v>45841</v>
      </c>
      <c r="L42">
        <v>1010100</v>
      </c>
      <c r="M42" t="s">
        <v>35</v>
      </c>
      <c r="N42">
        <v>161</v>
      </c>
      <c r="O42" t="s">
        <v>161</v>
      </c>
      <c r="P42" t="s">
        <v>433</v>
      </c>
      <c r="Q42">
        <f t="shared" si="0"/>
        <v>-32</v>
      </c>
      <c r="R42" t="str">
        <f>_xlfn.XLOOKUP(P42,'Painel Fertilizers'!$B:$B,'Painel Fertilizers'!$B:$B,0)</f>
        <v>GRUPO BOLSA AGRONEGOCIO</v>
      </c>
    </row>
    <row r="43" spans="1:18" x14ac:dyDescent="0.25">
      <c r="A43">
        <v>15908</v>
      </c>
      <c r="B43" t="s">
        <v>899</v>
      </c>
      <c r="C43" t="s">
        <v>900</v>
      </c>
      <c r="D43" s="34">
        <v>152185.74</v>
      </c>
      <c r="E43">
        <v>1246268845</v>
      </c>
      <c r="F43" s="30">
        <v>46195</v>
      </c>
      <c r="G43" s="30"/>
      <c r="H43" t="s">
        <v>173</v>
      </c>
      <c r="I43" t="s">
        <v>174</v>
      </c>
      <c r="J43">
        <v>10968</v>
      </c>
      <c r="K43" s="30">
        <v>46105</v>
      </c>
      <c r="L43">
        <v>1010100</v>
      </c>
      <c r="M43" t="s">
        <v>35</v>
      </c>
      <c r="N43">
        <v>161</v>
      </c>
      <c r="O43" t="s">
        <v>161</v>
      </c>
      <c r="P43" t="s">
        <v>83</v>
      </c>
      <c r="Q43">
        <f t="shared" si="0"/>
        <v>-84</v>
      </c>
      <c r="R43" t="str">
        <f>_xlfn.XLOOKUP(P43,'Painel Fertilizers'!$B:$B,'Painel Fertilizers'!$B:$B,0)</f>
        <v>ADUFERTIL JUNDIAI</v>
      </c>
    </row>
    <row r="44" spans="1:18" x14ac:dyDescent="0.25">
      <c r="A44">
        <v>15908</v>
      </c>
      <c r="B44" t="s">
        <v>899</v>
      </c>
      <c r="C44" t="s">
        <v>900</v>
      </c>
      <c r="D44" s="34">
        <v>38698.71</v>
      </c>
      <c r="E44">
        <v>1246268455</v>
      </c>
      <c r="F44" s="30">
        <v>46190</v>
      </c>
      <c r="G44" s="30"/>
      <c r="H44" t="s">
        <v>173</v>
      </c>
      <c r="I44" t="s">
        <v>174</v>
      </c>
      <c r="J44">
        <v>10935</v>
      </c>
      <c r="K44" s="30">
        <v>46100</v>
      </c>
      <c r="L44">
        <v>1010100</v>
      </c>
      <c r="M44" t="s">
        <v>35</v>
      </c>
      <c r="N44">
        <v>161</v>
      </c>
      <c r="O44" t="s">
        <v>161</v>
      </c>
      <c r="P44" t="s">
        <v>83</v>
      </c>
      <c r="Q44">
        <f t="shared" si="0"/>
        <v>-79</v>
      </c>
      <c r="R44" t="str">
        <f>_xlfn.XLOOKUP(P44,'Painel Fertilizers'!$B:$B,'Painel Fertilizers'!$B:$B,0)</f>
        <v>ADUFERTIL JUNDIAI</v>
      </c>
    </row>
    <row r="45" spans="1:18" x14ac:dyDescent="0.25">
      <c r="A45">
        <v>15905</v>
      </c>
      <c r="B45" t="s">
        <v>901</v>
      </c>
      <c r="C45" t="s">
        <v>902</v>
      </c>
      <c r="D45" s="34">
        <v>51551.06</v>
      </c>
      <c r="E45">
        <v>1246268473</v>
      </c>
      <c r="F45" s="30">
        <v>46190</v>
      </c>
      <c r="G45" s="30"/>
      <c r="H45" t="s">
        <v>173</v>
      </c>
      <c r="I45" t="s">
        <v>174</v>
      </c>
      <c r="J45">
        <v>10938</v>
      </c>
      <c r="K45" s="30">
        <v>46100</v>
      </c>
      <c r="L45">
        <v>1010100</v>
      </c>
      <c r="M45" t="s">
        <v>35</v>
      </c>
      <c r="N45">
        <v>161</v>
      </c>
      <c r="O45" t="s">
        <v>161</v>
      </c>
      <c r="P45" t="s">
        <v>83</v>
      </c>
      <c r="Q45">
        <f t="shared" si="0"/>
        <v>-79</v>
      </c>
      <c r="R45" t="str">
        <f>_xlfn.XLOOKUP(P45,'Painel Fertilizers'!$B:$B,'Painel Fertilizers'!$B:$B,0)</f>
        <v>ADUFERTIL JUNDIAI</v>
      </c>
    </row>
    <row r="46" spans="1:18" x14ac:dyDescent="0.25">
      <c r="A46">
        <v>15905</v>
      </c>
      <c r="B46" t="s">
        <v>901</v>
      </c>
      <c r="C46" t="s">
        <v>902</v>
      </c>
      <c r="D46" s="34">
        <v>177522.26</v>
      </c>
      <c r="E46">
        <v>1246268967</v>
      </c>
      <c r="F46" s="30">
        <v>46196</v>
      </c>
      <c r="G46" s="30"/>
      <c r="H46" t="s">
        <v>173</v>
      </c>
      <c r="I46" t="s">
        <v>174</v>
      </c>
      <c r="J46">
        <v>10973</v>
      </c>
      <c r="K46" s="30">
        <v>46106</v>
      </c>
      <c r="L46">
        <v>1010100</v>
      </c>
      <c r="M46" t="s">
        <v>35</v>
      </c>
      <c r="N46">
        <v>161</v>
      </c>
      <c r="O46" t="s">
        <v>161</v>
      </c>
      <c r="P46" t="s">
        <v>83</v>
      </c>
      <c r="Q46">
        <f t="shared" si="0"/>
        <v>-85</v>
      </c>
      <c r="R46" t="str">
        <f>_xlfn.XLOOKUP(P46,'Painel Fertilizers'!$B:$B,'Painel Fertilizers'!$B:$B,0)</f>
        <v>ADUFERTIL JUNDIAI</v>
      </c>
    </row>
    <row r="47" spans="1:18" x14ac:dyDescent="0.25">
      <c r="A47">
        <v>16387</v>
      </c>
      <c r="B47" t="s">
        <v>746</v>
      </c>
      <c r="C47" t="s">
        <v>747</v>
      </c>
      <c r="D47" s="34">
        <v>5030.5</v>
      </c>
      <c r="E47">
        <v>1246250305</v>
      </c>
      <c r="F47" s="30">
        <v>46254</v>
      </c>
      <c r="G47" s="30"/>
      <c r="H47" t="s">
        <v>173</v>
      </c>
      <c r="I47" t="s">
        <v>174</v>
      </c>
      <c r="J47">
        <v>10088</v>
      </c>
      <c r="K47" s="30">
        <v>45982</v>
      </c>
      <c r="L47">
        <v>1010100</v>
      </c>
      <c r="M47" t="s">
        <v>35</v>
      </c>
      <c r="N47">
        <v>161</v>
      </c>
      <c r="O47" t="s">
        <v>161</v>
      </c>
      <c r="P47" t="s">
        <v>426</v>
      </c>
      <c r="Q47">
        <f t="shared" si="0"/>
        <v>-143</v>
      </c>
      <c r="R47" t="str">
        <f>_xlfn.XLOOKUP(P47,'Painel Fertilizers'!$B:$B,'Painel Fertilizers'!$B:$B,0)</f>
        <v>GRUPO SAGRA</v>
      </c>
    </row>
    <row r="48" spans="1:18" x14ac:dyDescent="0.25">
      <c r="A48">
        <v>15906</v>
      </c>
      <c r="B48" t="s">
        <v>903</v>
      </c>
      <c r="C48" t="s">
        <v>904</v>
      </c>
      <c r="D48" s="34">
        <v>51551.06</v>
      </c>
      <c r="E48">
        <v>1246268468</v>
      </c>
      <c r="F48" s="30">
        <v>46190</v>
      </c>
      <c r="G48" s="30"/>
      <c r="H48" t="s">
        <v>173</v>
      </c>
      <c r="I48" t="s">
        <v>174</v>
      </c>
      <c r="J48">
        <v>10937</v>
      </c>
      <c r="K48" s="30">
        <v>46100</v>
      </c>
      <c r="L48">
        <v>1010100</v>
      </c>
      <c r="M48" t="s">
        <v>35</v>
      </c>
      <c r="N48">
        <v>161</v>
      </c>
      <c r="O48" t="s">
        <v>161</v>
      </c>
      <c r="P48" t="s">
        <v>83</v>
      </c>
      <c r="Q48">
        <f t="shared" si="0"/>
        <v>-79</v>
      </c>
      <c r="R48" t="str">
        <f>_xlfn.XLOOKUP(P48,'Painel Fertilizers'!$B:$B,'Painel Fertilizers'!$B:$B,0)</f>
        <v>ADUFERTIL JUNDIAI</v>
      </c>
    </row>
    <row r="49" spans="1:18" x14ac:dyDescent="0.25">
      <c r="A49">
        <v>15904</v>
      </c>
      <c r="B49" t="s">
        <v>905</v>
      </c>
      <c r="C49" t="s">
        <v>906</v>
      </c>
      <c r="D49" s="34">
        <v>38698.71</v>
      </c>
      <c r="E49">
        <v>1246268475</v>
      </c>
      <c r="F49" s="30">
        <v>46190</v>
      </c>
      <c r="G49" s="30"/>
      <c r="H49" t="s">
        <v>173</v>
      </c>
      <c r="I49" t="s">
        <v>174</v>
      </c>
      <c r="J49">
        <v>10939</v>
      </c>
      <c r="K49" s="30">
        <v>46100</v>
      </c>
      <c r="L49">
        <v>1010100</v>
      </c>
      <c r="M49" t="s">
        <v>35</v>
      </c>
      <c r="N49">
        <v>161</v>
      </c>
      <c r="O49" t="s">
        <v>161</v>
      </c>
      <c r="P49" t="s">
        <v>83</v>
      </c>
      <c r="Q49">
        <f t="shared" si="0"/>
        <v>-79</v>
      </c>
      <c r="R49" t="str">
        <f>_xlfn.XLOOKUP(P49,'Painel Fertilizers'!$B:$B,'Painel Fertilizers'!$B:$B,0)</f>
        <v>ADUFERTIL JUNDIAI</v>
      </c>
    </row>
    <row r="50" spans="1:18" x14ac:dyDescent="0.25">
      <c r="A50">
        <v>15904</v>
      </c>
      <c r="B50" t="s">
        <v>905</v>
      </c>
      <c r="C50" t="s">
        <v>906</v>
      </c>
      <c r="D50" s="34">
        <v>152158.14000000001</v>
      </c>
      <c r="E50">
        <v>1246269114</v>
      </c>
      <c r="F50" s="30">
        <v>46196</v>
      </c>
      <c r="G50" s="30"/>
      <c r="H50" t="s">
        <v>173</v>
      </c>
      <c r="I50" t="s">
        <v>174</v>
      </c>
      <c r="J50">
        <v>10978</v>
      </c>
      <c r="K50" s="30">
        <v>46106</v>
      </c>
      <c r="L50">
        <v>1010100</v>
      </c>
      <c r="M50" t="s">
        <v>35</v>
      </c>
      <c r="N50">
        <v>161</v>
      </c>
      <c r="O50" t="s">
        <v>161</v>
      </c>
      <c r="P50" t="s">
        <v>83</v>
      </c>
      <c r="Q50">
        <f t="shared" si="0"/>
        <v>-85</v>
      </c>
      <c r="R50" t="str">
        <f>_xlfn.XLOOKUP(P50,'Painel Fertilizers'!$B:$B,'Painel Fertilizers'!$B:$B,0)</f>
        <v>ADUFERTIL JUNDIAI</v>
      </c>
    </row>
    <row r="51" spans="1:18" x14ac:dyDescent="0.25">
      <c r="A51">
        <v>6132</v>
      </c>
      <c r="B51" t="s">
        <v>177</v>
      </c>
      <c r="C51" t="s">
        <v>178</v>
      </c>
      <c r="D51" s="34">
        <v>131993.79999999999</v>
      </c>
      <c r="E51">
        <v>1246090615</v>
      </c>
      <c r="F51" s="30">
        <v>45471</v>
      </c>
      <c r="G51" s="30"/>
      <c r="H51" t="s">
        <v>173</v>
      </c>
      <c r="I51" t="s">
        <v>174</v>
      </c>
      <c r="J51">
        <v>33</v>
      </c>
      <c r="K51" s="30">
        <v>45111</v>
      </c>
      <c r="L51">
        <v>1010100</v>
      </c>
      <c r="M51" t="s">
        <v>35</v>
      </c>
      <c r="N51">
        <v>161</v>
      </c>
      <c r="O51" t="s">
        <v>161</v>
      </c>
      <c r="P51" t="s">
        <v>177</v>
      </c>
      <c r="Q51">
        <f t="shared" si="0"/>
        <v>640</v>
      </c>
      <c r="R51" t="str">
        <f>_xlfn.XLOOKUP(P51,'Painel Fertilizers'!$B:$B,'Painel Fertilizers'!$B:$B,0)</f>
        <v>CENTRAL DO ADUBO COM E REPRESENTACAO LTD</v>
      </c>
    </row>
    <row r="52" spans="1:18" x14ac:dyDescent="0.25">
      <c r="A52">
        <v>6132</v>
      </c>
      <c r="B52" t="s">
        <v>177</v>
      </c>
      <c r="C52" t="s">
        <v>178</v>
      </c>
      <c r="D52" s="34">
        <v>178370</v>
      </c>
      <c r="E52">
        <v>1246091907</v>
      </c>
      <c r="F52" s="30">
        <v>45437</v>
      </c>
      <c r="G52" s="30"/>
      <c r="H52" t="s">
        <v>173</v>
      </c>
      <c r="I52" t="s">
        <v>174</v>
      </c>
      <c r="J52">
        <v>129</v>
      </c>
      <c r="K52" s="30">
        <v>45119</v>
      </c>
      <c r="L52">
        <v>1010100</v>
      </c>
      <c r="M52" t="s">
        <v>35</v>
      </c>
      <c r="N52">
        <v>161</v>
      </c>
      <c r="O52" t="s">
        <v>161</v>
      </c>
      <c r="P52" t="s">
        <v>177</v>
      </c>
      <c r="Q52">
        <f t="shared" si="0"/>
        <v>674</v>
      </c>
      <c r="R52" t="str">
        <f>_xlfn.XLOOKUP(P52,'Painel Fertilizers'!$B:$B,'Painel Fertilizers'!$B:$B,0)</f>
        <v>CENTRAL DO ADUBO COM E REPRESENTACAO LTD</v>
      </c>
    </row>
    <row r="53" spans="1:18" x14ac:dyDescent="0.25">
      <c r="A53">
        <v>6132</v>
      </c>
      <c r="B53" t="s">
        <v>177</v>
      </c>
      <c r="C53" t="s">
        <v>178</v>
      </c>
      <c r="D53" s="34">
        <v>178370</v>
      </c>
      <c r="E53">
        <v>1246090579</v>
      </c>
      <c r="F53" s="30">
        <v>45470</v>
      </c>
      <c r="G53" s="30"/>
      <c r="H53" t="s">
        <v>173</v>
      </c>
      <c r="I53" t="s">
        <v>174</v>
      </c>
      <c r="J53">
        <v>28</v>
      </c>
      <c r="K53" s="30">
        <v>45110</v>
      </c>
      <c r="L53">
        <v>1010100</v>
      </c>
      <c r="M53" t="s">
        <v>35</v>
      </c>
      <c r="N53">
        <v>161</v>
      </c>
      <c r="O53" t="s">
        <v>161</v>
      </c>
      <c r="P53" t="s">
        <v>177</v>
      </c>
      <c r="Q53">
        <f t="shared" si="0"/>
        <v>641</v>
      </c>
      <c r="R53" t="str">
        <f>_xlfn.XLOOKUP(P53,'Painel Fertilizers'!$B:$B,'Painel Fertilizers'!$B:$B,0)</f>
        <v>CENTRAL DO ADUBO COM E REPRESENTACAO LTD</v>
      </c>
    </row>
    <row r="54" spans="1:18" x14ac:dyDescent="0.25">
      <c r="A54">
        <v>6132</v>
      </c>
      <c r="B54" t="s">
        <v>177</v>
      </c>
      <c r="C54" t="s">
        <v>178</v>
      </c>
      <c r="D54" s="34">
        <v>142696</v>
      </c>
      <c r="E54">
        <v>1246091833</v>
      </c>
      <c r="F54" s="30">
        <v>45436</v>
      </c>
      <c r="G54" s="30"/>
      <c r="H54" t="s">
        <v>173</v>
      </c>
      <c r="I54" t="s">
        <v>174</v>
      </c>
      <c r="J54">
        <v>116</v>
      </c>
      <c r="K54" s="30">
        <v>45118</v>
      </c>
      <c r="L54">
        <v>1010100</v>
      </c>
      <c r="M54" t="s">
        <v>35</v>
      </c>
      <c r="N54">
        <v>161</v>
      </c>
      <c r="O54" t="s">
        <v>161</v>
      </c>
      <c r="P54" t="s">
        <v>177</v>
      </c>
      <c r="Q54">
        <f t="shared" si="0"/>
        <v>675</v>
      </c>
      <c r="R54" t="str">
        <f>_xlfn.XLOOKUP(P54,'Painel Fertilizers'!$B:$B,'Painel Fertilizers'!$B:$B,0)</f>
        <v>CENTRAL DO ADUBO COM E REPRESENTACAO LTD</v>
      </c>
    </row>
    <row r="55" spans="1:18" x14ac:dyDescent="0.25">
      <c r="A55">
        <v>6132</v>
      </c>
      <c r="B55" t="s">
        <v>177</v>
      </c>
      <c r="C55" t="s">
        <v>178</v>
      </c>
      <c r="D55" s="34">
        <v>60766.2</v>
      </c>
      <c r="E55">
        <v>1246095119</v>
      </c>
      <c r="F55" s="30">
        <v>45447</v>
      </c>
      <c r="G55" s="30"/>
      <c r="H55" t="s">
        <v>173</v>
      </c>
      <c r="I55" t="s">
        <v>174</v>
      </c>
      <c r="J55">
        <v>93</v>
      </c>
      <c r="K55" s="30">
        <v>45138</v>
      </c>
      <c r="L55">
        <v>1010100</v>
      </c>
      <c r="M55" t="s">
        <v>35</v>
      </c>
      <c r="N55">
        <v>161</v>
      </c>
      <c r="O55" t="s">
        <v>161</v>
      </c>
      <c r="P55" t="s">
        <v>177</v>
      </c>
      <c r="Q55">
        <f t="shared" si="0"/>
        <v>664</v>
      </c>
      <c r="R55" t="str">
        <f>_xlfn.XLOOKUP(P55,'Painel Fertilizers'!$B:$B,'Painel Fertilizers'!$B:$B,0)</f>
        <v>CENTRAL DO ADUBO COM E REPRESENTACAO LTD</v>
      </c>
    </row>
    <row r="56" spans="1:18" x14ac:dyDescent="0.25">
      <c r="A56">
        <v>6132</v>
      </c>
      <c r="B56" t="s">
        <v>177</v>
      </c>
      <c r="C56" t="s">
        <v>178</v>
      </c>
      <c r="D56" s="34">
        <v>178260</v>
      </c>
      <c r="E56">
        <v>1246091832</v>
      </c>
      <c r="F56" s="30">
        <v>45436</v>
      </c>
      <c r="G56" s="30"/>
      <c r="H56" t="s">
        <v>173</v>
      </c>
      <c r="I56" t="s">
        <v>174</v>
      </c>
      <c r="J56">
        <v>115</v>
      </c>
      <c r="K56" s="30">
        <v>45118</v>
      </c>
      <c r="L56">
        <v>1010100</v>
      </c>
      <c r="M56" t="s">
        <v>35</v>
      </c>
      <c r="N56">
        <v>161</v>
      </c>
      <c r="O56" t="s">
        <v>161</v>
      </c>
      <c r="P56" t="s">
        <v>177</v>
      </c>
      <c r="Q56">
        <f t="shared" si="0"/>
        <v>675</v>
      </c>
      <c r="R56" t="str">
        <f>_xlfn.XLOOKUP(P56,'Painel Fertilizers'!$B:$B,'Painel Fertilizers'!$B:$B,0)</f>
        <v>CENTRAL DO ADUBO COM E REPRESENTACAO LTD</v>
      </c>
    </row>
    <row r="57" spans="1:18" x14ac:dyDescent="0.25">
      <c r="A57">
        <v>6132</v>
      </c>
      <c r="B57" t="s">
        <v>177</v>
      </c>
      <c r="C57" t="s">
        <v>178</v>
      </c>
      <c r="D57" s="34">
        <v>151915.50000000003</v>
      </c>
      <c r="E57">
        <v>1246095049</v>
      </c>
      <c r="F57" s="30">
        <v>45447</v>
      </c>
      <c r="G57" s="30"/>
      <c r="H57" t="s">
        <v>173</v>
      </c>
      <c r="I57" t="s">
        <v>174</v>
      </c>
      <c r="J57">
        <v>92</v>
      </c>
      <c r="K57" s="30">
        <v>45138</v>
      </c>
      <c r="L57">
        <v>1010100</v>
      </c>
      <c r="M57" t="s">
        <v>35</v>
      </c>
      <c r="N57">
        <v>161</v>
      </c>
      <c r="O57" t="s">
        <v>161</v>
      </c>
      <c r="P57" t="s">
        <v>177</v>
      </c>
      <c r="Q57">
        <f t="shared" si="0"/>
        <v>664</v>
      </c>
      <c r="R57" t="str">
        <f>_xlfn.XLOOKUP(P57,'Painel Fertilizers'!$B:$B,'Painel Fertilizers'!$B:$B,0)</f>
        <v>CENTRAL DO ADUBO COM E REPRESENTACAO LTD</v>
      </c>
    </row>
    <row r="58" spans="1:18" x14ac:dyDescent="0.25">
      <c r="A58">
        <v>6132</v>
      </c>
      <c r="B58" t="s">
        <v>177</v>
      </c>
      <c r="C58" t="s">
        <v>178</v>
      </c>
      <c r="D58" s="34">
        <v>91149.3</v>
      </c>
      <c r="E58">
        <v>1246095124</v>
      </c>
      <c r="F58" s="30">
        <v>45447</v>
      </c>
      <c r="G58" s="30"/>
      <c r="H58" t="s">
        <v>173</v>
      </c>
      <c r="I58" t="s">
        <v>174</v>
      </c>
      <c r="J58">
        <v>94</v>
      </c>
      <c r="K58" s="30">
        <v>45138</v>
      </c>
      <c r="L58">
        <v>1010100</v>
      </c>
      <c r="M58" t="s">
        <v>35</v>
      </c>
      <c r="N58">
        <v>161</v>
      </c>
      <c r="O58" t="s">
        <v>161</v>
      </c>
      <c r="P58" t="s">
        <v>177</v>
      </c>
      <c r="Q58">
        <f t="shared" si="0"/>
        <v>664</v>
      </c>
      <c r="R58" t="str">
        <f>_xlfn.XLOOKUP(P58,'Painel Fertilizers'!$B:$B,'Painel Fertilizers'!$B:$B,0)</f>
        <v>CENTRAL DO ADUBO COM E REPRESENTACAO LTD</v>
      </c>
    </row>
    <row r="59" spans="1:18" x14ac:dyDescent="0.25">
      <c r="A59">
        <v>6132</v>
      </c>
      <c r="B59" t="s">
        <v>177</v>
      </c>
      <c r="C59" t="s">
        <v>178</v>
      </c>
      <c r="D59" s="34">
        <v>85223.34</v>
      </c>
      <c r="E59">
        <v>1246097799</v>
      </c>
      <c r="F59" s="30">
        <v>45442</v>
      </c>
      <c r="G59" s="30"/>
      <c r="H59" t="s">
        <v>173</v>
      </c>
      <c r="I59" t="s">
        <v>174</v>
      </c>
      <c r="J59">
        <v>678</v>
      </c>
      <c r="K59" s="30">
        <v>45152</v>
      </c>
      <c r="L59">
        <v>1010100</v>
      </c>
      <c r="M59" t="s">
        <v>35</v>
      </c>
      <c r="N59">
        <v>161</v>
      </c>
      <c r="O59" t="s">
        <v>161</v>
      </c>
      <c r="P59" t="s">
        <v>177</v>
      </c>
      <c r="Q59">
        <f t="shared" si="0"/>
        <v>669</v>
      </c>
      <c r="R59" t="str">
        <f>_xlfn.XLOOKUP(P59,'Painel Fertilizers'!$B:$B,'Painel Fertilizers'!$B:$B,0)</f>
        <v>CENTRAL DO ADUBO COM E REPRESENTACAO LTD</v>
      </c>
    </row>
    <row r="60" spans="1:18" x14ac:dyDescent="0.25">
      <c r="A60">
        <v>6132</v>
      </c>
      <c r="B60" t="s">
        <v>177</v>
      </c>
      <c r="C60" t="s">
        <v>178</v>
      </c>
      <c r="D60" s="34">
        <v>84323.41</v>
      </c>
      <c r="E60">
        <v>1246121990</v>
      </c>
      <c r="F60" s="30">
        <v>45557</v>
      </c>
      <c r="G60" s="30"/>
      <c r="H60" t="s">
        <v>173</v>
      </c>
      <c r="I60" t="s">
        <v>174</v>
      </c>
      <c r="J60">
        <v>2361</v>
      </c>
      <c r="K60" s="30">
        <v>45289</v>
      </c>
      <c r="L60">
        <v>1010100</v>
      </c>
      <c r="M60" t="s">
        <v>35</v>
      </c>
      <c r="N60">
        <v>161</v>
      </c>
      <c r="O60" t="s">
        <v>161</v>
      </c>
      <c r="P60" t="s">
        <v>177</v>
      </c>
      <c r="Q60">
        <f t="shared" si="0"/>
        <v>554</v>
      </c>
      <c r="R60" t="str">
        <f>_xlfn.XLOOKUP(P60,'Painel Fertilizers'!$B:$B,'Painel Fertilizers'!$B:$B,0)</f>
        <v>CENTRAL DO ADUBO COM E REPRESENTACAO LTD</v>
      </c>
    </row>
    <row r="61" spans="1:18" x14ac:dyDescent="0.25">
      <c r="A61">
        <v>6132</v>
      </c>
      <c r="B61" t="s">
        <v>177</v>
      </c>
      <c r="C61" t="s">
        <v>178</v>
      </c>
      <c r="D61" s="34">
        <v>63251.12</v>
      </c>
      <c r="E61">
        <v>1246128996</v>
      </c>
      <c r="F61" s="30">
        <v>45571</v>
      </c>
      <c r="G61" s="30"/>
      <c r="H61" t="s">
        <v>173</v>
      </c>
      <c r="I61" t="s">
        <v>174</v>
      </c>
      <c r="J61">
        <v>2766</v>
      </c>
      <c r="K61" s="30">
        <v>45331</v>
      </c>
      <c r="L61">
        <v>1010100</v>
      </c>
      <c r="M61" t="s">
        <v>35</v>
      </c>
      <c r="N61">
        <v>161</v>
      </c>
      <c r="O61" t="s">
        <v>161</v>
      </c>
      <c r="P61" t="s">
        <v>177</v>
      </c>
      <c r="Q61">
        <f t="shared" si="0"/>
        <v>540</v>
      </c>
      <c r="R61" t="str">
        <f>_xlfn.XLOOKUP(P61,'Painel Fertilizers'!$B:$B,'Painel Fertilizers'!$B:$B,0)</f>
        <v>CENTRAL DO ADUBO COM E REPRESENTACAO LTD</v>
      </c>
    </row>
    <row r="62" spans="1:18" x14ac:dyDescent="0.25">
      <c r="A62">
        <v>6132</v>
      </c>
      <c r="B62" t="s">
        <v>177</v>
      </c>
      <c r="C62" t="s">
        <v>178</v>
      </c>
      <c r="D62" s="34">
        <v>52062</v>
      </c>
      <c r="E62">
        <v>1246115169</v>
      </c>
      <c r="F62" s="30">
        <v>45466</v>
      </c>
      <c r="G62" s="30"/>
      <c r="H62" t="s">
        <v>173</v>
      </c>
      <c r="I62" t="s">
        <v>174</v>
      </c>
      <c r="J62">
        <v>1974</v>
      </c>
      <c r="K62" s="30">
        <v>45244</v>
      </c>
      <c r="L62">
        <v>1010100</v>
      </c>
      <c r="M62" t="s">
        <v>35</v>
      </c>
      <c r="N62">
        <v>161</v>
      </c>
      <c r="O62" t="s">
        <v>161</v>
      </c>
      <c r="P62" t="s">
        <v>177</v>
      </c>
      <c r="Q62">
        <f t="shared" si="0"/>
        <v>645</v>
      </c>
      <c r="R62" t="str">
        <f>_xlfn.XLOOKUP(P62,'Painel Fertilizers'!$B:$B,'Painel Fertilizers'!$B:$B,0)</f>
        <v>CENTRAL DO ADUBO COM E REPRESENTACAO LTD</v>
      </c>
    </row>
    <row r="63" spans="1:18" x14ac:dyDescent="0.25">
      <c r="A63">
        <v>6132</v>
      </c>
      <c r="B63" t="s">
        <v>177</v>
      </c>
      <c r="C63" t="s">
        <v>178</v>
      </c>
      <c r="D63" s="34">
        <v>32002.66</v>
      </c>
      <c r="E63">
        <v>1246120211</v>
      </c>
      <c r="F63" s="30">
        <v>45518</v>
      </c>
      <c r="G63" s="30"/>
      <c r="H63" t="s">
        <v>173</v>
      </c>
      <c r="I63" t="s">
        <v>174</v>
      </c>
      <c r="J63">
        <v>2284</v>
      </c>
      <c r="K63" s="30">
        <v>45278</v>
      </c>
      <c r="L63">
        <v>1010100</v>
      </c>
      <c r="M63" t="s">
        <v>35</v>
      </c>
      <c r="N63">
        <v>161</v>
      </c>
      <c r="O63" t="s">
        <v>161</v>
      </c>
      <c r="P63" t="s">
        <v>177</v>
      </c>
      <c r="Q63">
        <f t="shared" si="0"/>
        <v>593</v>
      </c>
      <c r="R63" t="str">
        <f>_xlfn.XLOOKUP(P63,'Painel Fertilizers'!$B:$B,'Painel Fertilizers'!$B:$B,0)</f>
        <v>CENTRAL DO ADUBO COM E REPRESENTACAO LTD</v>
      </c>
    </row>
    <row r="64" spans="1:18" x14ac:dyDescent="0.25">
      <c r="A64">
        <v>6132</v>
      </c>
      <c r="B64" t="s">
        <v>177</v>
      </c>
      <c r="C64" t="s">
        <v>178</v>
      </c>
      <c r="D64" s="34">
        <v>112435.2</v>
      </c>
      <c r="E64">
        <v>1246116054</v>
      </c>
      <c r="F64" s="30">
        <v>45491</v>
      </c>
      <c r="G64" s="30"/>
      <c r="H64" t="s">
        <v>173</v>
      </c>
      <c r="I64" t="s">
        <v>174</v>
      </c>
      <c r="J64">
        <v>2046</v>
      </c>
      <c r="K64" s="30">
        <v>45251</v>
      </c>
      <c r="L64">
        <v>1010100</v>
      </c>
      <c r="M64" t="s">
        <v>35</v>
      </c>
      <c r="N64">
        <v>161</v>
      </c>
      <c r="O64" t="s">
        <v>161</v>
      </c>
      <c r="P64" t="s">
        <v>177</v>
      </c>
      <c r="Q64">
        <f t="shared" si="0"/>
        <v>620</v>
      </c>
      <c r="R64" t="str">
        <f>_xlfn.XLOOKUP(P64,'Painel Fertilizers'!$B:$B,'Painel Fertilizers'!$B:$B,0)</f>
        <v>CENTRAL DO ADUBO COM E REPRESENTACAO LTD</v>
      </c>
    </row>
    <row r="65" spans="1:18" x14ac:dyDescent="0.25">
      <c r="A65">
        <v>6132</v>
      </c>
      <c r="B65" t="s">
        <v>177</v>
      </c>
      <c r="C65" t="s">
        <v>178</v>
      </c>
      <c r="D65" s="34">
        <v>29450.6</v>
      </c>
      <c r="E65">
        <v>1246128801</v>
      </c>
      <c r="F65" s="30">
        <v>45605</v>
      </c>
      <c r="G65" s="30"/>
      <c r="H65" t="s">
        <v>173</v>
      </c>
      <c r="I65" t="s">
        <v>174</v>
      </c>
      <c r="J65">
        <v>2746</v>
      </c>
      <c r="K65" s="30">
        <v>45330</v>
      </c>
      <c r="L65">
        <v>1010100</v>
      </c>
      <c r="M65" t="s">
        <v>35</v>
      </c>
      <c r="N65">
        <v>161</v>
      </c>
      <c r="O65" t="s">
        <v>161</v>
      </c>
      <c r="P65" t="s">
        <v>177</v>
      </c>
      <c r="Q65">
        <f t="shared" si="0"/>
        <v>506</v>
      </c>
      <c r="R65" t="str">
        <f>_xlfn.XLOOKUP(P65,'Painel Fertilizers'!$B:$B,'Painel Fertilizers'!$B:$B,0)</f>
        <v>CENTRAL DO ADUBO COM E REPRESENTACAO LTD</v>
      </c>
    </row>
    <row r="66" spans="1:18" x14ac:dyDescent="0.25">
      <c r="A66">
        <v>6132</v>
      </c>
      <c r="B66" t="s">
        <v>177</v>
      </c>
      <c r="C66" t="s">
        <v>178</v>
      </c>
      <c r="D66" s="34">
        <v>87840</v>
      </c>
      <c r="E66">
        <v>1246113431</v>
      </c>
      <c r="F66" s="30">
        <v>45476</v>
      </c>
      <c r="G66" s="30"/>
      <c r="H66" t="s">
        <v>173</v>
      </c>
      <c r="I66" t="s">
        <v>174</v>
      </c>
      <c r="J66">
        <v>1852</v>
      </c>
      <c r="K66" s="30">
        <v>45236</v>
      </c>
      <c r="L66">
        <v>1010100</v>
      </c>
      <c r="M66" t="s">
        <v>35</v>
      </c>
      <c r="N66">
        <v>161</v>
      </c>
      <c r="O66" t="s">
        <v>161</v>
      </c>
      <c r="P66" t="s">
        <v>177</v>
      </c>
      <c r="Q66">
        <f t="shared" ref="Q66:Q126" si="1">$R$1-F66</f>
        <v>635</v>
      </c>
      <c r="R66" t="str">
        <f>_xlfn.XLOOKUP(P66,'Painel Fertilizers'!$B:$B,'Painel Fertilizers'!$B:$B,0)</f>
        <v>CENTRAL DO ADUBO COM E REPRESENTACAO LTD</v>
      </c>
    </row>
    <row r="67" spans="1:18" x14ac:dyDescent="0.25">
      <c r="A67">
        <v>6132</v>
      </c>
      <c r="B67" t="s">
        <v>177</v>
      </c>
      <c r="C67" t="s">
        <v>178</v>
      </c>
      <c r="D67" s="34">
        <v>27201.1</v>
      </c>
      <c r="E67">
        <v>1246124199</v>
      </c>
      <c r="F67" s="30">
        <v>45557</v>
      </c>
      <c r="G67" s="30"/>
      <c r="H67" t="s">
        <v>173</v>
      </c>
      <c r="I67" t="s">
        <v>174</v>
      </c>
      <c r="J67">
        <v>2454</v>
      </c>
      <c r="K67" s="30">
        <v>45301</v>
      </c>
      <c r="L67">
        <v>1010100</v>
      </c>
      <c r="M67" t="s">
        <v>35</v>
      </c>
      <c r="N67">
        <v>161</v>
      </c>
      <c r="O67" t="s">
        <v>161</v>
      </c>
      <c r="P67" t="s">
        <v>177</v>
      </c>
      <c r="Q67">
        <f t="shared" si="1"/>
        <v>554</v>
      </c>
      <c r="R67" t="str">
        <f>_xlfn.XLOOKUP(P67,'Painel Fertilizers'!$B:$B,'Painel Fertilizers'!$B:$B,0)</f>
        <v>CENTRAL DO ADUBO COM E REPRESENTACAO LTD</v>
      </c>
    </row>
    <row r="68" spans="1:18" x14ac:dyDescent="0.25">
      <c r="A68">
        <v>6132</v>
      </c>
      <c r="B68" t="s">
        <v>177</v>
      </c>
      <c r="C68" t="s">
        <v>178</v>
      </c>
      <c r="D68" s="34">
        <v>86529.600000000006</v>
      </c>
      <c r="E68">
        <v>1246116354</v>
      </c>
      <c r="F68" s="30">
        <v>45475</v>
      </c>
      <c r="G68" s="30"/>
      <c r="H68" t="s">
        <v>173</v>
      </c>
      <c r="I68" t="s">
        <v>174</v>
      </c>
      <c r="J68">
        <v>2068</v>
      </c>
      <c r="K68" s="30">
        <v>45253</v>
      </c>
      <c r="L68">
        <v>1010100</v>
      </c>
      <c r="M68" t="s">
        <v>35</v>
      </c>
      <c r="N68">
        <v>161</v>
      </c>
      <c r="O68" t="s">
        <v>161</v>
      </c>
      <c r="P68" t="s">
        <v>177</v>
      </c>
      <c r="Q68">
        <f t="shared" si="1"/>
        <v>636</v>
      </c>
      <c r="R68" t="str">
        <f>_xlfn.XLOOKUP(P68,'Painel Fertilizers'!$B:$B,'Painel Fertilizers'!$B:$B,0)</f>
        <v>CENTRAL DO ADUBO COM E REPRESENTACAO LTD</v>
      </c>
    </row>
    <row r="69" spans="1:18" x14ac:dyDescent="0.25">
      <c r="A69">
        <v>6132</v>
      </c>
      <c r="B69" t="s">
        <v>177</v>
      </c>
      <c r="C69" t="s">
        <v>178</v>
      </c>
      <c r="D69" s="34">
        <v>171010</v>
      </c>
      <c r="E69">
        <v>1246117256</v>
      </c>
      <c r="F69" s="30">
        <v>45474</v>
      </c>
      <c r="G69" s="30"/>
      <c r="H69" t="s">
        <v>173</v>
      </c>
      <c r="I69" t="s">
        <v>174</v>
      </c>
      <c r="J69">
        <v>2130</v>
      </c>
      <c r="K69" s="30">
        <v>45260</v>
      </c>
      <c r="L69">
        <v>1010100</v>
      </c>
      <c r="M69" t="s">
        <v>35</v>
      </c>
      <c r="N69">
        <v>161</v>
      </c>
      <c r="O69" t="s">
        <v>161</v>
      </c>
      <c r="P69" t="s">
        <v>177</v>
      </c>
      <c r="Q69">
        <f t="shared" si="1"/>
        <v>637</v>
      </c>
      <c r="R69" t="str">
        <f>_xlfn.XLOOKUP(P69,'Painel Fertilizers'!$B:$B,'Painel Fertilizers'!$B:$B,0)</f>
        <v>CENTRAL DO ADUBO COM E REPRESENTACAO LTD</v>
      </c>
    </row>
    <row r="70" spans="1:18" x14ac:dyDescent="0.25">
      <c r="A70">
        <v>6132</v>
      </c>
      <c r="B70" t="s">
        <v>177</v>
      </c>
      <c r="C70" t="s">
        <v>178</v>
      </c>
      <c r="D70" s="34">
        <v>94461</v>
      </c>
      <c r="E70">
        <v>1246125716</v>
      </c>
      <c r="F70" s="30">
        <v>45578</v>
      </c>
      <c r="G70" s="30"/>
      <c r="H70" t="s">
        <v>173</v>
      </c>
      <c r="I70" t="s">
        <v>174</v>
      </c>
      <c r="J70">
        <v>2541</v>
      </c>
      <c r="K70" s="30">
        <v>45310</v>
      </c>
      <c r="L70">
        <v>1010100</v>
      </c>
      <c r="M70" t="s">
        <v>35</v>
      </c>
      <c r="N70">
        <v>161</v>
      </c>
      <c r="O70" t="s">
        <v>161</v>
      </c>
      <c r="P70" t="s">
        <v>177</v>
      </c>
      <c r="Q70">
        <f t="shared" si="1"/>
        <v>533</v>
      </c>
      <c r="R70" t="str">
        <f>_xlfn.XLOOKUP(P70,'Painel Fertilizers'!$B:$B,'Painel Fertilizers'!$B:$B,0)</f>
        <v>CENTRAL DO ADUBO COM E REPRESENTACAO LTD</v>
      </c>
    </row>
    <row r="71" spans="1:18" x14ac:dyDescent="0.25">
      <c r="A71">
        <v>6132</v>
      </c>
      <c r="B71" t="s">
        <v>177</v>
      </c>
      <c r="C71" t="s">
        <v>178</v>
      </c>
      <c r="D71" s="34">
        <v>67967</v>
      </c>
      <c r="E71">
        <v>1246128327</v>
      </c>
      <c r="F71" s="30">
        <v>45567</v>
      </c>
      <c r="G71" s="30"/>
      <c r="H71" t="s">
        <v>173</v>
      </c>
      <c r="I71" t="s">
        <v>174</v>
      </c>
      <c r="J71">
        <v>2712</v>
      </c>
      <c r="K71" s="30">
        <v>45327</v>
      </c>
      <c r="L71">
        <v>1010100</v>
      </c>
      <c r="M71" t="s">
        <v>35</v>
      </c>
      <c r="N71">
        <v>161</v>
      </c>
      <c r="O71" t="s">
        <v>161</v>
      </c>
      <c r="P71" t="s">
        <v>177</v>
      </c>
      <c r="Q71">
        <f t="shared" si="1"/>
        <v>544</v>
      </c>
      <c r="R71" t="str">
        <f>_xlfn.XLOOKUP(P71,'Painel Fertilizers'!$B:$B,'Painel Fertilizers'!$B:$B,0)</f>
        <v>CENTRAL DO ADUBO COM E REPRESENTACAO LTD</v>
      </c>
    </row>
    <row r="72" spans="1:18" x14ac:dyDescent="0.25">
      <c r="A72">
        <v>6132</v>
      </c>
      <c r="B72" t="s">
        <v>177</v>
      </c>
      <c r="C72" t="s">
        <v>178</v>
      </c>
      <c r="D72" s="34">
        <v>77852.5</v>
      </c>
      <c r="E72">
        <v>1246128328</v>
      </c>
      <c r="F72" s="30">
        <v>45567</v>
      </c>
      <c r="G72" s="30"/>
      <c r="H72" t="s">
        <v>173</v>
      </c>
      <c r="I72" t="s">
        <v>174</v>
      </c>
      <c r="J72">
        <v>2713</v>
      </c>
      <c r="K72" s="30">
        <v>45327</v>
      </c>
      <c r="L72">
        <v>1010100</v>
      </c>
      <c r="M72" t="s">
        <v>35</v>
      </c>
      <c r="N72">
        <v>161</v>
      </c>
      <c r="O72" t="s">
        <v>161</v>
      </c>
      <c r="P72" t="s">
        <v>177</v>
      </c>
      <c r="Q72">
        <f t="shared" si="1"/>
        <v>544</v>
      </c>
      <c r="R72" t="str">
        <f>_xlfn.XLOOKUP(P72,'Painel Fertilizers'!$B:$B,'Painel Fertilizers'!$B:$B,0)</f>
        <v>CENTRAL DO ADUBO COM E REPRESENTACAO LTD</v>
      </c>
    </row>
    <row r="73" spans="1:18" x14ac:dyDescent="0.25">
      <c r="A73">
        <v>6132</v>
      </c>
      <c r="B73" t="s">
        <v>177</v>
      </c>
      <c r="C73" t="s">
        <v>178</v>
      </c>
      <c r="D73" s="34">
        <v>41610.269999999997</v>
      </c>
      <c r="E73">
        <v>1246128682</v>
      </c>
      <c r="F73" s="30">
        <v>45604</v>
      </c>
      <c r="G73" s="30"/>
      <c r="H73" t="s">
        <v>173</v>
      </c>
      <c r="I73" t="s">
        <v>174</v>
      </c>
      <c r="J73">
        <v>2737</v>
      </c>
      <c r="K73" s="30">
        <v>45329</v>
      </c>
      <c r="L73">
        <v>1010100</v>
      </c>
      <c r="M73" t="s">
        <v>35</v>
      </c>
      <c r="N73">
        <v>161</v>
      </c>
      <c r="O73" t="s">
        <v>161</v>
      </c>
      <c r="P73" t="s">
        <v>177</v>
      </c>
      <c r="Q73">
        <f t="shared" si="1"/>
        <v>507</v>
      </c>
      <c r="R73" t="str">
        <f>_xlfn.XLOOKUP(P73,'Painel Fertilizers'!$B:$B,'Painel Fertilizers'!$B:$B,0)</f>
        <v>CENTRAL DO ADUBO COM E REPRESENTACAO LTD</v>
      </c>
    </row>
    <row r="74" spans="1:18" x14ac:dyDescent="0.25">
      <c r="A74">
        <v>6132</v>
      </c>
      <c r="B74" t="s">
        <v>177</v>
      </c>
      <c r="C74" t="s">
        <v>178</v>
      </c>
      <c r="D74" s="34">
        <v>107254.39999999999</v>
      </c>
      <c r="E74">
        <v>1246126442</v>
      </c>
      <c r="F74" s="30">
        <v>45565</v>
      </c>
      <c r="G74" s="30"/>
      <c r="H74" t="s">
        <v>173</v>
      </c>
      <c r="I74" t="s">
        <v>174</v>
      </c>
      <c r="J74">
        <v>2587</v>
      </c>
      <c r="K74" s="30">
        <v>45315</v>
      </c>
      <c r="L74">
        <v>1010100</v>
      </c>
      <c r="M74" t="s">
        <v>35</v>
      </c>
      <c r="N74">
        <v>161</v>
      </c>
      <c r="O74" t="s">
        <v>161</v>
      </c>
      <c r="P74" t="s">
        <v>177</v>
      </c>
      <c r="Q74">
        <f t="shared" si="1"/>
        <v>546</v>
      </c>
      <c r="R74" t="str">
        <f>_xlfn.XLOOKUP(P74,'Painel Fertilizers'!$B:$B,'Painel Fertilizers'!$B:$B,0)</f>
        <v>CENTRAL DO ADUBO COM E REPRESENTACAO LTD</v>
      </c>
    </row>
    <row r="75" spans="1:18" x14ac:dyDescent="0.25">
      <c r="A75">
        <v>6132</v>
      </c>
      <c r="B75" t="s">
        <v>177</v>
      </c>
      <c r="C75" t="s">
        <v>178</v>
      </c>
      <c r="D75" s="34">
        <v>56218.2</v>
      </c>
      <c r="E75">
        <v>1246128800</v>
      </c>
      <c r="F75" s="30">
        <v>45605</v>
      </c>
      <c r="G75" s="30"/>
      <c r="H75" t="s">
        <v>173</v>
      </c>
      <c r="I75" t="s">
        <v>174</v>
      </c>
      <c r="J75">
        <v>2745</v>
      </c>
      <c r="K75" s="30">
        <v>45330</v>
      </c>
      <c r="L75">
        <v>1010100</v>
      </c>
      <c r="M75" t="s">
        <v>35</v>
      </c>
      <c r="N75">
        <v>161</v>
      </c>
      <c r="O75" t="s">
        <v>161</v>
      </c>
      <c r="P75" t="s">
        <v>177</v>
      </c>
      <c r="Q75">
        <f t="shared" si="1"/>
        <v>506</v>
      </c>
      <c r="R75" t="str">
        <f>_xlfn.XLOOKUP(P75,'Painel Fertilizers'!$B:$B,'Painel Fertilizers'!$B:$B,0)</f>
        <v>CENTRAL DO ADUBO COM E REPRESENTACAO LTD</v>
      </c>
    </row>
    <row r="76" spans="1:18" x14ac:dyDescent="0.25">
      <c r="A76">
        <v>6132</v>
      </c>
      <c r="B76" t="s">
        <v>177</v>
      </c>
      <c r="C76" t="s">
        <v>178</v>
      </c>
      <c r="D76" s="34">
        <v>24480.99</v>
      </c>
      <c r="E76">
        <v>1246127802</v>
      </c>
      <c r="F76" s="30">
        <v>45603</v>
      </c>
      <c r="G76" s="30"/>
      <c r="H76" t="s">
        <v>173</v>
      </c>
      <c r="I76" t="s">
        <v>174</v>
      </c>
      <c r="J76">
        <v>2674</v>
      </c>
      <c r="K76" s="30">
        <v>45323</v>
      </c>
      <c r="L76">
        <v>1010100</v>
      </c>
      <c r="M76" t="s">
        <v>35</v>
      </c>
      <c r="N76">
        <v>161</v>
      </c>
      <c r="O76" t="s">
        <v>161</v>
      </c>
      <c r="P76" t="s">
        <v>177</v>
      </c>
      <c r="Q76">
        <f t="shared" si="1"/>
        <v>508</v>
      </c>
      <c r="R76" t="str">
        <f>_xlfn.XLOOKUP(P76,'Painel Fertilizers'!$B:$B,'Painel Fertilizers'!$B:$B,0)</f>
        <v>CENTRAL DO ADUBO COM E REPRESENTACAO LTD</v>
      </c>
    </row>
    <row r="77" spans="1:18" x14ac:dyDescent="0.25">
      <c r="A77">
        <v>6132</v>
      </c>
      <c r="B77" t="s">
        <v>177</v>
      </c>
      <c r="C77" t="s">
        <v>178</v>
      </c>
      <c r="D77" s="34">
        <v>87043.520000000004</v>
      </c>
      <c r="E77">
        <v>1246120531</v>
      </c>
      <c r="F77" s="30">
        <v>45559</v>
      </c>
      <c r="G77" s="30"/>
      <c r="H77" t="s">
        <v>173</v>
      </c>
      <c r="I77" t="s">
        <v>174</v>
      </c>
      <c r="J77">
        <v>2295</v>
      </c>
      <c r="K77" s="30">
        <v>45279</v>
      </c>
      <c r="L77">
        <v>1010100</v>
      </c>
      <c r="M77" t="s">
        <v>35</v>
      </c>
      <c r="N77">
        <v>161</v>
      </c>
      <c r="O77" t="s">
        <v>161</v>
      </c>
      <c r="P77" t="s">
        <v>177</v>
      </c>
      <c r="Q77">
        <f t="shared" si="1"/>
        <v>552</v>
      </c>
      <c r="R77" t="str">
        <f>_xlfn.XLOOKUP(P77,'Painel Fertilizers'!$B:$B,'Painel Fertilizers'!$B:$B,0)</f>
        <v>CENTRAL DO ADUBO COM E REPRESENTACAO LTD</v>
      </c>
    </row>
    <row r="78" spans="1:18" x14ac:dyDescent="0.25">
      <c r="A78">
        <v>6132</v>
      </c>
      <c r="B78" t="s">
        <v>177</v>
      </c>
      <c r="C78" t="s">
        <v>178</v>
      </c>
      <c r="D78" s="34">
        <v>87504.97</v>
      </c>
      <c r="E78">
        <v>1246119910</v>
      </c>
      <c r="F78" s="30">
        <v>45555</v>
      </c>
      <c r="G78" s="30"/>
      <c r="H78" t="s">
        <v>173</v>
      </c>
      <c r="I78" t="s">
        <v>174</v>
      </c>
      <c r="J78">
        <v>2248</v>
      </c>
      <c r="K78" s="30">
        <v>45275</v>
      </c>
      <c r="L78">
        <v>1010100</v>
      </c>
      <c r="M78" t="s">
        <v>35</v>
      </c>
      <c r="N78">
        <v>161</v>
      </c>
      <c r="O78" t="s">
        <v>161</v>
      </c>
      <c r="P78" t="s">
        <v>177</v>
      </c>
      <c r="Q78">
        <f t="shared" si="1"/>
        <v>556</v>
      </c>
      <c r="R78" t="str">
        <f>_xlfn.XLOOKUP(P78,'Painel Fertilizers'!$B:$B,'Painel Fertilizers'!$B:$B,0)</f>
        <v>CENTRAL DO ADUBO COM E REPRESENTACAO LTD</v>
      </c>
    </row>
    <row r="79" spans="1:18" x14ac:dyDescent="0.25">
      <c r="A79">
        <v>6132</v>
      </c>
      <c r="B79" t="s">
        <v>177</v>
      </c>
      <c r="C79" t="s">
        <v>178</v>
      </c>
      <c r="D79" s="34">
        <v>22997.32</v>
      </c>
      <c r="E79">
        <v>1246119982</v>
      </c>
      <c r="F79" s="30">
        <v>45515</v>
      </c>
      <c r="G79" s="30"/>
      <c r="H79" t="s">
        <v>173</v>
      </c>
      <c r="I79" t="s">
        <v>174</v>
      </c>
      <c r="J79">
        <v>2263</v>
      </c>
      <c r="K79" s="30">
        <v>45275</v>
      </c>
      <c r="L79">
        <v>1010100</v>
      </c>
      <c r="M79" t="s">
        <v>35</v>
      </c>
      <c r="N79">
        <v>161</v>
      </c>
      <c r="O79" t="s">
        <v>161</v>
      </c>
      <c r="P79" t="s">
        <v>177</v>
      </c>
      <c r="Q79">
        <f t="shared" si="1"/>
        <v>596</v>
      </c>
      <c r="R79" t="str">
        <f>_xlfn.XLOOKUP(P79,'Painel Fertilizers'!$B:$B,'Painel Fertilizers'!$B:$B,0)</f>
        <v>CENTRAL DO ADUBO COM E REPRESENTACAO LTD</v>
      </c>
    </row>
    <row r="80" spans="1:18" x14ac:dyDescent="0.25">
      <c r="A80">
        <v>6132</v>
      </c>
      <c r="B80" t="s">
        <v>177</v>
      </c>
      <c r="C80" t="s">
        <v>178</v>
      </c>
      <c r="D80" s="34">
        <v>10860</v>
      </c>
      <c r="E80">
        <v>1246122169</v>
      </c>
      <c r="F80" s="30">
        <v>45469</v>
      </c>
      <c r="G80" s="30"/>
      <c r="H80" t="s">
        <v>173</v>
      </c>
      <c r="I80" t="s">
        <v>174</v>
      </c>
      <c r="J80">
        <v>2373</v>
      </c>
      <c r="K80" s="30">
        <v>45289</v>
      </c>
      <c r="L80">
        <v>1010100</v>
      </c>
      <c r="M80" t="s">
        <v>35</v>
      </c>
      <c r="N80">
        <v>161</v>
      </c>
      <c r="O80" t="s">
        <v>161</v>
      </c>
      <c r="P80" t="s">
        <v>177</v>
      </c>
      <c r="Q80">
        <f t="shared" si="1"/>
        <v>642</v>
      </c>
      <c r="R80" t="str">
        <f>_xlfn.XLOOKUP(P80,'Painel Fertilizers'!$B:$B,'Painel Fertilizers'!$B:$B,0)</f>
        <v>CENTRAL DO ADUBO COM E REPRESENTACAO LTD</v>
      </c>
    </row>
    <row r="81" spans="1:18" x14ac:dyDescent="0.25">
      <c r="A81">
        <v>6132</v>
      </c>
      <c r="B81" t="s">
        <v>177</v>
      </c>
      <c r="C81" t="s">
        <v>178</v>
      </c>
      <c r="D81" s="34">
        <v>57205.5</v>
      </c>
      <c r="E81">
        <v>1246122168</v>
      </c>
      <c r="F81" s="30">
        <v>45557</v>
      </c>
      <c r="G81" s="30"/>
      <c r="H81" t="s">
        <v>173</v>
      </c>
      <c r="I81" t="s">
        <v>174</v>
      </c>
      <c r="J81">
        <v>2372</v>
      </c>
      <c r="K81" s="30">
        <v>45289</v>
      </c>
      <c r="L81">
        <v>1010100</v>
      </c>
      <c r="M81" t="s">
        <v>35</v>
      </c>
      <c r="N81">
        <v>161</v>
      </c>
      <c r="O81" t="s">
        <v>161</v>
      </c>
      <c r="P81" t="s">
        <v>177</v>
      </c>
      <c r="Q81">
        <f t="shared" si="1"/>
        <v>554</v>
      </c>
      <c r="R81" t="str">
        <f>_xlfn.XLOOKUP(P81,'Painel Fertilizers'!$B:$B,'Painel Fertilizers'!$B:$B,0)</f>
        <v>CENTRAL DO ADUBO COM E REPRESENTACAO LTD</v>
      </c>
    </row>
    <row r="82" spans="1:18" x14ac:dyDescent="0.25">
      <c r="A82">
        <v>6132</v>
      </c>
      <c r="B82" t="s">
        <v>177</v>
      </c>
      <c r="C82" t="s">
        <v>178</v>
      </c>
      <c r="D82" s="34">
        <v>109750.39999999999</v>
      </c>
      <c r="E82">
        <v>1246117165</v>
      </c>
      <c r="F82" s="30">
        <v>45473</v>
      </c>
      <c r="G82" s="30"/>
      <c r="H82" t="s">
        <v>173</v>
      </c>
      <c r="I82" t="s">
        <v>174</v>
      </c>
      <c r="J82">
        <v>2128</v>
      </c>
      <c r="K82" s="30">
        <v>45259</v>
      </c>
      <c r="L82">
        <v>1010100</v>
      </c>
      <c r="M82" t="s">
        <v>35</v>
      </c>
      <c r="N82">
        <v>161</v>
      </c>
      <c r="O82" t="s">
        <v>161</v>
      </c>
      <c r="P82" t="s">
        <v>177</v>
      </c>
      <c r="Q82">
        <f t="shared" si="1"/>
        <v>638</v>
      </c>
      <c r="R82" t="str">
        <f>_xlfn.XLOOKUP(P82,'Painel Fertilizers'!$B:$B,'Painel Fertilizers'!$B:$B,0)</f>
        <v>CENTRAL DO ADUBO COM E REPRESENTACAO LTD</v>
      </c>
    </row>
    <row r="83" spans="1:18" x14ac:dyDescent="0.25">
      <c r="A83">
        <v>6132</v>
      </c>
      <c r="B83" t="s">
        <v>177</v>
      </c>
      <c r="C83" t="s">
        <v>178</v>
      </c>
      <c r="D83" s="34">
        <v>111644.8</v>
      </c>
      <c r="E83">
        <v>1246117516</v>
      </c>
      <c r="F83" s="30">
        <v>45536</v>
      </c>
      <c r="G83" s="30"/>
      <c r="H83" t="s">
        <v>173</v>
      </c>
      <c r="I83" t="s">
        <v>174</v>
      </c>
      <c r="J83">
        <v>2140</v>
      </c>
      <c r="K83" s="30">
        <v>45261</v>
      </c>
      <c r="L83">
        <v>1010100</v>
      </c>
      <c r="M83" t="s">
        <v>35</v>
      </c>
      <c r="N83">
        <v>161</v>
      </c>
      <c r="O83" t="s">
        <v>161</v>
      </c>
      <c r="P83" t="s">
        <v>177</v>
      </c>
      <c r="Q83">
        <f t="shared" si="1"/>
        <v>575</v>
      </c>
      <c r="R83" t="str">
        <f>_xlfn.XLOOKUP(P83,'Painel Fertilizers'!$B:$B,'Painel Fertilizers'!$B:$B,0)</f>
        <v>CENTRAL DO ADUBO COM E REPRESENTACAO LTD</v>
      </c>
    </row>
    <row r="84" spans="1:18" x14ac:dyDescent="0.25">
      <c r="A84">
        <v>6132</v>
      </c>
      <c r="B84" t="s">
        <v>177</v>
      </c>
      <c r="C84" t="s">
        <v>178</v>
      </c>
      <c r="D84" s="34">
        <v>136005.5</v>
      </c>
      <c r="E84">
        <v>1246120768</v>
      </c>
      <c r="F84" s="30">
        <v>45560</v>
      </c>
      <c r="G84" s="30"/>
      <c r="H84" t="s">
        <v>173</v>
      </c>
      <c r="I84" t="s">
        <v>174</v>
      </c>
      <c r="J84">
        <v>2299</v>
      </c>
      <c r="K84" s="30">
        <v>45280</v>
      </c>
      <c r="L84">
        <v>1010100</v>
      </c>
      <c r="M84" t="s">
        <v>35</v>
      </c>
      <c r="N84">
        <v>161</v>
      </c>
      <c r="O84" t="s">
        <v>161</v>
      </c>
      <c r="P84" t="s">
        <v>177</v>
      </c>
      <c r="Q84">
        <f t="shared" si="1"/>
        <v>551</v>
      </c>
      <c r="R84" t="str">
        <f>_xlfn.XLOOKUP(P84,'Painel Fertilizers'!$B:$B,'Painel Fertilizers'!$B:$B,0)</f>
        <v>CENTRAL DO ADUBO COM E REPRESENTACAO LTD</v>
      </c>
    </row>
    <row r="85" spans="1:18" x14ac:dyDescent="0.25">
      <c r="A85">
        <v>6132</v>
      </c>
      <c r="B85" t="s">
        <v>177</v>
      </c>
      <c r="C85" t="s">
        <v>178</v>
      </c>
      <c r="D85" s="34">
        <v>136005.5</v>
      </c>
      <c r="E85">
        <v>1246124946</v>
      </c>
      <c r="F85" s="30">
        <v>45566</v>
      </c>
      <c r="G85" s="30"/>
      <c r="H85" t="s">
        <v>173</v>
      </c>
      <c r="I85" t="s">
        <v>174</v>
      </c>
      <c r="J85">
        <v>2498</v>
      </c>
      <c r="K85" s="30">
        <v>45306</v>
      </c>
      <c r="L85">
        <v>1010100</v>
      </c>
      <c r="M85" t="s">
        <v>35</v>
      </c>
      <c r="N85">
        <v>161</v>
      </c>
      <c r="O85" t="s">
        <v>161</v>
      </c>
      <c r="P85" t="s">
        <v>177</v>
      </c>
      <c r="Q85">
        <f t="shared" si="1"/>
        <v>545</v>
      </c>
      <c r="R85" t="str">
        <f>_xlfn.XLOOKUP(P85,'Painel Fertilizers'!$B:$B,'Painel Fertilizers'!$B:$B,0)</f>
        <v>CENTRAL DO ADUBO COM E REPRESENTACAO LTD</v>
      </c>
    </row>
    <row r="86" spans="1:18" x14ac:dyDescent="0.25">
      <c r="A86">
        <v>6132</v>
      </c>
      <c r="B86" t="s">
        <v>177</v>
      </c>
      <c r="C86" t="s">
        <v>178</v>
      </c>
      <c r="D86" s="34">
        <v>87043.520000000004</v>
      </c>
      <c r="E86">
        <v>1246120099</v>
      </c>
      <c r="F86" s="30">
        <v>45558</v>
      </c>
      <c r="G86" s="30"/>
      <c r="H86" t="s">
        <v>173</v>
      </c>
      <c r="I86" t="s">
        <v>174</v>
      </c>
      <c r="J86">
        <v>2279</v>
      </c>
      <c r="K86" s="30">
        <v>45278</v>
      </c>
      <c r="L86">
        <v>1010100</v>
      </c>
      <c r="M86" t="s">
        <v>35</v>
      </c>
      <c r="N86">
        <v>161</v>
      </c>
      <c r="O86" t="s">
        <v>161</v>
      </c>
      <c r="P86" t="s">
        <v>177</v>
      </c>
      <c r="Q86">
        <f t="shared" si="1"/>
        <v>553</v>
      </c>
      <c r="R86" t="str">
        <f>_xlfn.XLOOKUP(P86,'Painel Fertilizers'!$B:$B,'Painel Fertilizers'!$B:$B,0)</f>
        <v>CENTRAL DO ADUBO COM E REPRESENTACAO LTD</v>
      </c>
    </row>
    <row r="87" spans="1:18" x14ac:dyDescent="0.25">
      <c r="A87">
        <v>6132</v>
      </c>
      <c r="B87" t="s">
        <v>177</v>
      </c>
      <c r="C87" t="s">
        <v>178</v>
      </c>
      <c r="D87" s="34">
        <v>111465.88</v>
      </c>
      <c r="E87">
        <v>1246127801</v>
      </c>
      <c r="F87" s="30">
        <v>45603</v>
      </c>
      <c r="G87" s="30"/>
      <c r="H87" t="s">
        <v>173</v>
      </c>
      <c r="I87" t="s">
        <v>174</v>
      </c>
      <c r="J87">
        <v>2673</v>
      </c>
      <c r="K87" s="30">
        <v>45323</v>
      </c>
      <c r="L87">
        <v>1010100</v>
      </c>
      <c r="M87" t="s">
        <v>35</v>
      </c>
      <c r="N87">
        <v>161</v>
      </c>
      <c r="O87" t="s">
        <v>161</v>
      </c>
      <c r="P87" t="s">
        <v>177</v>
      </c>
      <c r="Q87">
        <f t="shared" si="1"/>
        <v>508</v>
      </c>
      <c r="R87" t="str">
        <f>_xlfn.XLOOKUP(P87,'Painel Fertilizers'!$B:$B,'Painel Fertilizers'!$B:$B,0)</f>
        <v>CENTRAL DO ADUBO COM E REPRESENTACAO LTD</v>
      </c>
    </row>
    <row r="88" spans="1:18" x14ac:dyDescent="0.25">
      <c r="A88">
        <v>6132</v>
      </c>
      <c r="B88" t="s">
        <v>177</v>
      </c>
      <c r="C88" t="s">
        <v>178</v>
      </c>
      <c r="D88" s="34">
        <v>47937.4</v>
      </c>
      <c r="E88">
        <v>1246118354</v>
      </c>
      <c r="F88" s="30">
        <v>45541</v>
      </c>
      <c r="G88" s="30"/>
      <c r="H88" t="s">
        <v>173</v>
      </c>
      <c r="I88" t="s">
        <v>174</v>
      </c>
      <c r="J88">
        <v>2184</v>
      </c>
      <c r="K88" s="30">
        <v>45266</v>
      </c>
      <c r="L88">
        <v>1010100</v>
      </c>
      <c r="M88" t="s">
        <v>35</v>
      </c>
      <c r="N88">
        <v>161</v>
      </c>
      <c r="O88" t="s">
        <v>161</v>
      </c>
      <c r="P88" t="s">
        <v>177</v>
      </c>
      <c r="Q88">
        <f t="shared" si="1"/>
        <v>570</v>
      </c>
      <c r="R88" t="str">
        <f>_xlfn.XLOOKUP(P88,'Painel Fertilizers'!$B:$B,'Painel Fertilizers'!$B:$B,0)</f>
        <v>CENTRAL DO ADUBO COM E REPRESENTACAO LTD</v>
      </c>
    </row>
    <row r="89" spans="1:18" x14ac:dyDescent="0.25">
      <c r="A89">
        <v>6132</v>
      </c>
      <c r="B89" t="s">
        <v>177</v>
      </c>
      <c r="C89" t="s">
        <v>178</v>
      </c>
      <c r="D89" s="34">
        <v>155705</v>
      </c>
      <c r="E89">
        <v>1246129974</v>
      </c>
      <c r="F89" s="30">
        <v>45568</v>
      </c>
      <c r="G89" s="30"/>
      <c r="H89" t="s">
        <v>173</v>
      </c>
      <c r="I89" t="s">
        <v>174</v>
      </c>
      <c r="J89">
        <v>2839</v>
      </c>
      <c r="K89" s="30">
        <v>45341</v>
      </c>
      <c r="L89">
        <v>1010100</v>
      </c>
      <c r="M89" t="s">
        <v>35</v>
      </c>
      <c r="N89">
        <v>161</v>
      </c>
      <c r="O89" t="s">
        <v>161</v>
      </c>
      <c r="P89" t="s">
        <v>177</v>
      </c>
      <c r="Q89">
        <f t="shared" si="1"/>
        <v>543</v>
      </c>
      <c r="R89" t="str">
        <f>_xlfn.XLOOKUP(P89,'Painel Fertilizers'!$B:$B,'Painel Fertilizers'!$B:$B,0)</f>
        <v>CENTRAL DO ADUBO COM E REPRESENTACAO LTD</v>
      </c>
    </row>
    <row r="90" spans="1:18" x14ac:dyDescent="0.25">
      <c r="A90">
        <v>6132</v>
      </c>
      <c r="B90" t="s">
        <v>177</v>
      </c>
      <c r="C90" t="s">
        <v>178</v>
      </c>
      <c r="D90" s="34">
        <v>42163.65</v>
      </c>
      <c r="E90">
        <v>1246124200</v>
      </c>
      <c r="F90" s="30">
        <v>45569</v>
      </c>
      <c r="G90" s="30"/>
      <c r="H90" t="s">
        <v>173</v>
      </c>
      <c r="I90" t="s">
        <v>174</v>
      </c>
      <c r="J90">
        <v>2455</v>
      </c>
      <c r="K90" s="30">
        <v>45301</v>
      </c>
      <c r="L90">
        <v>1010100</v>
      </c>
      <c r="M90" t="s">
        <v>35</v>
      </c>
      <c r="N90">
        <v>161</v>
      </c>
      <c r="O90" t="s">
        <v>161</v>
      </c>
      <c r="P90" t="s">
        <v>177</v>
      </c>
      <c r="Q90">
        <f t="shared" si="1"/>
        <v>542</v>
      </c>
      <c r="R90" t="str">
        <f>_xlfn.XLOOKUP(P90,'Painel Fertilizers'!$B:$B,'Painel Fertilizers'!$B:$B,0)</f>
        <v>CENTRAL DO ADUBO COM E REPRESENTACAO LTD</v>
      </c>
    </row>
    <row r="91" spans="1:18" x14ac:dyDescent="0.25">
      <c r="A91">
        <v>6132</v>
      </c>
      <c r="B91" t="s">
        <v>177</v>
      </c>
      <c r="C91" t="s">
        <v>178</v>
      </c>
      <c r="D91" s="34">
        <v>111065.60000000001</v>
      </c>
      <c r="E91">
        <v>1246114703</v>
      </c>
      <c r="F91" s="30">
        <v>45463</v>
      </c>
      <c r="G91" s="30"/>
      <c r="H91" t="s">
        <v>173</v>
      </c>
      <c r="I91" t="s">
        <v>174</v>
      </c>
      <c r="J91">
        <v>1937</v>
      </c>
      <c r="K91" s="30">
        <v>45241</v>
      </c>
      <c r="L91">
        <v>1010100</v>
      </c>
      <c r="M91" t="s">
        <v>35</v>
      </c>
      <c r="N91">
        <v>161</v>
      </c>
      <c r="O91" t="s">
        <v>161</v>
      </c>
      <c r="P91" t="s">
        <v>177</v>
      </c>
      <c r="Q91">
        <f t="shared" si="1"/>
        <v>648</v>
      </c>
      <c r="R91" t="str">
        <f>_xlfn.XLOOKUP(P91,'Painel Fertilizers'!$B:$B,'Painel Fertilizers'!$B:$B,0)</f>
        <v>CENTRAL DO ADUBO COM E REPRESENTACAO LTD</v>
      </c>
    </row>
    <row r="92" spans="1:18" x14ac:dyDescent="0.25">
      <c r="A92">
        <v>6132</v>
      </c>
      <c r="B92" t="s">
        <v>177</v>
      </c>
      <c r="C92" t="s">
        <v>178</v>
      </c>
      <c r="D92" s="34">
        <v>27201.1</v>
      </c>
      <c r="E92">
        <v>1246125717</v>
      </c>
      <c r="F92" s="30">
        <v>45566</v>
      </c>
      <c r="G92" s="30"/>
      <c r="H92" t="s">
        <v>173</v>
      </c>
      <c r="I92" t="s">
        <v>174</v>
      </c>
      <c r="J92">
        <v>2542</v>
      </c>
      <c r="K92" s="30">
        <v>45310</v>
      </c>
      <c r="L92">
        <v>1010100</v>
      </c>
      <c r="M92" t="s">
        <v>35</v>
      </c>
      <c r="N92">
        <v>161</v>
      </c>
      <c r="O92" t="s">
        <v>161</v>
      </c>
      <c r="P92" t="s">
        <v>177</v>
      </c>
      <c r="Q92">
        <f t="shared" si="1"/>
        <v>545</v>
      </c>
      <c r="R92" t="str">
        <f>_xlfn.XLOOKUP(P92,'Painel Fertilizers'!$B:$B,'Painel Fertilizers'!$B:$B,0)</f>
        <v>CENTRAL DO ADUBO COM E REPRESENTACAO LTD</v>
      </c>
    </row>
    <row r="93" spans="1:18" x14ac:dyDescent="0.25">
      <c r="A93">
        <v>6132</v>
      </c>
      <c r="B93" t="s">
        <v>177</v>
      </c>
      <c r="C93" t="s">
        <v>178</v>
      </c>
      <c r="D93" s="34">
        <v>136005.5</v>
      </c>
      <c r="E93">
        <v>1246124718</v>
      </c>
      <c r="F93" s="30">
        <v>45563</v>
      </c>
      <c r="G93" s="30"/>
      <c r="H93" t="s">
        <v>173</v>
      </c>
      <c r="I93" t="s">
        <v>174</v>
      </c>
      <c r="J93">
        <v>2489</v>
      </c>
      <c r="K93" s="30">
        <v>45303</v>
      </c>
      <c r="L93">
        <v>1010100</v>
      </c>
      <c r="M93" t="s">
        <v>35</v>
      </c>
      <c r="N93">
        <v>161</v>
      </c>
      <c r="O93" t="s">
        <v>161</v>
      </c>
      <c r="P93" t="s">
        <v>177</v>
      </c>
      <c r="Q93">
        <f t="shared" si="1"/>
        <v>548</v>
      </c>
      <c r="R93" t="str">
        <f>_xlfn.XLOOKUP(P93,'Painel Fertilizers'!$B:$B,'Painel Fertilizers'!$B:$B,0)</f>
        <v>CENTRAL DO ADUBO COM E REPRESENTACAO LTD</v>
      </c>
    </row>
    <row r="94" spans="1:18" x14ac:dyDescent="0.25">
      <c r="A94">
        <v>6132</v>
      </c>
      <c r="B94" t="s">
        <v>177</v>
      </c>
      <c r="C94" t="s">
        <v>178</v>
      </c>
      <c r="D94" s="34">
        <v>45093</v>
      </c>
      <c r="E94">
        <v>1246128683</v>
      </c>
      <c r="F94" s="30">
        <v>45604</v>
      </c>
      <c r="G94" s="30"/>
      <c r="H94" t="s">
        <v>173</v>
      </c>
      <c r="I94" t="s">
        <v>174</v>
      </c>
      <c r="J94">
        <v>2738</v>
      </c>
      <c r="K94" s="30">
        <v>45329</v>
      </c>
      <c r="L94">
        <v>1010100</v>
      </c>
      <c r="M94" t="s">
        <v>35</v>
      </c>
      <c r="N94">
        <v>161</v>
      </c>
      <c r="O94" t="s">
        <v>161</v>
      </c>
      <c r="P94" t="s">
        <v>177</v>
      </c>
      <c r="Q94">
        <f t="shared" si="1"/>
        <v>507</v>
      </c>
      <c r="R94" t="str">
        <f>_xlfn.XLOOKUP(P94,'Painel Fertilizers'!$B:$B,'Painel Fertilizers'!$B:$B,0)</f>
        <v>CENTRAL DO ADUBO COM E REPRESENTACAO LTD</v>
      </c>
    </row>
    <row r="95" spans="1:18" x14ac:dyDescent="0.25">
      <c r="A95">
        <v>6132</v>
      </c>
      <c r="B95" t="s">
        <v>177</v>
      </c>
      <c r="C95" t="s">
        <v>178</v>
      </c>
      <c r="D95" s="34">
        <v>82986.649999999994</v>
      </c>
      <c r="E95">
        <v>1246113430</v>
      </c>
      <c r="F95" s="30">
        <v>45476</v>
      </c>
      <c r="G95" s="30"/>
      <c r="H95" t="s">
        <v>173</v>
      </c>
      <c r="I95" t="s">
        <v>174</v>
      </c>
      <c r="J95">
        <v>1851</v>
      </c>
      <c r="K95" s="30">
        <v>45236</v>
      </c>
      <c r="L95">
        <v>1010100</v>
      </c>
      <c r="M95" t="s">
        <v>35</v>
      </c>
      <c r="N95">
        <v>161</v>
      </c>
      <c r="O95" t="s">
        <v>161</v>
      </c>
      <c r="P95" t="s">
        <v>177</v>
      </c>
      <c r="Q95">
        <f t="shared" si="1"/>
        <v>635</v>
      </c>
      <c r="R95" t="str">
        <f>_xlfn.XLOOKUP(P95,'Painel Fertilizers'!$B:$B,'Painel Fertilizers'!$B:$B,0)</f>
        <v>CENTRAL DO ADUBO COM E REPRESENTACAO LTD</v>
      </c>
    </row>
    <row r="96" spans="1:18" x14ac:dyDescent="0.25">
      <c r="A96">
        <v>6132</v>
      </c>
      <c r="B96" t="s">
        <v>177</v>
      </c>
      <c r="C96" t="s">
        <v>178</v>
      </c>
      <c r="D96" s="34">
        <v>174445</v>
      </c>
      <c r="E96">
        <v>1246116577</v>
      </c>
      <c r="F96" s="30">
        <v>45468</v>
      </c>
      <c r="G96" s="30"/>
      <c r="H96" t="s">
        <v>173</v>
      </c>
      <c r="I96" t="s">
        <v>174</v>
      </c>
      <c r="J96">
        <v>2091</v>
      </c>
      <c r="K96" s="30">
        <v>45254</v>
      </c>
      <c r="L96">
        <v>1010100</v>
      </c>
      <c r="M96" t="s">
        <v>35</v>
      </c>
      <c r="N96">
        <v>161</v>
      </c>
      <c r="O96" t="s">
        <v>161</v>
      </c>
      <c r="P96" t="s">
        <v>177</v>
      </c>
      <c r="Q96">
        <f t="shared" si="1"/>
        <v>643</v>
      </c>
      <c r="R96" t="str">
        <f>_xlfn.XLOOKUP(P96,'Painel Fertilizers'!$B:$B,'Painel Fertilizers'!$B:$B,0)</f>
        <v>CENTRAL DO ADUBO COM E REPRESENTACAO LTD</v>
      </c>
    </row>
    <row r="97" spans="1:18" x14ac:dyDescent="0.25">
      <c r="A97">
        <v>6132</v>
      </c>
      <c r="B97" t="s">
        <v>177</v>
      </c>
      <c r="C97" t="s">
        <v>178</v>
      </c>
      <c r="D97" s="34">
        <v>158956.25</v>
      </c>
      <c r="E97">
        <v>1246104181</v>
      </c>
      <c r="F97" s="30">
        <v>45444</v>
      </c>
      <c r="G97" s="30"/>
      <c r="H97" t="s">
        <v>173</v>
      </c>
      <c r="I97" t="s">
        <v>174</v>
      </c>
      <c r="J97">
        <v>1180</v>
      </c>
      <c r="K97" s="30">
        <v>45184</v>
      </c>
      <c r="L97">
        <v>1010100</v>
      </c>
      <c r="M97" t="s">
        <v>35</v>
      </c>
      <c r="N97">
        <v>161</v>
      </c>
      <c r="O97" t="s">
        <v>161</v>
      </c>
      <c r="P97" t="s">
        <v>177</v>
      </c>
      <c r="Q97">
        <f t="shared" si="1"/>
        <v>667</v>
      </c>
      <c r="R97" t="str">
        <f>_xlfn.XLOOKUP(P97,'Painel Fertilizers'!$B:$B,'Painel Fertilizers'!$B:$B,0)</f>
        <v>CENTRAL DO ADUBO COM E REPRESENTACAO LTD</v>
      </c>
    </row>
    <row r="98" spans="1:18" x14ac:dyDescent="0.25">
      <c r="A98">
        <v>6132</v>
      </c>
      <c r="B98" t="s">
        <v>177</v>
      </c>
      <c r="C98" t="s">
        <v>178</v>
      </c>
      <c r="D98" s="34">
        <v>171662.49999999997</v>
      </c>
      <c r="E98">
        <v>1246112815</v>
      </c>
      <c r="F98" s="30">
        <v>45471</v>
      </c>
      <c r="G98" s="30"/>
      <c r="H98" t="s">
        <v>173</v>
      </c>
      <c r="I98" t="s">
        <v>174</v>
      </c>
      <c r="J98">
        <v>1799</v>
      </c>
      <c r="K98" s="30">
        <v>45231</v>
      </c>
      <c r="L98">
        <v>1010100</v>
      </c>
      <c r="M98" t="s">
        <v>35</v>
      </c>
      <c r="N98">
        <v>161</v>
      </c>
      <c r="O98" t="s">
        <v>161</v>
      </c>
      <c r="P98" t="s">
        <v>177</v>
      </c>
      <c r="Q98">
        <f t="shared" si="1"/>
        <v>640</v>
      </c>
      <c r="R98" t="str">
        <f>_xlfn.XLOOKUP(P98,'Painel Fertilizers'!$B:$B,'Painel Fertilizers'!$B:$B,0)</f>
        <v>CENTRAL DO ADUBO COM E REPRESENTACAO LTD</v>
      </c>
    </row>
    <row r="99" spans="1:18" x14ac:dyDescent="0.25">
      <c r="A99">
        <v>6132</v>
      </c>
      <c r="B99" t="s">
        <v>177</v>
      </c>
      <c r="C99" t="s">
        <v>178</v>
      </c>
      <c r="D99" s="34">
        <v>174610</v>
      </c>
      <c r="E99">
        <v>1246113736</v>
      </c>
      <c r="F99" s="30">
        <v>45478</v>
      </c>
      <c r="G99" s="30"/>
      <c r="H99" t="s">
        <v>173</v>
      </c>
      <c r="I99" t="s">
        <v>174</v>
      </c>
      <c r="J99">
        <v>1878</v>
      </c>
      <c r="K99" s="30">
        <v>45238</v>
      </c>
      <c r="L99">
        <v>1010100</v>
      </c>
      <c r="M99" t="s">
        <v>35</v>
      </c>
      <c r="N99">
        <v>161</v>
      </c>
      <c r="O99" t="s">
        <v>161</v>
      </c>
      <c r="P99" t="s">
        <v>177</v>
      </c>
      <c r="Q99">
        <f t="shared" si="1"/>
        <v>633</v>
      </c>
      <c r="R99" t="str">
        <f>_xlfn.XLOOKUP(P99,'Painel Fertilizers'!$B:$B,'Painel Fertilizers'!$B:$B,0)</f>
        <v>CENTRAL DO ADUBO COM E REPRESENTACAO LTD</v>
      </c>
    </row>
    <row r="100" spans="1:18" x14ac:dyDescent="0.25">
      <c r="A100">
        <v>6132</v>
      </c>
      <c r="B100" t="s">
        <v>177</v>
      </c>
      <c r="C100" t="s">
        <v>178</v>
      </c>
      <c r="D100" s="34">
        <v>87840</v>
      </c>
      <c r="E100">
        <v>1246111212</v>
      </c>
      <c r="F100" s="30">
        <v>45464</v>
      </c>
      <c r="G100" s="30"/>
      <c r="H100" t="s">
        <v>173</v>
      </c>
      <c r="I100" t="s">
        <v>174</v>
      </c>
      <c r="J100">
        <v>1720</v>
      </c>
      <c r="K100" s="30">
        <v>45224</v>
      </c>
      <c r="L100">
        <v>1010100</v>
      </c>
      <c r="M100" t="s">
        <v>35</v>
      </c>
      <c r="N100">
        <v>161</v>
      </c>
      <c r="O100" t="s">
        <v>161</v>
      </c>
      <c r="P100" t="s">
        <v>177</v>
      </c>
      <c r="Q100">
        <f t="shared" si="1"/>
        <v>647</v>
      </c>
      <c r="R100" t="str">
        <f>_xlfn.XLOOKUP(P100,'Painel Fertilizers'!$B:$B,'Painel Fertilizers'!$B:$B,0)</f>
        <v>CENTRAL DO ADUBO COM E REPRESENTACAO LTD</v>
      </c>
    </row>
    <row r="101" spans="1:18" x14ac:dyDescent="0.25">
      <c r="A101">
        <v>6132</v>
      </c>
      <c r="B101" t="s">
        <v>177</v>
      </c>
      <c r="C101" t="s">
        <v>178</v>
      </c>
      <c r="D101" s="34">
        <v>23787.68</v>
      </c>
      <c r="E101">
        <v>1246115170</v>
      </c>
      <c r="F101" s="30">
        <v>45466</v>
      </c>
      <c r="G101" s="30"/>
      <c r="H101" t="s">
        <v>173</v>
      </c>
      <c r="I101" t="s">
        <v>174</v>
      </c>
      <c r="J101">
        <v>1975</v>
      </c>
      <c r="K101" s="30">
        <v>45244</v>
      </c>
      <c r="L101">
        <v>1010100</v>
      </c>
      <c r="M101" t="s">
        <v>35</v>
      </c>
      <c r="N101">
        <v>161</v>
      </c>
      <c r="O101" t="s">
        <v>161</v>
      </c>
      <c r="P101" t="s">
        <v>177</v>
      </c>
      <c r="Q101">
        <f t="shared" si="1"/>
        <v>645</v>
      </c>
      <c r="R101" t="str">
        <f>_xlfn.XLOOKUP(P101,'Painel Fertilizers'!$B:$B,'Painel Fertilizers'!$B:$B,0)</f>
        <v>CENTRAL DO ADUBO COM E REPRESENTACAO LTD</v>
      </c>
    </row>
    <row r="102" spans="1:18" x14ac:dyDescent="0.25">
      <c r="A102">
        <v>6132</v>
      </c>
      <c r="B102" t="s">
        <v>177</v>
      </c>
      <c r="C102" t="s">
        <v>178</v>
      </c>
      <c r="D102" s="34">
        <v>30381.599999999999</v>
      </c>
      <c r="E102">
        <v>1246115171</v>
      </c>
      <c r="F102" s="30">
        <v>45466</v>
      </c>
      <c r="G102" s="30"/>
      <c r="H102" t="s">
        <v>173</v>
      </c>
      <c r="I102" t="s">
        <v>174</v>
      </c>
      <c r="J102">
        <v>1976</v>
      </c>
      <c r="K102" s="30">
        <v>45244</v>
      </c>
      <c r="L102">
        <v>1010100</v>
      </c>
      <c r="M102" t="s">
        <v>35</v>
      </c>
      <c r="N102">
        <v>161</v>
      </c>
      <c r="O102" t="s">
        <v>161</v>
      </c>
      <c r="P102" t="s">
        <v>177</v>
      </c>
      <c r="Q102">
        <f t="shared" si="1"/>
        <v>645</v>
      </c>
      <c r="R102" t="str">
        <f>_xlfn.XLOOKUP(P102,'Painel Fertilizers'!$B:$B,'Painel Fertilizers'!$B:$B,0)</f>
        <v>CENTRAL DO ADUBO COM E REPRESENTACAO LTD</v>
      </c>
    </row>
    <row r="103" spans="1:18" x14ac:dyDescent="0.25">
      <c r="A103">
        <v>6132</v>
      </c>
      <c r="B103" t="s">
        <v>177</v>
      </c>
      <c r="C103" t="s">
        <v>178</v>
      </c>
      <c r="D103" s="34">
        <v>107022</v>
      </c>
      <c r="E103">
        <v>1246110109</v>
      </c>
      <c r="F103" s="30">
        <v>45439</v>
      </c>
      <c r="G103" s="30"/>
      <c r="H103" t="s">
        <v>173</v>
      </c>
      <c r="I103" t="s">
        <v>174</v>
      </c>
      <c r="J103">
        <v>347</v>
      </c>
      <c r="K103" s="30">
        <v>45217</v>
      </c>
      <c r="L103">
        <v>1010100</v>
      </c>
      <c r="M103" t="s">
        <v>35</v>
      </c>
      <c r="N103">
        <v>161</v>
      </c>
      <c r="O103" t="s">
        <v>161</v>
      </c>
      <c r="P103" t="s">
        <v>177</v>
      </c>
      <c r="Q103">
        <f t="shared" si="1"/>
        <v>672</v>
      </c>
      <c r="R103" t="str">
        <f>_xlfn.XLOOKUP(P103,'Painel Fertilizers'!$B:$B,'Painel Fertilizers'!$B:$B,0)</f>
        <v>CENTRAL DO ADUBO COM E REPRESENTACAO LTD</v>
      </c>
    </row>
    <row r="104" spans="1:18" x14ac:dyDescent="0.25">
      <c r="A104">
        <v>6132</v>
      </c>
      <c r="B104" t="s">
        <v>177</v>
      </c>
      <c r="C104" t="s">
        <v>178</v>
      </c>
      <c r="D104" s="34">
        <v>83822.5</v>
      </c>
      <c r="E104">
        <v>1246111211</v>
      </c>
      <c r="F104" s="30">
        <v>45464</v>
      </c>
      <c r="G104" s="30"/>
      <c r="H104" t="s">
        <v>173</v>
      </c>
      <c r="I104" t="s">
        <v>174</v>
      </c>
      <c r="J104">
        <v>1719</v>
      </c>
      <c r="K104" s="30">
        <v>45224</v>
      </c>
      <c r="L104">
        <v>1010100</v>
      </c>
      <c r="M104" t="s">
        <v>35</v>
      </c>
      <c r="N104">
        <v>161</v>
      </c>
      <c r="O104" t="s">
        <v>161</v>
      </c>
      <c r="P104" t="s">
        <v>177</v>
      </c>
      <c r="Q104">
        <f t="shared" si="1"/>
        <v>647</v>
      </c>
      <c r="R104" t="str">
        <f>_xlfn.XLOOKUP(P104,'Painel Fertilizers'!$B:$B,'Painel Fertilizers'!$B:$B,0)</f>
        <v>CENTRAL DO ADUBO COM E REPRESENTACAO LTD</v>
      </c>
    </row>
    <row r="105" spans="1:18" x14ac:dyDescent="0.25">
      <c r="A105">
        <v>6132</v>
      </c>
      <c r="B105" t="s">
        <v>177</v>
      </c>
      <c r="C105" t="s">
        <v>178</v>
      </c>
      <c r="D105" s="34">
        <v>169458.49999999997</v>
      </c>
      <c r="E105">
        <v>1246110264</v>
      </c>
      <c r="F105" s="30">
        <v>45440</v>
      </c>
      <c r="G105" s="30"/>
      <c r="H105" t="s">
        <v>173</v>
      </c>
      <c r="I105" t="s">
        <v>174</v>
      </c>
      <c r="J105">
        <v>1662</v>
      </c>
      <c r="K105" s="30">
        <v>45218</v>
      </c>
      <c r="L105">
        <v>1010100</v>
      </c>
      <c r="M105" t="s">
        <v>35</v>
      </c>
      <c r="N105">
        <v>161</v>
      </c>
      <c r="O105" t="s">
        <v>161</v>
      </c>
      <c r="P105" t="s">
        <v>177</v>
      </c>
      <c r="Q105">
        <f t="shared" si="1"/>
        <v>671</v>
      </c>
      <c r="R105" t="str">
        <f>_xlfn.XLOOKUP(P105,'Painel Fertilizers'!$B:$B,'Painel Fertilizers'!$B:$B,0)</f>
        <v>CENTRAL DO ADUBO COM E REPRESENTACAO LTD</v>
      </c>
    </row>
    <row r="106" spans="1:18" x14ac:dyDescent="0.25">
      <c r="A106">
        <v>6132</v>
      </c>
      <c r="B106" t="s">
        <v>177</v>
      </c>
      <c r="C106" t="s">
        <v>178</v>
      </c>
      <c r="D106" s="34">
        <v>135934</v>
      </c>
      <c r="E106">
        <v>1246131961</v>
      </c>
      <c r="F106" s="30">
        <v>45566</v>
      </c>
      <c r="G106" s="30"/>
      <c r="H106" t="s">
        <v>173</v>
      </c>
      <c r="I106" t="s">
        <v>174</v>
      </c>
      <c r="J106">
        <v>2969</v>
      </c>
      <c r="K106" s="30">
        <v>45352</v>
      </c>
      <c r="L106">
        <v>1010100</v>
      </c>
      <c r="M106" t="s">
        <v>35</v>
      </c>
      <c r="N106">
        <v>161</v>
      </c>
      <c r="O106" t="s">
        <v>161</v>
      </c>
      <c r="P106" t="s">
        <v>177</v>
      </c>
      <c r="Q106">
        <f t="shared" si="1"/>
        <v>545</v>
      </c>
      <c r="R106" t="str">
        <f>_xlfn.XLOOKUP(P106,'Painel Fertilizers'!$B:$B,'Painel Fertilizers'!$B:$B,0)</f>
        <v>CENTRAL DO ADUBO COM E REPRESENTACAO LTD</v>
      </c>
    </row>
    <row r="107" spans="1:18" x14ac:dyDescent="0.25">
      <c r="A107">
        <v>6132</v>
      </c>
      <c r="B107" t="s">
        <v>177</v>
      </c>
      <c r="C107" t="s">
        <v>178</v>
      </c>
      <c r="D107" s="34">
        <v>108747.2</v>
      </c>
      <c r="E107">
        <v>1246132951</v>
      </c>
      <c r="F107" s="30">
        <v>45572</v>
      </c>
      <c r="G107" s="30"/>
      <c r="H107" t="s">
        <v>173</v>
      </c>
      <c r="I107" t="s">
        <v>174</v>
      </c>
      <c r="J107">
        <v>3007</v>
      </c>
      <c r="K107" s="30">
        <v>45358</v>
      </c>
      <c r="L107">
        <v>1010100</v>
      </c>
      <c r="M107" t="s">
        <v>35</v>
      </c>
      <c r="N107">
        <v>161</v>
      </c>
      <c r="O107" t="s">
        <v>161</v>
      </c>
      <c r="P107" t="s">
        <v>177</v>
      </c>
      <c r="Q107">
        <f t="shared" si="1"/>
        <v>539</v>
      </c>
      <c r="R107" t="str">
        <f>_xlfn.XLOOKUP(P107,'Painel Fertilizers'!$B:$B,'Painel Fertilizers'!$B:$B,0)</f>
        <v>CENTRAL DO ADUBO COM E REPRESENTACAO LTD</v>
      </c>
    </row>
    <row r="108" spans="1:18" x14ac:dyDescent="0.25">
      <c r="A108">
        <v>6132</v>
      </c>
      <c r="B108" t="s">
        <v>177</v>
      </c>
      <c r="C108" t="s">
        <v>178</v>
      </c>
      <c r="D108" s="34">
        <v>86997.759999999995</v>
      </c>
      <c r="E108">
        <v>1246131102</v>
      </c>
      <c r="F108" s="30">
        <v>45570</v>
      </c>
      <c r="G108" s="30"/>
      <c r="H108" t="s">
        <v>173</v>
      </c>
      <c r="I108" t="s">
        <v>174</v>
      </c>
      <c r="J108">
        <v>2917</v>
      </c>
      <c r="K108" s="30">
        <v>45348</v>
      </c>
      <c r="L108">
        <v>1010100</v>
      </c>
      <c r="M108" t="s">
        <v>35</v>
      </c>
      <c r="N108">
        <v>161</v>
      </c>
      <c r="O108" t="s">
        <v>161</v>
      </c>
      <c r="P108" t="s">
        <v>177</v>
      </c>
      <c r="Q108">
        <f t="shared" si="1"/>
        <v>541</v>
      </c>
      <c r="R108" t="str">
        <f>_xlfn.XLOOKUP(P108,'Painel Fertilizers'!$B:$B,'Painel Fertilizers'!$B:$B,0)</f>
        <v>CENTRAL DO ADUBO COM E REPRESENTACAO LTD</v>
      </c>
    </row>
    <row r="109" spans="1:18" x14ac:dyDescent="0.25">
      <c r="A109">
        <v>6132</v>
      </c>
      <c r="B109" t="s">
        <v>177</v>
      </c>
      <c r="C109" t="s">
        <v>178</v>
      </c>
      <c r="D109" s="34">
        <v>29450.6</v>
      </c>
      <c r="E109">
        <v>1246146931</v>
      </c>
      <c r="F109" s="30">
        <v>45584</v>
      </c>
      <c r="G109" s="30"/>
      <c r="H109" t="s">
        <v>173</v>
      </c>
      <c r="I109" t="s">
        <v>174</v>
      </c>
      <c r="J109">
        <v>3632</v>
      </c>
      <c r="K109" s="30">
        <v>45434</v>
      </c>
      <c r="L109">
        <v>1010100</v>
      </c>
      <c r="M109" t="s">
        <v>35</v>
      </c>
      <c r="N109">
        <v>161</v>
      </c>
      <c r="O109" t="s">
        <v>161</v>
      </c>
      <c r="P109" t="s">
        <v>177</v>
      </c>
      <c r="Q109">
        <f t="shared" si="1"/>
        <v>527</v>
      </c>
      <c r="R109" t="str">
        <f>_xlfn.XLOOKUP(P109,'Painel Fertilizers'!$B:$B,'Painel Fertilizers'!$B:$B,0)</f>
        <v>CENTRAL DO ADUBO COM E REPRESENTACAO LTD</v>
      </c>
    </row>
    <row r="110" spans="1:18" x14ac:dyDescent="0.25">
      <c r="A110">
        <v>6132</v>
      </c>
      <c r="B110" t="s">
        <v>177</v>
      </c>
      <c r="C110" t="s">
        <v>178</v>
      </c>
      <c r="D110" s="34">
        <v>38061.519999999997</v>
      </c>
      <c r="E110">
        <v>1246146932</v>
      </c>
      <c r="F110" s="30">
        <v>45569</v>
      </c>
      <c r="G110" s="30"/>
      <c r="H110" t="s">
        <v>173</v>
      </c>
      <c r="I110" t="s">
        <v>174</v>
      </c>
      <c r="J110">
        <v>3633</v>
      </c>
      <c r="K110" s="30">
        <v>45434</v>
      </c>
      <c r="L110">
        <v>1010100</v>
      </c>
      <c r="M110" t="s">
        <v>35</v>
      </c>
      <c r="N110">
        <v>161</v>
      </c>
      <c r="O110" t="s">
        <v>161</v>
      </c>
      <c r="P110" t="s">
        <v>177</v>
      </c>
      <c r="Q110">
        <f t="shared" si="1"/>
        <v>542</v>
      </c>
      <c r="R110" t="str">
        <f>_xlfn.XLOOKUP(P110,'Painel Fertilizers'!$B:$B,'Painel Fertilizers'!$B:$B,0)</f>
        <v>CENTRAL DO ADUBO COM E REPRESENTACAO LTD</v>
      </c>
    </row>
    <row r="111" spans="1:18" x14ac:dyDescent="0.25">
      <c r="A111">
        <v>6132</v>
      </c>
      <c r="B111" t="s">
        <v>177</v>
      </c>
      <c r="C111" t="s">
        <v>178</v>
      </c>
      <c r="D111" s="34">
        <v>8760</v>
      </c>
      <c r="E111">
        <v>1246146933</v>
      </c>
      <c r="F111" s="30">
        <v>45462</v>
      </c>
      <c r="G111" s="30"/>
      <c r="H111" t="s">
        <v>173</v>
      </c>
      <c r="I111" t="s">
        <v>174</v>
      </c>
      <c r="J111">
        <v>3634</v>
      </c>
      <c r="K111" s="30">
        <v>45434</v>
      </c>
      <c r="L111">
        <v>1010100</v>
      </c>
      <c r="M111" t="s">
        <v>35</v>
      </c>
      <c r="N111">
        <v>161</v>
      </c>
      <c r="O111" t="s">
        <v>161</v>
      </c>
      <c r="P111" t="s">
        <v>177</v>
      </c>
      <c r="Q111">
        <f t="shared" si="1"/>
        <v>649</v>
      </c>
      <c r="R111" t="str">
        <f>_xlfn.XLOOKUP(P111,'Painel Fertilizers'!$B:$B,'Painel Fertilizers'!$B:$B,0)</f>
        <v>CENTRAL DO ADUBO COM E REPRESENTACAO LTD</v>
      </c>
    </row>
    <row r="112" spans="1:18" x14ac:dyDescent="0.25">
      <c r="A112">
        <v>6132</v>
      </c>
      <c r="B112" t="s">
        <v>177</v>
      </c>
      <c r="C112" t="s">
        <v>178</v>
      </c>
      <c r="D112" s="34">
        <v>14851.85</v>
      </c>
      <c r="E112">
        <v>1246132474</v>
      </c>
      <c r="F112" s="30">
        <v>45570</v>
      </c>
      <c r="G112" s="30"/>
      <c r="H112" t="s">
        <v>173</v>
      </c>
      <c r="I112" t="s">
        <v>174</v>
      </c>
      <c r="J112">
        <v>2989</v>
      </c>
      <c r="K112" s="30">
        <v>45356</v>
      </c>
      <c r="L112">
        <v>1010100</v>
      </c>
      <c r="M112" t="s">
        <v>35</v>
      </c>
      <c r="N112">
        <v>161</v>
      </c>
      <c r="O112" t="s">
        <v>161</v>
      </c>
      <c r="P112" t="s">
        <v>177</v>
      </c>
      <c r="Q112">
        <f t="shared" si="1"/>
        <v>541</v>
      </c>
      <c r="R112" t="str">
        <f>_xlfn.XLOOKUP(P112,'Painel Fertilizers'!$B:$B,'Painel Fertilizers'!$B:$B,0)</f>
        <v>CENTRAL DO ADUBO COM E REPRESENTACAO LTD</v>
      </c>
    </row>
    <row r="113" spans="1:18" x14ac:dyDescent="0.25">
      <c r="A113">
        <v>6132</v>
      </c>
      <c r="B113" t="s">
        <v>177</v>
      </c>
      <c r="C113" t="s">
        <v>178</v>
      </c>
      <c r="D113" s="34">
        <v>99200.52</v>
      </c>
      <c r="E113">
        <v>1246147269</v>
      </c>
      <c r="F113" s="30">
        <v>45571</v>
      </c>
      <c r="G113" s="30"/>
      <c r="H113" t="s">
        <v>173</v>
      </c>
      <c r="I113" t="s">
        <v>174</v>
      </c>
      <c r="J113">
        <v>3665</v>
      </c>
      <c r="K113" s="30">
        <v>45436</v>
      </c>
      <c r="L113">
        <v>1010100</v>
      </c>
      <c r="M113" t="s">
        <v>35</v>
      </c>
      <c r="N113">
        <v>161</v>
      </c>
      <c r="O113" t="s">
        <v>161</v>
      </c>
      <c r="P113" t="s">
        <v>177</v>
      </c>
      <c r="Q113">
        <f t="shared" si="1"/>
        <v>540</v>
      </c>
      <c r="R113" t="str">
        <f>_xlfn.XLOOKUP(P113,'Painel Fertilizers'!$B:$B,'Painel Fertilizers'!$B:$B,0)</f>
        <v>CENTRAL DO ADUBO COM E REPRESENTACAO LTD</v>
      </c>
    </row>
    <row r="114" spans="1:18" x14ac:dyDescent="0.25">
      <c r="A114">
        <v>6132</v>
      </c>
      <c r="B114" t="s">
        <v>177</v>
      </c>
      <c r="C114" t="s">
        <v>178</v>
      </c>
      <c r="D114" s="34">
        <v>33509.519999999997</v>
      </c>
      <c r="E114">
        <v>1246148020</v>
      </c>
      <c r="F114" s="30">
        <v>45576</v>
      </c>
      <c r="G114" s="30"/>
      <c r="H114" t="s">
        <v>173</v>
      </c>
      <c r="I114" t="s">
        <v>174</v>
      </c>
      <c r="J114">
        <v>3714</v>
      </c>
      <c r="K114" s="30">
        <v>45441</v>
      </c>
      <c r="L114">
        <v>1010100</v>
      </c>
      <c r="M114" t="s">
        <v>35</v>
      </c>
      <c r="N114">
        <v>161</v>
      </c>
      <c r="O114" t="s">
        <v>161</v>
      </c>
      <c r="P114" t="s">
        <v>177</v>
      </c>
      <c r="Q114">
        <f t="shared" si="1"/>
        <v>535</v>
      </c>
      <c r="R114" t="str">
        <f>_xlfn.XLOOKUP(P114,'Painel Fertilizers'!$B:$B,'Painel Fertilizers'!$B:$B,0)</f>
        <v>CENTRAL DO ADUBO COM E REPRESENTACAO LTD</v>
      </c>
    </row>
    <row r="115" spans="1:18" x14ac:dyDescent="0.25">
      <c r="A115">
        <v>6132</v>
      </c>
      <c r="B115" t="s">
        <v>177</v>
      </c>
      <c r="C115" t="s">
        <v>178</v>
      </c>
      <c r="D115" s="34">
        <v>56218.2</v>
      </c>
      <c r="E115">
        <v>1246148019</v>
      </c>
      <c r="F115" s="30">
        <v>45576</v>
      </c>
      <c r="G115" s="30"/>
      <c r="H115" t="s">
        <v>173</v>
      </c>
      <c r="I115" t="s">
        <v>174</v>
      </c>
      <c r="J115">
        <v>3713</v>
      </c>
      <c r="K115" s="30">
        <v>45441</v>
      </c>
      <c r="L115">
        <v>1010100</v>
      </c>
      <c r="M115" t="s">
        <v>35</v>
      </c>
      <c r="N115">
        <v>161</v>
      </c>
      <c r="O115" t="s">
        <v>161</v>
      </c>
      <c r="P115" t="s">
        <v>177</v>
      </c>
      <c r="Q115">
        <f t="shared" si="1"/>
        <v>535</v>
      </c>
      <c r="R115" t="str">
        <f>_xlfn.XLOOKUP(P115,'Painel Fertilizers'!$B:$B,'Painel Fertilizers'!$B:$B,0)</f>
        <v>CENTRAL DO ADUBO COM E REPRESENTACAO LTD</v>
      </c>
    </row>
    <row r="116" spans="1:18" x14ac:dyDescent="0.25">
      <c r="A116">
        <v>6132</v>
      </c>
      <c r="B116" t="s">
        <v>177</v>
      </c>
      <c r="C116" t="s">
        <v>178</v>
      </c>
      <c r="D116" s="34">
        <v>95220.3</v>
      </c>
      <c r="E116">
        <v>1246135170</v>
      </c>
      <c r="F116" s="30">
        <v>45566</v>
      </c>
      <c r="G116" s="30"/>
      <c r="H116" t="s">
        <v>173</v>
      </c>
      <c r="I116" t="s">
        <v>174</v>
      </c>
      <c r="J116">
        <v>3136</v>
      </c>
      <c r="K116" s="30">
        <v>45372</v>
      </c>
      <c r="L116">
        <v>1010100</v>
      </c>
      <c r="M116" t="s">
        <v>35</v>
      </c>
      <c r="N116">
        <v>161</v>
      </c>
      <c r="O116" t="s">
        <v>161</v>
      </c>
      <c r="P116" t="s">
        <v>177</v>
      </c>
      <c r="Q116">
        <f t="shared" si="1"/>
        <v>545</v>
      </c>
      <c r="R116" t="str">
        <f>_xlfn.XLOOKUP(P116,'Painel Fertilizers'!$B:$B,'Painel Fertilizers'!$B:$B,0)</f>
        <v>CENTRAL DO ADUBO COM E REPRESENTACAO LTD</v>
      </c>
    </row>
    <row r="117" spans="1:18" x14ac:dyDescent="0.25">
      <c r="A117">
        <v>6132</v>
      </c>
      <c r="B117" t="s">
        <v>177</v>
      </c>
      <c r="C117" t="s">
        <v>178</v>
      </c>
      <c r="D117" s="34">
        <v>29542.9</v>
      </c>
      <c r="E117">
        <v>1246135172</v>
      </c>
      <c r="F117" s="30">
        <v>45566</v>
      </c>
      <c r="G117" s="30"/>
      <c r="H117" t="s">
        <v>173</v>
      </c>
      <c r="I117" t="s">
        <v>174</v>
      </c>
      <c r="J117">
        <v>3137</v>
      </c>
      <c r="K117" s="30">
        <v>45372</v>
      </c>
      <c r="L117">
        <v>1010100</v>
      </c>
      <c r="M117" t="s">
        <v>35</v>
      </c>
      <c r="N117">
        <v>161</v>
      </c>
      <c r="O117" t="s">
        <v>161</v>
      </c>
      <c r="P117" t="s">
        <v>177</v>
      </c>
      <c r="Q117">
        <f t="shared" si="1"/>
        <v>545</v>
      </c>
      <c r="R117" t="str">
        <f>_xlfn.XLOOKUP(P117,'Painel Fertilizers'!$B:$B,'Painel Fertilizers'!$B:$B,0)</f>
        <v>CENTRAL DO ADUBO COM E REPRESENTACAO LTD</v>
      </c>
    </row>
    <row r="118" spans="1:18" x14ac:dyDescent="0.25">
      <c r="A118">
        <v>6132</v>
      </c>
      <c r="B118" t="s">
        <v>177</v>
      </c>
      <c r="C118" t="s">
        <v>178</v>
      </c>
      <c r="D118" s="34">
        <v>92588.02</v>
      </c>
      <c r="E118">
        <v>1246138275</v>
      </c>
      <c r="F118" s="30">
        <v>45570</v>
      </c>
      <c r="G118" s="30"/>
      <c r="H118" t="s">
        <v>173</v>
      </c>
      <c r="I118" t="s">
        <v>174</v>
      </c>
      <c r="J118">
        <v>3249</v>
      </c>
      <c r="K118" s="30">
        <v>45390</v>
      </c>
      <c r="L118">
        <v>1010100</v>
      </c>
      <c r="M118" t="s">
        <v>35</v>
      </c>
      <c r="N118">
        <v>161</v>
      </c>
      <c r="O118" t="s">
        <v>161</v>
      </c>
      <c r="P118" t="s">
        <v>177</v>
      </c>
      <c r="Q118">
        <f t="shared" si="1"/>
        <v>541</v>
      </c>
      <c r="R118" t="str">
        <f>_xlfn.XLOOKUP(P118,'Painel Fertilizers'!$B:$B,'Painel Fertilizers'!$B:$B,0)</f>
        <v>CENTRAL DO ADUBO COM E REPRESENTACAO LTD</v>
      </c>
    </row>
    <row r="119" spans="1:18" x14ac:dyDescent="0.25">
      <c r="A119">
        <v>6132</v>
      </c>
      <c r="B119" t="s">
        <v>177</v>
      </c>
      <c r="C119" t="s">
        <v>178</v>
      </c>
      <c r="D119" s="34">
        <v>97872.48</v>
      </c>
      <c r="E119">
        <v>1246135813</v>
      </c>
      <c r="F119" s="30">
        <v>45570</v>
      </c>
      <c r="G119" s="30"/>
      <c r="H119" t="s">
        <v>173</v>
      </c>
      <c r="I119" t="s">
        <v>174</v>
      </c>
      <c r="J119">
        <v>3160</v>
      </c>
      <c r="K119" s="30">
        <v>45376</v>
      </c>
      <c r="L119">
        <v>1010100</v>
      </c>
      <c r="M119" t="s">
        <v>35</v>
      </c>
      <c r="N119">
        <v>161</v>
      </c>
      <c r="O119" t="s">
        <v>161</v>
      </c>
      <c r="P119" t="s">
        <v>177</v>
      </c>
      <c r="Q119">
        <f t="shared" si="1"/>
        <v>541</v>
      </c>
      <c r="R119" t="str">
        <f>_xlfn.XLOOKUP(P119,'Painel Fertilizers'!$B:$B,'Painel Fertilizers'!$B:$B,0)</f>
        <v>CENTRAL DO ADUBO COM E REPRESENTACAO LTD</v>
      </c>
    </row>
    <row r="120" spans="1:18" x14ac:dyDescent="0.25">
      <c r="A120">
        <v>6132</v>
      </c>
      <c r="B120" t="s">
        <v>177</v>
      </c>
      <c r="C120" t="s">
        <v>178</v>
      </c>
      <c r="D120" s="34">
        <v>155705</v>
      </c>
      <c r="E120">
        <v>1246130904</v>
      </c>
      <c r="F120" s="30">
        <v>45567</v>
      </c>
      <c r="G120" s="30"/>
      <c r="H120" t="s">
        <v>173</v>
      </c>
      <c r="I120" t="s">
        <v>174</v>
      </c>
      <c r="J120">
        <v>2906</v>
      </c>
      <c r="K120" s="30">
        <v>45345</v>
      </c>
      <c r="L120">
        <v>1010100</v>
      </c>
      <c r="M120" t="s">
        <v>35</v>
      </c>
      <c r="N120">
        <v>161</v>
      </c>
      <c r="O120" t="s">
        <v>161</v>
      </c>
      <c r="P120" t="s">
        <v>177</v>
      </c>
      <c r="Q120">
        <f t="shared" si="1"/>
        <v>544</v>
      </c>
      <c r="R120" t="str">
        <f>_xlfn.XLOOKUP(P120,'Painel Fertilizers'!$B:$B,'Painel Fertilizers'!$B:$B,0)</f>
        <v>CENTRAL DO ADUBO COM E REPRESENTACAO LTD</v>
      </c>
    </row>
    <row r="121" spans="1:18" x14ac:dyDescent="0.25">
      <c r="A121">
        <v>6132</v>
      </c>
      <c r="B121" t="s">
        <v>177</v>
      </c>
      <c r="C121" t="s">
        <v>178</v>
      </c>
      <c r="D121" s="34">
        <v>86997.759999999995</v>
      </c>
      <c r="E121">
        <v>1246137598</v>
      </c>
      <c r="F121" s="30">
        <v>45566</v>
      </c>
      <c r="G121" s="30"/>
      <c r="H121" t="s">
        <v>173</v>
      </c>
      <c r="I121" t="s">
        <v>174</v>
      </c>
      <c r="J121">
        <v>3223</v>
      </c>
      <c r="K121" s="30">
        <v>45386</v>
      </c>
      <c r="L121">
        <v>1010100</v>
      </c>
      <c r="M121" t="s">
        <v>35</v>
      </c>
      <c r="N121">
        <v>161</v>
      </c>
      <c r="O121" t="s">
        <v>161</v>
      </c>
      <c r="P121" t="s">
        <v>177</v>
      </c>
      <c r="Q121">
        <f t="shared" si="1"/>
        <v>545</v>
      </c>
      <c r="R121" t="str">
        <f>_xlfn.XLOOKUP(P121,'Painel Fertilizers'!$B:$B,'Painel Fertilizers'!$B:$B,0)</f>
        <v>CENTRAL DO ADUBO COM E REPRESENTACAO LTD</v>
      </c>
    </row>
    <row r="122" spans="1:18" x14ac:dyDescent="0.25">
      <c r="A122">
        <v>6132</v>
      </c>
      <c r="B122" t="s">
        <v>177</v>
      </c>
      <c r="C122" t="s">
        <v>178</v>
      </c>
      <c r="D122" s="34">
        <v>55849.2</v>
      </c>
      <c r="E122">
        <v>1246147270</v>
      </c>
      <c r="F122" s="30">
        <v>45571</v>
      </c>
      <c r="G122" s="30"/>
      <c r="H122" t="s">
        <v>173</v>
      </c>
      <c r="I122" t="s">
        <v>174</v>
      </c>
      <c r="J122">
        <v>3666</v>
      </c>
      <c r="K122" s="30">
        <v>45436</v>
      </c>
      <c r="L122">
        <v>1010100</v>
      </c>
      <c r="M122" t="s">
        <v>35</v>
      </c>
      <c r="N122">
        <v>161</v>
      </c>
      <c r="O122" t="s">
        <v>161</v>
      </c>
      <c r="P122" t="s">
        <v>177</v>
      </c>
      <c r="Q122">
        <f t="shared" si="1"/>
        <v>540</v>
      </c>
      <c r="R122" t="str">
        <f>_xlfn.XLOOKUP(P122,'Painel Fertilizers'!$B:$B,'Painel Fertilizers'!$B:$B,0)</f>
        <v>CENTRAL DO ADUBO COM E REPRESENTACAO LTD</v>
      </c>
    </row>
    <row r="123" spans="1:18" x14ac:dyDescent="0.25">
      <c r="A123">
        <v>6132</v>
      </c>
      <c r="B123" t="s">
        <v>177</v>
      </c>
      <c r="C123" t="s">
        <v>178</v>
      </c>
      <c r="D123" s="34">
        <v>97872.48</v>
      </c>
      <c r="E123">
        <v>1246131241</v>
      </c>
      <c r="F123" s="30">
        <v>45571</v>
      </c>
      <c r="G123" s="30"/>
      <c r="H123" t="s">
        <v>173</v>
      </c>
      <c r="I123" t="s">
        <v>174</v>
      </c>
      <c r="J123">
        <v>2928</v>
      </c>
      <c r="K123" s="30">
        <v>45349</v>
      </c>
      <c r="L123">
        <v>1010100</v>
      </c>
      <c r="M123" t="s">
        <v>35</v>
      </c>
      <c r="N123">
        <v>161</v>
      </c>
      <c r="O123" t="s">
        <v>161</v>
      </c>
      <c r="P123" t="s">
        <v>177</v>
      </c>
      <c r="Q123">
        <f t="shared" si="1"/>
        <v>540</v>
      </c>
      <c r="R123" t="str">
        <f>_xlfn.XLOOKUP(P123,'Painel Fertilizers'!$B:$B,'Painel Fertilizers'!$B:$B,0)</f>
        <v>CENTRAL DO ADUBO COM E REPRESENTACAO LTD</v>
      </c>
    </row>
    <row r="124" spans="1:18" x14ac:dyDescent="0.25">
      <c r="A124">
        <v>6132</v>
      </c>
      <c r="B124" t="s">
        <v>177</v>
      </c>
      <c r="C124" t="s">
        <v>178</v>
      </c>
      <c r="D124" s="34">
        <v>57092.28</v>
      </c>
      <c r="E124">
        <v>1246133070</v>
      </c>
      <c r="F124" s="30">
        <v>45573</v>
      </c>
      <c r="G124" s="30"/>
      <c r="H124" t="s">
        <v>173</v>
      </c>
      <c r="I124" t="s">
        <v>174</v>
      </c>
      <c r="J124">
        <v>3012</v>
      </c>
      <c r="K124" s="30">
        <v>45359</v>
      </c>
      <c r="L124">
        <v>1010100</v>
      </c>
      <c r="M124" t="s">
        <v>35</v>
      </c>
      <c r="N124">
        <v>161</v>
      </c>
      <c r="O124" t="s">
        <v>161</v>
      </c>
      <c r="P124" t="s">
        <v>177</v>
      </c>
      <c r="Q124">
        <f t="shared" si="1"/>
        <v>538</v>
      </c>
      <c r="R124" t="str">
        <f>_xlfn.XLOOKUP(P124,'Painel Fertilizers'!$B:$B,'Painel Fertilizers'!$B:$B,0)</f>
        <v>CENTRAL DO ADUBO COM E REPRESENTACAO LTD</v>
      </c>
    </row>
    <row r="125" spans="1:18" x14ac:dyDescent="0.25">
      <c r="A125">
        <v>6132</v>
      </c>
      <c r="B125" t="s">
        <v>177</v>
      </c>
      <c r="C125" t="s">
        <v>178</v>
      </c>
      <c r="D125" s="34">
        <v>86997.759999999995</v>
      </c>
      <c r="E125">
        <v>1246131594</v>
      </c>
      <c r="F125" s="30">
        <v>45573</v>
      </c>
      <c r="G125" s="30"/>
      <c r="H125" t="s">
        <v>173</v>
      </c>
      <c r="I125" t="s">
        <v>174</v>
      </c>
      <c r="J125">
        <v>2956</v>
      </c>
      <c r="K125" s="30">
        <v>45351</v>
      </c>
      <c r="L125">
        <v>1010100</v>
      </c>
      <c r="M125" t="s">
        <v>35</v>
      </c>
      <c r="N125">
        <v>161</v>
      </c>
      <c r="O125" t="s">
        <v>161</v>
      </c>
      <c r="P125" t="s">
        <v>177</v>
      </c>
      <c r="Q125">
        <f t="shared" si="1"/>
        <v>538</v>
      </c>
      <c r="R125" t="str">
        <f>_xlfn.XLOOKUP(P125,'Painel Fertilizers'!$B:$B,'Painel Fertilizers'!$B:$B,0)</f>
        <v>CENTRAL DO ADUBO COM E REPRESENTACAO LTD</v>
      </c>
    </row>
    <row r="126" spans="1:18" x14ac:dyDescent="0.25">
      <c r="A126">
        <v>6132</v>
      </c>
      <c r="B126" t="s">
        <v>177</v>
      </c>
      <c r="C126" t="s">
        <v>178</v>
      </c>
      <c r="D126" s="34">
        <v>86997.759999999995</v>
      </c>
      <c r="E126">
        <v>1246133332</v>
      </c>
      <c r="F126" s="30">
        <v>45576</v>
      </c>
      <c r="G126" s="30"/>
      <c r="H126" t="s">
        <v>173</v>
      </c>
      <c r="I126" t="s">
        <v>174</v>
      </c>
      <c r="J126">
        <v>3028</v>
      </c>
      <c r="K126" s="30">
        <v>45362</v>
      </c>
      <c r="L126">
        <v>1010100</v>
      </c>
      <c r="M126" t="s">
        <v>35</v>
      </c>
      <c r="N126">
        <v>161</v>
      </c>
      <c r="O126" t="s">
        <v>161</v>
      </c>
      <c r="P126" t="s">
        <v>177</v>
      </c>
      <c r="Q126">
        <f t="shared" si="1"/>
        <v>535</v>
      </c>
      <c r="R126" t="str">
        <f>_xlfn.XLOOKUP(P126,'Painel Fertilizers'!$B:$B,'Painel Fertilizers'!$B:$B,0)</f>
        <v>CENTRAL DO ADUBO COM E REPRESENTACAO LTD</v>
      </c>
    </row>
    <row r="127" spans="1:18" x14ac:dyDescent="0.25">
      <c r="A127">
        <v>6132</v>
      </c>
      <c r="B127" t="s">
        <v>177</v>
      </c>
      <c r="C127" t="s">
        <v>178</v>
      </c>
      <c r="D127" s="34">
        <v>95153.8</v>
      </c>
      <c r="E127">
        <v>1246133718</v>
      </c>
      <c r="F127" s="30">
        <v>45578</v>
      </c>
      <c r="G127" s="30"/>
      <c r="H127" t="s">
        <v>173</v>
      </c>
      <c r="I127" t="s">
        <v>174</v>
      </c>
      <c r="J127">
        <v>3051</v>
      </c>
      <c r="K127" s="30">
        <v>45364</v>
      </c>
      <c r="L127">
        <v>1010100</v>
      </c>
      <c r="M127" t="s">
        <v>35</v>
      </c>
      <c r="N127">
        <v>161</v>
      </c>
      <c r="O127" t="s">
        <v>161</v>
      </c>
      <c r="P127" t="s">
        <v>177</v>
      </c>
      <c r="Q127">
        <f t="shared" ref="Q127:Q187" si="2">$R$1-F127</f>
        <v>533</v>
      </c>
      <c r="R127" t="str">
        <f>_xlfn.XLOOKUP(P127,'Painel Fertilizers'!$B:$B,'Painel Fertilizers'!$B:$B,0)</f>
        <v>CENTRAL DO ADUBO COM E REPRESENTACAO LTD</v>
      </c>
    </row>
    <row r="128" spans="1:18" x14ac:dyDescent="0.25">
      <c r="A128">
        <v>6132</v>
      </c>
      <c r="B128" t="s">
        <v>177</v>
      </c>
      <c r="C128" t="s">
        <v>178</v>
      </c>
      <c r="D128" s="34">
        <v>116501.9</v>
      </c>
      <c r="E128">
        <v>1246138114</v>
      </c>
      <c r="F128" s="30">
        <v>45570</v>
      </c>
      <c r="G128" s="30"/>
      <c r="H128" t="s">
        <v>173</v>
      </c>
      <c r="I128" t="s">
        <v>174</v>
      </c>
      <c r="J128">
        <v>3243</v>
      </c>
      <c r="K128" s="30">
        <v>45390</v>
      </c>
      <c r="L128">
        <v>1010100</v>
      </c>
      <c r="M128" t="s">
        <v>35</v>
      </c>
      <c r="N128">
        <v>161</v>
      </c>
      <c r="O128" t="s">
        <v>161</v>
      </c>
      <c r="P128" t="s">
        <v>177</v>
      </c>
      <c r="Q128">
        <f t="shared" si="2"/>
        <v>541</v>
      </c>
      <c r="R128" t="str">
        <f>_xlfn.XLOOKUP(P128,'Painel Fertilizers'!$B:$B,'Painel Fertilizers'!$B:$B,0)</f>
        <v>CENTRAL DO ADUBO COM E REPRESENTACAO LTD</v>
      </c>
    </row>
    <row r="129" spans="1:18" x14ac:dyDescent="0.25">
      <c r="A129">
        <v>6132</v>
      </c>
      <c r="B129" t="s">
        <v>177</v>
      </c>
      <c r="C129" t="s">
        <v>178</v>
      </c>
      <c r="D129" s="34">
        <v>134954</v>
      </c>
      <c r="E129">
        <v>1246130651</v>
      </c>
      <c r="F129" s="30">
        <v>45566</v>
      </c>
      <c r="G129" s="30"/>
      <c r="H129" t="s">
        <v>173</v>
      </c>
      <c r="I129" t="s">
        <v>174</v>
      </c>
      <c r="J129">
        <v>2889</v>
      </c>
      <c r="K129" s="30">
        <v>45344</v>
      </c>
      <c r="L129">
        <v>1010100</v>
      </c>
      <c r="M129" t="s">
        <v>35</v>
      </c>
      <c r="N129">
        <v>161</v>
      </c>
      <c r="O129" t="s">
        <v>161</v>
      </c>
      <c r="P129" t="s">
        <v>177</v>
      </c>
      <c r="Q129">
        <f t="shared" si="2"/>
        <v>545</v>
      </c>
      <c r="R129" t="str">
        <f>_xlfn.XLOOKUP(P129,'Painel Fertilizers'!$B:$B,'Painel Fertilizers'!$B:$B,0)</f>
        <v>CENTRAL DO ADUBO COM E REPRESENTACAO LTD</v>
      </c>
    </row>
    <row r="130" spans="1:18" x14ac:dyDescent="0.25">
      <c r="A130">
        <v>6132</v>
      </c>
      <c r="B130" t="s">
        <v>177</v>
      </c>
      <c r="C130" t="s">
        <v>178</v>
      </c>
      <c r="D130" s="34">
        <v>86997.759999999995</v>
      </c>
      <c r="E130">
        <v>1246131630</v>
      </c>
      <c r="F130" s="30">
        <v>45573</v>
      </c>
      <c r="G130" s="30"/>
      <c r="H130" t="s">
        <v>173</v>
      </c>
      <c r="I130" t="s">
        <v>174</v>
      </c>
      <c r="J130">
        <v>2958</v>
      </c>
      <c r="K130" s="30">
        <v>45351</v>
      </c>
      <c r="L130">
        <v>1010100</v>
      </c>
      <c r="M130" t="s">
        <v>35</v>
      </c>
      <c r="N130">
        <v>161</v>
      </c>
      <c r="O130" t="s">
        <v>161</v>
      </c>
      <c r="P130" t="s">
        <v>177</v>
      </c>
      <c r="Q130">
        <f t="shared" si="2"/>
        <v>538</v>
      </c>
      <c r="R130" t="str">
        <f>_xlfn.XLOOKUP(P130,'Painel Fertilizers'!$B:$B,'Painel Fertilizers'!$B:$B,0)</f>
        <v>CENTRAL DO ADUBO COM E REPRESENTACAO LTD</v>
      </c>
    </row>
    <row r="131" spans="1:18" x14ac:dyDescent="0.25">
      <c r="A131">
        <v>6132</v>
      </c>
      <c r="B131" t="s">
        <v>177</v>
      </c>
      <c r="C131" t="s">
        <v>178</v>
      </c>
      <c r="D131" s="34">
        <v>29949.599999999999</v>
      </c>
      <c r="E131">
        <v>1246133071</v>
      </c>
      <c r="F131" s="30">
        <v>45573</v>
      </c>
      <c r="G131" s="30"/>
      <c r="H131" t="s">
        <v>173</v>
      </c>
      <c r="I131" t="s">
        <v>174</v>
      </c>
      <c r="J131">
        <v>3013</v>
      </c>
      <c r="K131" s="30">
        <v>45359</v>
      </c>
      <c r="L131">
        <v>1010100</v>
      </c>
      <c r="M131" t="s">
        <v>35</v>
      </c>
      <c r="N131">
        <v>161</v>
      </c>
      <c r="O131" t="s">
        <v>161</v>
      </c>
      <c r="P131" t="s">
        <v>177</v>
      </c>
      <c r="Q131">
        <f t="shared" si="2"/>
        <v>538</v>
      </c>
      <c r="R131" t="str">
        <f>_xlfn.XLOOKUP(P131,'Painel Fertilizers'!$B:$B,'Painel Fertilizers'!$B:$B,0)</f>
        <v>CENTRAL DO ADUBO COM E REPRESENTACAO LTD</v>
      </c>
    </row>
    <row r="132" spans="1:18" x14ac:dyDescent="0.25">
      <c r="A132">
        <v>6132</v>
      </c>
      <c r="B132" t="s">
        <v>177</v>
      </c>
      <c r="C132" t="s">
        <v>178</v>
      </c>
      <c r="D132" s="34">
        <v>54275.6</v>
      </c>
      <c r="E132">
        <v>1246132475</v>
      </c>
      <c r="F132" s="30">
        <v>45570</v>
      </c>
      <c r="G132" s="30"/>
      <c r="H132" t="s">
        <v>173</v>
      </c>
      <c r="I132" t="s">
        <v>174</v>
      </c>
      <c r="J132">
        <v>2990</v>
      </c>
      <c r="K132" s="30">
        <v>45356</v>
      </c>
      <c r="L132">
        <v>1010100</v>
      </c>
      <c r="M132" t="s">
        <v>35</v>
      </c>
      <c r="N132">
        <v>161</v>
      </c>
      <c r="O132" t="s">
        <v>161</v>
      </c>
      <c r="P132" t="s">
        <v>177</v>
      </c>
      <c r="Q132">
        <f t="shared" si="2"/>
        <v>541</v>
      </c>
      <c r="R132" t="str">
        <f>_xlfn.XLOOKUP(P132,'Painel Fertilizers'!$B:$B,'Painel Fertilizers'!$B:$B,0)</f>
        <v>CENTRAL DO ADUBO COM E REPRESENTACAO LTD</v>
      </c>
    </row>
    <row r="133" spans="1:18" x14ac:dyDescent="0.25">
      <c r="A133">
        <v>6132</v>
      </c>
      <c r="B133" t="s">
        <v>177</v>
      </c>
      <c r="C133" t="s">
        <v>178</v>
      </c>
      <c r="D133" s="34">
        <v>97872.48</v>
      </c>
      <c r="E133">
        <v>1246132869</v>
      </c>
      <c r="F133" s="30">
        <v>45572</v>
      </c>
      <c r="G133" s="30"/>
      <c r="H133" t="s">
        <v>173</v>
      </c>
      <c r="I133" t="s">
        <v>174</v>
      </c>
      <c r="J133">
        <v>3001</v>
      </c>
      <c r="K133" s="30">
        <v>45358</v>
      </c>
      <c r="L133">
        <v>1010100</v>
      </c>
      <c r="M133" t="s">
        <v>35</v>
      </c>
      <c r="N133">
        <v>161</v>
      </c>
      <c r="O133" t="s">
        <v>161</v>
      </c>
      <c r="P133" t="s">
        <v>177</v>
      </c>
      <c r="Q133">
        <f t="shared" si="2"/>
        <v>539</v>
      </c>
      <c r="R133" t="str">
        <f>_xlfn.XLOOKUP(P133,'Painel Fertilizers'!$B:$B,'Painel Fertilizers'!$B:$B,0)</f>
        <v>CENTRAL DO ADUBO COM E REPRESENTACAO LTD</v>
      </c>
    </row>
    <row r="134" spans="1:18" x14ac:dyDescent="0.25">
      <c r="A134">
        <v>6132</v>
      </c>
      <c r="B134" t="s">
        <v>177</v>
      </c>
      <c r="C134" t="s">
        <v>178</v>
      </c>
      <c r="D134" s="34">
        <v>86997.759999999995</v>
      </c>
      <c r="E134">
        <v>1246147192</v>
      </c>
      <c r="F134" s="30">
        <v>45571</v>
      </c>
      <c r="G134" s="30"/>
      <c r="H134" t="s">
        <v>173</v>
      </c>
      <c r="I134" t="s">
        <v>174</v>
      </c>
      <c r="J134">
        <v>3654</v>
      </c>
      <c r="K134" s="30">
        <v>45436</v>
      </c>
      <c r="L134">
        <v>1010100</v>
      </c>
      <c r="M134" t="s">
        <v>35</v>
      </c>
      <c r="N134">
        <v>161</v>
      </c>
      <c r="O134" t="s">
        <v>161</v>
      </c>
      <c r="P134" t="s">
        <v>177</v>
      </c>
      <c r="Q134">
        <f t="shared" si="2"/>
        <v>540</v>
      </c>
      <c r="R134" t="str">
        <f>_xlfn.XLOOKUP(P134,'Painel Fertilizers'!$B:$B,'Painel Fertilizers'!$B:$B,0)</f>
        <v>CENTRAL DO ADUBO COM E REPRESENTACAO LTD</v>
      </c>
    </row>
    <row r="135" spans="1:18" x14ac:dyDescent="0.25">
      <c r="A135">
        <v>6132</v>
      </c>
      <c r="B135" t="s">
        <v>177</v>
      </c>
      <c r="C135" t="s">
        <v>178</v>
      </c>
      <c r="D135" s="34">
        <v>101192.76</v>
      </c>
      <c r="E135">
        <v>1246148270</v>
      </c>
      <c r="F135" s="30">
        <v>45578</v>
      </c>
      <c r="G135" s="30"/>
      <c r="H135" t="s">
        <v>173</v>
      </c>
      <c r="I135" t="s">
        <v>174</v>
      </c>
      <c r="J135">
        <v>3731</v>
      </c>
      <c r="K135" s="30">
        <v>45443</v>
      </c>
      <c r="L135">
        <v>1010100</v>
      </c>
      <c r="M135" t="s">
        <v>35</v>
      </c>
      <c r="N135">
        <v>161</v>
      </c>
      <c r="O135" t="s">
        <v>161</v>
      </c>
      <c r="P135" t="s">
        <v>177</v>
      </c>
      <c r="Q135">
        <f t="shared" si="2"/>
        <v>533</v>
      </c>
      <c r="R135" t="str">
        <f>_xlfn.XLOOKUP(P135,'Painel Fertilizers'!$B:$B,'Painel Fertilizers'!$B:$B,0)</f>
        <v>CENTRAL DO ADUBO COM E REPRESENTACAO LTD</v>
      </c>
    </row>
    <row r="136" spans="1:18" x14ac:dyDescent="0.25">
      <c r="A136">
        <v>7060</v>
      </c>
      <c r="B136" t="s">
        <v>182</v>
      </c>
      <c r="C136" t="s">
        <v>183</v>
      </c>
      <c r="D136" s="34">
        <v>5180.3999999999996</v>
      </c>
      <c r="E136">
        <v>1246254161</v>
      </c>
      <c r="F136" s="30">
        <v>46281</v>
      </c>
      <c r="G136" s="30"/>
      <c r="H136" t="s">
        <v>173</v>
      </c>
      <c r="I136" t="s">
        <v>174</v>
      </c>
      <c r="J136">
        <v>10278</v>
      </c>
      <c r="K136" s="30">
        <v>46006</v>
      </c>
      <c r="L136">
        <v>1010100</v>
      </c>
      <c r="M136" t="s">
        <v>35</v>
      </c>
      <c r="N136">
        <v>161</v>
      </c>
      <c r="O136" t="s">
        <v>161</v>
      </c>
      <c r="P136" t="s">
        <v>182</v>
      </c>
      <c r="Q136">
        <f t="shared" si="2"/>
        <v>-170</v>
      </c>
      <c r="R136" t="str">
        <f>_xlfn.XLOOKUP(P136,'Painel Fertilizers'!$B:$B,'Painel Fertilizers'!$B:$B,0)</f>
        <v>AGROVIVA</v>
      </c>
    </row>
    <row r="137" spans="1:18" x14ac:dyDescent="0.25">
      <c r="A137">
        <v>7060</v>
      </c>
      <c r="B137" t="s">
        <v>182</v>
      </c>
      <c r="C137" t="s">
        <v>183</v>
      </c>
      <c r="D137" s="34">
        <v>8288.64</v>
      </c>
      <c r="E137">
        <v>1246252321</v>
      </c>
      <c r="F137" s="30">
        <v>46269</v>
      </c>
      <c r="G137" s="30"/>
      <c r="H137" t="s">
        <v>173</v>
      </c>
      <c r="I137" t="s">
        <v>174</v>
      </c>
      <c r="J137">
        <v>10183</v>
      </c>
      <c r="K137" s="30">
        <v>45994</v>
      </c>
      <c r="L137">
        <v>1010100</v>
      </c>
      <c r="M137" t="s">
        <v>35</v>
      </c>
      <c r="N137">
        <v>161</v>
      </c>
      <c r="O137" t="s">
        <v>161</v>
      </c>
      <c r="P137" t="s">
        <v>182</v>
      </c>
      <c r="Q137">
        <f t="shared" si="2"/>
        <v>-158</v>
      </c>
      <c r="R137" t="str">
        <f>_xlfn.XLOOKUP(P137,'Painel Fertilizers'!$B:$B,'Painel Fertilizers'!$B:$B,0)</f>
        <v>AGROVIVA</v>
      </c>
    </row>
    <row r="138" spans="1:18" x14ac:dyDescent="0.25">
      <c r="A138">
        <v>7060</v>
      </c>
      <c r="B138" t="s">
        <v>182</v>
      </c>
      <c r="C138" t="s">
        <v>183</v>
      </c>
      <c r="D138" s="34">
        <v>67383.5</v>
      </c>
      <c r="E138">
        <v>1246254471</v>
      </c>
      <c r="F138" s="30">
        <v>46279</v>
      </c>
      <c r="G138" s="30"/>
      <c r="H138" t="s">
        <v>173</v>
      </c>
      <c r="I138" t="s">
        <v>174</v>
      </c>
      <c r="J138">
        <v>10301</v>
      </c>
      <c r="K138" s="30">
        <v>46007</v>
      </c>
      <c r="L138">
        <v>1010100</v>
      </c>
      <c r="M138" t="s">
        <v>35</v>
      </c>
      <c r="N138">
        <v>161</v>
      </c>
      <c r="O138" t="s">
        <v>161</v>
      </c>
      <c r="P138" t="s">
        <v>182</v>
      </c>
      <c r="Q138">
        <f t="shared" si="2"/>
        <v>-168</v>
      </c>
      <c r="R138" t="str">
        <f>_xlfn.XLOOKUP(P138,'Painel Fertilizers'!$B:$B,'Painel Fertilizers'!$B:$B,0)</f>
        <v>AGROVIVA</v>
      </c>
    </row>
    <row r="139" spans="1:18" x14ac:dyDescent="0.25">
      <c r="A139">
        <v>7060</v>
      </c>
      <c r="B139" t="s">
        <v>182</v>
      </c>
      <c r="C139" t="s">
        <v>183</v>
      </c>
      <c r="D139" s="34">
        <v>202489.44</v>
      </c>
      <c r="E139">
        <v>1246233024</v>
      </c>
      <c r="F139" s="30">
        <v>46264</v>
      </c>
      <c r="G139" s="30"/>
      <c r="H139" t="s">
        <v>173</v>
      </c>
      <c r="I139" t="s">
        <v>174</v>
      </c>
      <c r="J139">
        <v>9046</v>
      </c>
      <c r="K139" s="30">
        <v>45895</v>
      </c>
      <c r="L139">
        <v>1010100</v>
      </c>
      <c r="M139" t="s">
        <v>35</v>
      </c>
      <c r="N139">
        <v>56</v>
      </c>
      <c r="O139" t="s">
        <v>162</v>
      </c>
      <c r="P139" t="s">
        <v>182</v>
      </c>
      <c r="Q139">
        <f t="shared" si="2"/>
        <v>-153</v>
      </c>
      <c r="R139" t="str">
        <f>_xlfn.XLOOKUP(P139,'Painel Fertilizers'!$B:$B,'Painel Fertilizers'!$B:$B,0)</f>
        <v>AGROVIVA</v>
      </c>
    </row>
    <row r="140" spans="1:18" x14ac:dyDescent="0.25">
      <c r="A140">
        <v>7060</v>
      </c>
      <c r="B140" t="s">
        <v>182</v>
      </c>
      <c r="C140" t="s">
        <v>183</v>
      </c>
      <c r="D140" s="34">
        <v>210926.49999999997</v>
      </c>
      <c r="E140">
        <v>1246232491</v>
      </c>
      <c r="F140" s="30">
        <v>46264</v>
      </c>
      <c r="G140" s="30"/>
      <c r="H140" t="s">
        <v>173</v>
      </c>
      <c r="I140" t="s">
        <v>174</v>
      </c>
      <c r="J140">
        <v>9006</v>
      </c>
      <c r="K140" s="30">
        <v>45891</v>
      </c>
      <c r="L140">
        <v>1010100</v>
      </c>
      <c r="M140" t="s">
        <v>35</v>
      </c>
      <c r="N140">
        <v>56</v>
      </c>
      <c r="O140" t="s">
        <v>162</v>
      </c>
      <c r="P140" t="s">
        <v>182</v>
      </c>
      <c r="Q140">
        <f t="shared" si="2"/>
        <v>-153</v>
      </c>
      <c r="R140" t="str">
        <f>_xlfn.XLOOKUP(P140,'Painel Fertilizers'!$B:$B,'Painel Fertilizers'!$B:$B,0)</f>
        <v>AGROVIVA</v>
      </c>
    </row>
    <row r="141" spans="1:18" x14ac:dyDescent="0.25">
      <c r="A141">
        <v>7060</v>
      </c>
      <c r="B141" t="s">
        <v>182</v>
      </c>
      <c r="C141" t="s">
        <v>183</v>
      </c>
      <c r="D141" s="34">
        <v>130331.92</v>
      </c>
      <c r="E141">
        <v>1246232349</v>
      </c>
      <c r="F141" s="30">
        <v>46144</v>
      </c>
      <c r="G141" s="30"/>
      <c r="H141" t="s">
        <v>173</v>
      </c>
      <c r="I141" t="s">
        <v>174</v>
      </c>
      <c r="J141">
        <v>8975</v>
      </c>
      <c r="K141" s="30">
        <v>45890</v>
      </c>
      <c r="L141">
        <v>1010100</v>
      </c>
      <c r="M141" t="s">
        <v>35</v>
      </c>
      <c r="N141">
        <v>56</v>
      </c>
      <c r="O141" t="s">
        <v>162</v>
      </c>
      <c r="P141" t="s">
        <v>182</v>
      </c>
      <c r="Q141">
        <f t="shared" si="2"/>
        <v>-33</v>
      </c>
      <c r="R141" t="str">
        <f>_xlfn.XLOOKUP(P141,'Painel Fertilizers'!$B:$B,'Painel Fertilizers'!$B:$B,0)</f>
        <v>AGROVIVA</v>
      </c>
    </row>
    <row r="142" spans="1:18" x14ac:dyDescent="0.25">
      <c r="A142">
        <v>7060</v>
      </c>
      <c r="B142" t="s">
        <v>182</v>
      </c>
      <c r="C142" t="s">
        <v>183</v>
      </c>
      <c r="D142" s="34">
        <v>6817.24</v>
      </c>
      <c r="E142">
        <v>1246232336</v>
      </c>
      <c r="F142" s="30">
        <v>46144</v>
      </c>
      <c r="G142" s="30"/>
      <c r="H142" t="s">
        <v>173</v>
      </c>
      <c r="I142" t="s">
        <v>174</v>
      </c>
      <c r="J142">
        <v>8973</v>
      </c>
      <c r="K142" s="30">
        <v>45890</v>
      </c>
      <c r="L142">
        <v>1010100</v>
      </c>
      <c r="M142" t="s">
        <v>35</v>
      </c>
      <c r="N142">
        <v>56</v>
      </c>
      <c r="O142" t="s">
        <v>162</v>
      </c>
      <c r="P142" t="s">
        <v>182</v>
      </c>
      <c r="Q142">
        <f t="shared" si="2"/>
        <v>-33</v>
      </c>
      <c r="R142" t="str">
        <f>_xlfn.XLOOKUP(P142,'Painel Fertilizers'!$B:$B,'Painel Fertilizers'!$B:$B,0)</f>
        <v>AGROVIVA</v>
      </c>
    </row>
    <row r="143" spans="1:18" x14ac:dyDescent="0.25">
      <c r="A143">
        <v>7060</v>
      </c>
      <c r="B143" t="s">
        <v>182</v>
      </c>
      <c r="C143" t="s">
        <v>183</v>
      </c>
      <c r="D143" s="34">
        <v>135891.48000000001</v>
      </c>
      <c r="E143">
        <v>1246233319</v>
      </c>
      <c r="F143" s="30">
        <v>46266</v>
      </c>
      <c r="G143" s="30"/>
      <c r="H143" t="s">
        <v>173</v>
      </c>
      <c r="I143" t="s">
        <v>174</v>
      </c>
      <c r="J143">
        <v>9076</v>
      </c>
      <c r="K143" s="30">
        <v>45896</v>
      </c>
      <c r="L143">
        <v>1010100</v>
      </c>
      <c r="M143" t="s">
        <v>35</v>
      </c>
      <c r="N143">
        <v>56</v>
      </c>
      <c r="O143" t="s">
        <v>162</v>
      </c>
      <c r="P143" t="s">
        <v>182</v>
      </c>
      <c r="Q143">
        <f t="shared" si="2"/>
        <v>-155</v>
      </c>
      <c r="R143" t="str">
        <f>_xlfn.XLOOKUP(P143,'Painel Fertilizers'!$B:$B,'Painel Fertilizers'!$B:$B,0)</f>
        <v>AGROVIVA</v>
      </c>
    </row>
    <row r="144" spans="1:18" x14ac:dyDescent="0.25">
      <c r="A144">
        <v>7060</v>
      </c>
      <c r="B144" t="s">
        <v>182</v>
      </c>
      <c r="C144" t="s">
        <v>183</v>
      </c>
      <c r="D144" s="34">
        <v>137584.20000000001</v>
      </c>
      <c r="E144">
        <v>1246232316</v>
      </c>
      <c r="F144" s="30">
        <v>46144</v>
      </c>
      <c r="G144" s="30"/>
      <c r="H144" t="s">
        <v>173</v>
      </c>
      <c r="I144" t="s">
        <v>174</v>
      </c>
      <c r="J144">
        <v>8971</v>
      </c>
      <c r="K144" s="30">
        <v>45890</v>
      </c>
      <c r="L144">
        <v>1010100</v>
      </c>
      <c r="M144" t="s">
        <v>35</v>
      </c>
      <c r="N144">
        <v>56</v>
      </c>
      <c r="O144" t="s">
        <v>162</v>
      </c>
      <c r="P144" t="s">
        <v>182</v>
      </c>
      <c r="Q144">
        <f t="shared" si="2"/>
        <v>-33</v>
      </c>
      <c r="R144" t="str">
        <f>_xlfn.XLOOKUP(P144,'Painel Fertilizers'!$B:$B,'Painel Fertilizers'!$B:$B,0)</f>
        <v>AGROVIVA</v>
      </c>
    </row>
    <row r="145" spans="1:18" x14ac:dyDescent="0.25">
      <c r="A145">
        <v>7060</v>
      </c>
      <c r="B145" t="s">
        <v>182</v>
      </c>
      <c r="C145" t="s">
        <v>183</v>
      </c>
      <c r="D145" s="34">
        <v>160304.14000000001</v>
      </c>
      <c r="E145">
        <v>1246232724</v>
      </c>
      <c r="F145" s="30">
        <v>46264</v>
      </c>
      <c r="G145" s="30"/>
      <c r="H145" t="s">
        <v>173</v>
      </c>
      <c r="I145" t="s">
        <v>174</v>
      </c>
      <c r="J145">
        <v>9023</v>
      </c>
      <c r="K145" s="30">
        <v>45894</v>
      </c>
      <c r="L145">
        <v>1010100</v>
      </c>
      <c r="M145" t="s">
        <v>35</v>
      </c>
      <c r="N145">
        <v>56</v>
      </c>
      <c r="O145" t="s">
        <v>162</v>
      </c>
      <c r="P145" t="s">
        <v>182</v>
      </c>
      <c r="Q145">
        <f t="shared" si="2"/>
        <v>-153</v>
      </c>
      <c r="R145" t="str">
        <f>_xlfn.XLOOKUP(P145,'Painel Fertilizers'!$B:$B,'Painel Fertilizers'!$B:$B,0)</f>
        <v>AGROVIVA</v>
      </c>
    </row>
    <row r="146" spans="1:18" x14ac:dyDescent="0.25">
      <c r="A146">
        <v>7060</v>
      </c>
      <c r="B146" t="s">
        <v>182</v>
      </c>
      <c r="C146" t="s">
        <v>183</v>
      </c>
      <c r="D146" s="34">
        <v>134992.95999999999</v>
      </c>
      <c r="E146">
        <v>1246233318</v>
      </c>
      <c r="F146" s="30">
        <v>46265</v>
      </c>
      <c r="G146" s="30"/>
      <c r="H146" t="s">
        <v>173</v>
      </c>
      <c r="I146" t="s">
        <v>174</v>
      </c>
      <c r="J146">
        <v>9075</v>
      </c>
      <c r="K146" s="30">
        <v>45896</v>
      </c>
      <c r="L146">
        <v>1010100</v>
      </c>
      <c r="M146" t="s">
        <v>35</v>
      </c>
      <c r="N146">
        <v>56</v>
      </c>
      <c r="O146" t="s">
        <v>162</v>
      </c>
      <c r="P146" t="s">
        <v>182</v>
      </c>
      <c r="Q146">
        <f t="shared" si="2"/>
        <v>-154</v>
      </c>
      <c r="R146" t="str">
        <f>_xlfn.XLOOKUP(P146,'Painel Fertilizers'!$B:$B,'Painel Fertilizers'!$B:$B,0)</f>
        <v>AGROVIVA</v>
      </c>
    </row>
    <row r="147" spans="1:18" x14ac:dyDescent="0.25">
      <c r="A147">
        <v>8187</v>
      </c>
      <c r="B147" t="s">
        <v>553</v>
      </c>
      <c r="C147" t="s">
        <v>315</v>
      </c>
      <c r="D147" s="34">
        <v>198973.75</v>
      </c>
      <c r="E147">
        <v>1246234606</v>
      </c>
      <c r="F147" s="30">
        <v>46149</v>
      </c>
      <c r="G147" s="30">
        <v>46114</v>
      </c>
      <c r="H147" t="s">
        <v>173</v>
      </c>
      <c r="I147" t="s">
        <v>174</v>
      </c>
      <c r="J147">
        <v>9156</v>
      </c>
      <c r="K147" s="30">
        <v>45902</v>
      </c>
      <c r="L147">
        <v>1010100</v>
      </c>
      <c r="M147" t="s">
        <v>35</v>
      </c>
      <c r="N147">
        <v>161</v>
      </c>
      <c r="O147" t="s">
        <v>161</v>
      </c>
      <c r="P147" t="s">
        <v>553</v>
      </c>
      <c r="Q147">
        <f t="shared" ref="Q147:Q157" si="3">$R$1-F147</f>
        <v>-38</v>
      </c>
      <c r="R147" t="str">
        <f>_xlfn.XLOOKUP(P147,'Painel Fertilizers'!$B:$B,'Painel Fertilizers'!$B:$B,0)</f>
        <v>AGROREP. REPRESENTACOES AGRICOLAS</v>
      </c>
    </row>
    <row r="148" spans="1:18" x14ac:dyDescent="0.25">
      <c r="A148">
        <v>8187</v>
      </c>
      <c r="B148" t="s">
        <v>553</v>
      </c>
      <c r="C148" t="s">
        <v>315</v>
      </c>
      <c r="D148" s="34">
        <v>185936.97</v>
      </c>
      <c r="E148">
        <v>1246227017</v>
      </c>
      <c r="F148" s="30">
        <v>46142</v>
      </c>
      <c r="G148" s="30">
        <v>46114</v>
      </c>
      <c r="H148" t="s">
        <v>173</v>
      </c>
      <c r="I148" t="s">
        <v>174</v>
      </c>
      <c r="J148">
        <v>8605</v>
      </c>
      <c r="K148" s="30">
        <v>45862</v>
      </c>
      <c r="L148">
        <v>1010100</v>
      </c>
      <c r="M148" t="s">
        <v>35</v>
      </c>
      <c r="N148">
        <v>161</v>
      </c>
      <c r="O148" t="s">
        <v>161</v>
      </c>
      <c r="P148" t="s">
        <v>553</v>
      </c>
      <c r="Q148">
        <f t="shared" si="3"/>
        <v>-31</v>
      </c>
      <c r="R148" t="str">
        <f>_xlfn.XLOOKUP(P148,'Painel Fertilizers'!$B:$B,'Painel Fertilizers'!$B:$B,0)</f>
        <v>AGROREP. REPRESENTACOES AGRICOLAS</v>
      </c>
    </row>
    <row r="149" spans="1:18" x14ac:dyDescent="0.25">
      <c r="A149">
        <v>8187</v>
      </c>
      <c r="B149" t="s">
        <v>553</v>
      </c>
      <c r="C149" t="s">
        <v>315</v>
      </c>
      <c r="D149" s="34">
        <v>183818.49999999997</v>
      </c>
      <c r="E149">
        <v>1246228356</v>
      </c>
      <c r="F149" s="30">
        <v>46144</v>
      </c>
      <c r="G149" s="30">
        <v>46114</v>
      </c>
      <c r="H149" t="s">
        <v>173</v>
      </c>
      <c r="I149" t="s">
        <v>174</v>
      </c>
      <c r="J149">
        <v>8711</v>
      </c>
      <c r="K149" s="30">
        <v>45869</v>
      </c>
      <c r="L149">
        <v>1010100</v>
      </c>
      <c r="M149" t="s">
        <v>35</v>
      </c>
      <c r="N149">
        <v>161</v>
      </c>
      <c r="O149" t="s">
        <v>161</v>
      </c>
      <c r="P149" t="s">
        <v>553</v>
      </c>
      <c r="Q149">
        <f t="shared" si="3"/>
        <v>-33</v>
      </c>
      <c r="R149" t="str">
        <f>_xlfn.XLOOKUP(P149,'Painel Fertilizers'!$B:$B,'Painel Fertilizers'!$B:$B,0)</f>
        <v>AGROREP. REPRESENTACOES AGRICOLAS</v>
      </c>
    </row>
    <row r="150" spans="1:18" x14ac:dyDescent="0.25">
      <c r="A150">
        <v>8187</v>
      </c>
      <c r="B150" t="s">
        <v>553</v>
      </c>
      <c r="C150" t="s">
        <v>315</v>
      </c>
      <c r="D150" s="34">
        <v>198973.75</v>
      </c>
      <c r="E150">
        <v>1246233047</v>
      </c>
      <c r="F150" s="30">
        <v>46142</v>
      </c>
      <c r="G150" s="30">
        <v>46114</v>
      </c>
      <c r="H150" t="s">
        <v>173</v>
      </c>
      <c r="I150" t="s">
        <v>174</v>
      </c>
      <c r="J150">
        <v>9050</v>
      </c>
      <c r="K150" s="30">
        <v>45895</v>
      </c>
      <c r="L150">
        <v>1010100</v>
      </c>
      <c r="M150" t="s">
        <v>35</v>
      </c>
      <c r="N150">
        <v>161</v>
      </c>
      <c r="O150" t="s">
        <v>161</v>
      </c>
      <c r="P150" t="s">
        <v>553</v>
      </c>
      <c r="Q150">
        <f t="shared" si="3"/>
        <v>-31</v>
      </c>
      <c r="R150" t="str">
        <f>_xlfn.XLOOKUP(P150,'Painel Fertilizers'!$B:$B,'Painel Fertilizers'!$B:$B,0)</f>
        <v>AGROREP. REPRESENTACOES AGRICOLAS</v>
      </c>
    </row>
    <row r="151" spans="1:18" x14ac:dyDescent="0.25">
      <c r="A151">
        <v>8187</v>
      </c>
      <c r="B151" t="s">
        <v>553</v>
      </c>
      <c r="C151" t="s">
        <v>315</v>
      </c>
      <c r="D151" s="34">
        <v>185774.02</v>
      </c>
      <c r="E151">
        <v>1246224560</v>
      </c>
      <c r="F151" s="30">
        <v>46139</v>
      </c>
      <c r="G151" s="30">
        <v>46114</v>
      </c>
      <c r="H151" t="s">
        <v>173</v>
      </c>
      <c r="I151" t="s">
        <v>174</v>
      </c>
      <c r="J151">
        <v>8462</v>
      </c>
      <c r="K151" s="30">
        <v>45849</v>
      </c>
      <c r="L151">
        <v>1010100</v>
      </c>
      <c r="M151" t="s">
        <v>35</v>
      </c>
      <c r="N151">
        <v>161</v>
      </c>
      <c r="O151" t="s">
        <v>161</v>
      </c>
      <c r="P151" t="s">
        <v>553</v>
      </c>
      <c r="Q151">
        <f t="shared" si="3"/>
        <v>-28</v>
      </c>
      <c r="R151" t="str">
        <f>_xlfn.XLOOKUP(P151,'Painel Fertilizers'!$B:$B,'Painel Fertilizers'!$B:$B,0)</f>
        <v>AGROREP. REPRESENTACOES AGRICOLAS</v>
      </c>
    </row>
    <row r="152" spans="1:18" x14ac:dyDescent="0.25">
      <c r="A152">
        <v>8187</v>
      </c>
      <c r="B152" t="s">
        <v>553</v>
      </c>
      <c r="C152" t="s">
        <v>315</v>
      </c>
      <c r="D152" s="34">
        <v>185774.01000000004</v>
      </c>
      <c r="E152">
        <v>1246224750</v>
      </c>
      <c r="F152" s="30">
        <v>46142</v>
      </c>
      <c r="G152" s="30">
        <v>46114</v>
      </c>
      <c r="H152" t="s">
        <v>173</v>
      </c>
      <c r="I152" t="s">
        <v>174</v>
      </c>
      <c r="J152">
        <v>8475</v>
      </c>
      <c r="K152" s="30">
        <v>45852</v>
      </c>
      <c r="L152">
        <v>1010100</v>
      </c>
      <c r="M152" t="s">
        <v>35</v>
      </c>
      <c r="N152">
        <v>161</v>
      </c>
      <c r="O152" t="s">
        <v>161</v>
      </c>
      <c r="P152" t="s">
        <v>553</v>
      </c>
      <c r="Q152">
        <f t="shared" si="3"/>
        <v>-31</v>
      </c>
      <c r="R152" t="str">
        <f>_xlfn.XLOOKUP(P152,'Painel Fertilizers'!$B:$B,'Painel Fertilizers'!$B:$B,0)</f>
        <v>AGROREP. REPRESENTACOES AGRICOLAS</v>
      </c>
    </row>
    <row r="153" spans="1:18" x14ac:dyDescent="0.25">
      <c r="A153">
        <v>8187</v>
      </c>
      <c r="B153" t="s">
        <v>553</v>
      </c>
      <c r="C153" t="s">
        <v>315</v>
      </c>
      <c r="D153" s="34">
        <v>185774.02</v>
      </c>
      <c r="E153">
        <v>1246224287</v>
      </c>
      <c r="F153" s="30">
        <v>46142</v>
      </c>
      <c r="G153" s="30">
        <v>46114</v>
      </c>
      <c r="H153" t="s">
        <v>173</v>
      </c>
      <c r="I153" t="s">
        <v>174</v>
      </c>
      <c r="J153">
        <v>8443</v>
      </c>
      <c r="K153" s="30">
        <v>45848</v>
      </c>
      <c r="L153">
        <v>1010100</v>
      </c>
      <c r="M153" t="s">
        <v>35</v>
      </c>
      <c r="N153">
        <v>161</v>
      </c>
      <c r="O153" t="s">
        <v>161</v>
      </c>
      <c r="P153" t="s">
        <v>553</v>
      </c>
      <c r="Q153">
        <f t="shared" si="3"/>
        <v>-31</v>
      </c>
      <c r="R153" t="str">
        <f>_xlfn.XLOOKUP(P153,'Painel Fertilizers'!$B:$B,'Painel Fertilizers'!$B:$B,0)</f>
        <v>AGROREP. REPRESENTACOES AGRICOLAS</v>
      </c>
    </row>
    <row r="154" spans="1:18" x14ac:dyDescent="0.25">
      <c r="A154">
        <v>8187</v>
      </c>
      <c r="B154" t="s">
        <v>553</v>
      </c>
      <c r="C154" t="s">
        <v>315</v>
      </c>
      <c r="D154" s="34">
        <v>185936.97</v>
      </c>
      <c r="E154">
        <v>1246225056</v>
      </c>
      <c r="F154" s="30">
        <v>46143</v>
      </c>
      <c r="G154" s="30">
        <v>46114</v>
      </c>
      <c r="H154" t="s">
        <v>173</v>
      </c>
      <c r="I154" t="s">
        <v>174</v>
      </c>
      <c r="J154">
        <v>8486</v>
      </c>
      <c r="K154" s="30">
        <v>45853</v>
      </c>
      <c r="L154">
        <v>1010100</v>
      </c>
      <c r="M154" t="s">
        <v>35</v>
      </c>
      <c r="N154">
        <v>161</v>
      </c>
      <c r="O154" t="s">
        <v>161</v>
      </c>
      <c r="P154" t="s">
        <v>553</v>
      </c>
      <c r="Q154">
        <f t="shared" si="3"/>
        <v>-32</v>
      </c>
      <c r="R154" t="str">
        <f>_xlfn.XLOOKUP(P154,'Painel Fertilizers'!$B:$B,'Painel Fertilizers'!$B:$B,0)</f>
        <v>AGROREP. REPRESENTACOES AGRICOLAS</v>
      </c>
    </row>
    <row r="155" spans="1:18" x14ac:dyDescent="0.25">
      <c r="A155">
        <v>8187</v>
      </c>
      <c r="B155" t="s">
        <v>553</v>
      </c>
      <c r="C155" t="s">
        <v>315</v>
      </c>
      <c r="D155" s="34">
        <v>154974.63</v>
      </c>
      <c r="E155">
        <v>1246240535</v>
      </c>
      <c r="F155" s="30">
        <v>46142</v>
      </c>
      <c r="G155" s="30">
        <v>46114</v>
      </c>
      <c r="H155" t="s">
        <v>173</v>
      </c>
      <c r="I155" t="s">
        <v>174</v>
      </c>
      <c r="J155">
        <v>9527</v>
      </c>
      <c r="K155" s="30">
        <v>45930</v>
      </c>
      <c r="L155">
        <v>1010100</v>
      </c>
      <c r="M155" t="s">
        <v>35</v>
      </c>
      <c r="N155">
        <v>161</v>
      </c>
      <c r="O155" t="s">
        <v>161</v>
      </c>
      <c r="P155" t="s">
        <v>553</v>
      </c>
      <c r="Q155">
        <f t="shared" si="3"/>
        <v>-31</v>
      </c>
      <c r="R155" t="str">
        <f>_xlfn.XLOOKUP(P155,'Painel Fertilizers'!$B:$B,'Painel Fertilizers'!$B:$B,0)</f>
        <v>AGROREP. REPRESENTACOES AGRICOLAS</v>
      </c>
    </row>
    <row r="156" spans="1:18" x14ac:dyDescent="0.25">
      <c r="A156">
        <v>8187</v>
      </c>
      <c r="B156" t="s">
        <v>553</v>
      </c>
      <c r="C156" t="s">
        <v>315</v>
      </c>
      <c r="D156" s="34">
        <v>183818.49999999997</v>
      </c>
      <c r="E156">
        <v>1246228297</v>
      </c>
      <c r="F156" s="30">
        <v>46144</v>
      </c>
      <c r="G156" s="30">
        <v>46114</v>
      </c>
      <c r="H156" t="s">
        <v>173</v>
      </c>
      <c r="I156" t="s">
        <v>174</v>
      </c>
      <c r="J156">
        <v>8696</v>
      </c>
      <c r="K156" s="30">
        <v>45869</v>
      </c>
      <c r="L156">
        <v>1010100</v>
      </c>
      <c r="M156" t="s">
        <v>35</v>
      </c>
      <c r="N156">
        <v>161</v>
      </c>
      <c r="O156" t="s">
        <v>161</v>
      </c>
      <c r="P156" t="s">
        <v>553</v>
      </c>
      <c r="Q156">
        <f t="shared" si="3"/>
        <v>-33</v>
      </c>
      <c r="R156" t="str">
        <f>_xlfn.XLOOKUP(P156,'Painel Fertilizers'!$B:$B,'Painel Fertilizers'!$B:$B,0)</f>
        <v>AGROREP. REPRESENTACOES AGRICOLAS</v>
      </c>
    </row>
    <row r="157" spans="1:18" x14ac:dyDescent="0.25">
      <c r="A157">
        <v>8187</v>
      </c>
      <c r="B157" t="s">
        <v>553</v>
      </c>
      <c r="C157" t="s">
        <v>315</v>
      </c>
      <c r="D157" s="34">
        <v>183818.49999999997</v>
      </c>
      <c r="E157">
        <v>1246225656</v>
      </c>
      <c r="F157" s="30">
        <v>46145</v>
      </c>
      <c r="G157" s="30">
        <v>46114</v>
      </c>
      <c r="H157" t="s">
        <v>173</v>
      </c>
      <c r="I157" t="s">
        <v>174</v>
      </c>
      <c r="J157">
        <v>8524</v>
      </c>
      <c r="K157" s="30">
        <v>45855</v>
      </c>
      <c r="L157">
        <v>1010100</v>
      </c>
      <c r="M157" t="s">
        <v>35</v>
      </c>
      <c r="N157">
        <v>161</v>
      </c>
      <c r="O157" t="s">
        <v>161</v>
      </c>
      <c r="P157" t="s">
        <v>553</v>
      </c>
      <c r="Q157">
        <f t="shared" si="3"/>
        <v>-34</v>
      </c>
      <c r="R157" t="str">
        <f>_xlfn.XLOOKUP(P157,'Painel Fertilizers'!$B:$B,'Painel Fertilizers'!$B:$B,0)</f>
        <v>AGROREP. REPRESENTACOES AGRICOLAS</v>
      </c>
    </row>
    <row r="158" spans="1:18" x14ac:dyDescent="0.25">
      <c r="A158">
        <v>9298</v>
      </c>
      <c r="B158" t="s">
        <v>187</v>
      </c>
      <c r="C158" t="s">
        <v>188</v>
      </c>
      <c r="D158" s="34">
        <v>111799</v>
      </c>
      <c r="E158">
        <v>1246070436</v>
      </c>
      <c r="F158" s="30">
        <v>45555</v>
      </c>
      <c r="G158" s="30"/>
      <c r="H158" t="s">
        <v>173</v>
      </c>
      <c r="I158" t="s">
        <v>174</v>
      </c>
      <c r="J158">
        <v>20815</v>
      </c>
      <c r="K158" s="30">
        <v>44991</v>
      </c>
      <c r="L158">
        <v>1010100</v>
      </c>
      <c r="M158" t="s">
        <v>35</v>
      </c>
      <c r="N158">
        <v>161</v>
      </c>
      <c r="O158" t="s">
        <v>161</v>
      </c>
      <c r="P158" t="s">
        <v>187</v>
      </c>
      <c r="Q158">
        <f t="shared" si="2"/>
        <v>556</v>
      </c>
      <c r="R158" t="str">
        <f>_xlfn.XLOOKUP(P158,'Painel Fertilizers'!$B:$B,'Painel Fertilizers'!$B:$B,0)</f>
        <v>TERRA FERTIL - MACHADO</v>
      </c>
    </row>
    <row r="159" spans="1:18" x14ac:dyDescent="0.25">
      <c r="A159">
        <v>9298</v>
      </c>
      <c r="B159" t="s">
        <v>187</v>
      </c>
      <c r="C159" t="s">
        <v>188</v>
      </c>
      <c r="D159" s="34">
        <v>65548</v>
      </c>
      <c r="E159">
        <v>1246070905</v>
      </c>
      <c r="F159" s="30">
        <v>45555</v>
      </c>
      <c r="G159" s="30"/>
      <c r="H159" t="s">
        <v>173</v>
      </c>
      <c r="I159" t="s">
        <v>174</v>
      </c>
      <c r="J159">
        <v>20839</v>
      </c>
      <c r="K159" s="30">
        <v>44994</v>
      </c>
      <c r="L159">
        <v>1010100</v>
      </c>
      <c r="M159" t="s">
        <v>35</v>
      </c>
      <c r="N159">
        <v>161</v>
      </c>
      <c r="O159" t="s">
        <v>161</v>
      </c>
      <c r="P159" t="s">
        <v>187</v>
      </c>
      <c r="Q159">
        <f t="shared" si="2"/>
        <v>556</v>
      </c>
      <c r="R159" t="str">
        <f>_xlfn.XLOOKUP(P159,'Painel Fertilizers'!$B:$B,'Painel Fertilizers'!$B:$B,0)</f>
        <v>TERRA FERTIL - MACHADO</v>
      </c>
    </row>
    <row r="160" spans="1:18" x14ac:dyDescent="0.25">
      <c r="A160">
        <v>9298</v>
      </c>
      <c r="B160" t="s">
        <v>187</v>
      </c>
      <c r="C160" t="s">
        <v>188</v>
      </c>
      <c r="D160" s="34">
        <v>112475</v>
      </c>
      <c r="E160">
        <v>1246068948</v>
      </c>
      <c r="F160" s="30">
        <v>45555</v>
      </c>
      <c r="G160" s="30"/>
      <c r="H160" t="s">
        <v>173</v>
      </c>
      <c r="I160" t="s">
        <v>174</v>
      </c>
      <c r="J160">
        <v>20763</v>
      </c>
      <c r="K160" s="30">
        <v>44984</v>
      </c>
      <c r="L160">
        <v>1010100</v>
      </c>
      <c r="M160" t="s">
        <v>35</v>
      </c>
      <c r="N160">
        <v>161</v>
      </c>
      <c r="O160" t="s">
        <v>161</v>
      </c>
      <c r="P160" t="s">
        <v>187</v>
      </c>
      <c r="Q160">
        <f t="shared" si="2"/>
        <v>556</v>
      </c>
      <c r="R160" t="str">
        <f>_xlfn.XLOOKUP(P160,'Painel Fertilizers'!$B:$B,'Painel Fertilizers'!$B:$B,0)</f>
        <v>TERRA FERTIL - MACHADO</v>
      </c>
    </row>
    <row r="161" spans="1:18" x14ac:dyDescent="0.25">
      <c r="A161">
        <v>9298</v>
      </c>
      <c r="B161" t="s">
        <v>187</v>
      </c>
      <c r="C161" t="s">
        <v>188</v>
      </c>
      <c r="D161" s="34">
        <v>149824</v>
      </c>
      <c r="E161">
        <v>1246068778</v>
      </c>
      <c r="F161" s="30">
        <v>45555</v>
      </c>
      <c r="G161" s="30"/>
      <c r="H161" t="s">
        <v>173</v>
      </c>
      <c r="I161" t="s">
        <v>174</v>
      </c>
      <c r="J161">
        <v>20750</v>
      </c>
      <c r="K161" s="30">
        <v>44981</v>
      </c>
      <c r="L161">
        <v>1010100</v>
      </c>
      <c r="M161" t="s">
        <v>35</v>
      </c>
      <c r="N161">
        <v>161</v>
      </c>
      <c r="O161" t="s">
        <v>161</v>
      </c>
      <c r="P161" t="s">
        <v>187</v>
      </c>
      <c r="Q161">
        <f t="shared" si="2"/>
        <v>556</v>
      </c>
      <c r="R161" t="str">
        <f>_xlfn.XLOOKUP(P161,'Painel Fertilizers'!$B:$B,'Painel Fertilizers'!$B:$B,0)</f>
        <v>TERRA FERTIL - MACHADO</v>
      </c>
    </row>
    <row r="162" spans="1:18" x14ac:dyDescent="0.25">
      <c r="A162">
        <v>9298</v>
      </c>
      <c r="B162" t="s">
        <v>187</v>
      </c>
      <c r="C162" t="s">
        <v>188</v>
      </c>
      <c r="D162" s="34">
        <v>131203</v>
      </c>
      <c r="E162">
        <v>1246070820</v>
      </c>
      <c r="F162" s="30">
        <v>45555</v>
      </c>
      <c r="G162" s="30"/>
      <c r="H162" t="s">
        <v>173</v>
      </c>
      <c r="I162" t="s">
        <v>174</v>
      </c>
      <c r="J162">
        <v>20836</v>
      </c>
      <c r="K162" s="30">
        <v>44993</v>
      </c>
      <c r="L162">
        <v>1010100</v>
      </c>
      <c r="M162" t="s">
        <v>35</v>
      </c>
      <c r="N162">
        <v>161</v>
      </c>
      <c r="O162" t="s">
        <v>161</v>
      </c>
      <c r="P162" t="s">
        <v>187</v>
      </c>
      <c r="Q162">
        <f t="shared" si="2"/>
        <v>556</v>
      </c>
      <c r="R162" t="str">
        <f>_xlfn.XLOOKUP(P162,'Painel Fertilizers'!$B:$B,'Painel Fertilizers'!$B:$B,0)</f>
        <v>TERRA FERTIL - MACHADO</v>
      </c>
    </row>
    <row r="163" spans="1:18" x14ac:dyDescent="0.25">
      <c r="A163">
        <v>9298</v>
      </c>
      <c r="B163" t="s">
        <v>187</v>
      </c>
      <c r="C163" t="s">
        <v>188</v>
      </c>
      <c r="D163" s="34">
        <v>119356.2</v>
      </c>
      <c r="E163">
        <v>1246068614</v>
      </c>
      <c r="F163" s="30">
        <v>45555</v>
      </c>
      <c r="G163" s="30"/>
      <c r="H163" t="s">
        <v>173</v>
      </c>
      <c r="I163" t="s">
        <v>174</v>
      </c>
      <c r="J163">
        <v>20734</v>
      </c>
      <c r="K163" s="30">
        <v>44980</v>
      </c>
      <c r="L163">
        <v>1010100</v>
      </c>
      <c r="M163" t="s">
        <v>35</v>
      </c>
      <c r="N163">
        <v>161</v>
      </c>
      <c r="O163" t="s">
        <v>161</v>
      </c>
      <c r="P163" t="s">
        <v>187</v>
      </c>
      <c r="Q163">
        <f t="shared" si="2"/>
        <v>556</v>
      </c>
      <c r="R163" t="str">
        <f>_xlfn.XLOOKUP(P163,'Painel Fertilizers'!$B:$B,'Painel Fertilizers'!$B:$B,0)</f>
        <v>TERRA FERTIL - MACHADO</v>
      </c>
    </row>
    <row r="164" spans="1:18" x14ac:dyDescent="0.25">
      <c r="A164">
        <v>9298</v>
      </c>
      <c r="B164" t="s">
        <v>187</v>
      </c>
      <c r="C164" t="s">
        <v>188</v>
      </c>
      <c r="D164" s="34">
        <v>122521</v>
      </c>
      <c r="E164">
        <v>1246068997</v>
      </c>
      <c r="F164" s="30">
        <v>45555</v>
      </c>
      <c r="G164" s="30"/>
      <c r="H164" t="s">
        <v>173</v>
      </c>
      <c r="I164" t="s">
        <v>174</v>
      </c>
      <c r="J164">
        <v>20767</v>
      </c>
      <c r="K164" s="30">
        <v>44984</v>
      </c>
      <c r="L164">
        <v>1010100</v>
      </c>
      <c r="M164" t="s">
        <v>35</v>
      </c>
      <c r="N164">
        <v>161</v>
      </c>
      <c r="O164" t="s">
        <v>161</v>
      </c>
      <c r="P164" t="s">
        <v>187</v>
      </c>
      <c r="Q164">
        <f t="shared" si="2"/>
        <v>556</v>
      </c>
      <c r="R164" t="str">
        <f>_xlfn.XLOOKUP(P164,'Painel Fertilizers'!$B:$B,'Painel Fertilizers'!$B:$B,0)</f>
        <v>TERRA FERTIL - MACHADO</v>
      </c>
    </row>
    <row r="165" spans="1:18" x14ac:dyDescent="0.25">
      <c r="A165">
        <v>9298</v>
      </c>
      <c r="B165" t="s">
        <v>187</v>
      </c>
      <c r="C165" t="s">
        <v>188</v>
      </c>
      <c r="D165" s="34">
        <v>118731.49</v>
      </c>
      <c r="E165">
        <v>1246083500</v>
      </c>
      <c r="F165" s="30">
        <v>45555</v>
      </c>
      <c r="G165" s="30"/>
      <c r="H165" t="s">
        <v>173</v>
      </c>
      <c r="I165" t="s">
        <v>174</v>
      </c>
      <c r="J165">
        <v>21456</v>
      </c>
      <c r="K165" s="30">
        <v>45070</v>
      </c>
      <c r="L165">
        <v>1010100</v>
      </c>
      <c r="M165" t="s">
        <v>35</v>
      </c>
      <c r="N165">
        <v>161</v>
      </c>
      <c r="O165" t="s">
        <v>161</v>
      </c>
      <c r="P165" t="s">
        <v>187</v>
      </c>
      <c r="Q165">
        <f t="shared" si="2"/>
        <v>556</v>
      </c>
      <c r="R165" t="str">
        <f>_xlfn.XLOOKUP(P165,'Painel Fertilizers'!$B:$B,'Painel Fertilizers'!$B:$B,0)</f>
        <v>TERRA FERTIL - MACHADO</v>
      </c>
    </row>
    <row r="166" spans="1:18" x14ac:dyDescent="0.25">
      <c r="A166">
        <v>9298</v>
      </c>
      <c r="B166" t="s">
        <v>187</v>
      </c>
      <c r="C166" t="s">
        <v>188</v>
      </c>
      <c r="D166" s="34">
        <v>52557.4</v>
      </c>
      <c r="E166">
        <v>1246083593</v>
      </c>
      <c r="F166" s="30">
        <v>45555</v>
      </c>
      <c r="G166" s="30"/>
      <c r="H166" t="s">
        <v>173</v>
      </c>
      <c r="I166" t="s">
        <v>174</v>
      </c>
      <c r="J166">
        <v>21460</v>
      </c>
      <c r="K166" s="30">
        <v>45070</v>
      </c>
      <c r="L166">
        <v>1010100</v>
      </c>
      <c r="M166" t="s">
        <v>35</v>
      </c>
      <c r="N166">
        <v>161</v>
      </c>
      <c r="O166" t="s">
        <v>161</v>
      </c>
      <c r="P166" t="s">
        <v>187</v>
      </c>
      <c r="Q166">
        <f t="shared" si="2"/>
        <v>556</v>
      </c>
      <c r="R166" t="str">
        <f>_xlfn.XLOOKUP(P166,'Painel Fertilizers'!$B:$B,'Painel Fertilizers'!$B:$B,0)</f>
        <v>TERRA FERTIL - MACHADO</v>
      </c>
    </row>
    <row r="167" spans="1:18" x14ac:dyDescent="0.25">
      <c r="A167">
        <v>9298</v>
      </c>
      <c r="B167" t="s">
        <v>187</v>
      </c>
      <c r="C167" t="s">
        <v>188</v>
      </c>
      <c r="D167" s="34">
        <v>52557.4</v>
      </c>
      <c r="E167">
        <v>1246083373</v>
      </c>
      <c r="F167" s="30">
        <v>45555</v>
      </c>
      <c r="G167" s="30"/>
      <c r="H167" t="s">
        <v>173</v>
      </c>
      <c r="I167" t="s">
        <v>174</v>
      </c>
      <c r="J167">
        <v>21444</v>
      </c>
      <c r="K167" s="30">
        <v>45069</v>
      </c>
      <c r="L167">
        <v>1010100</v>
      </c>
      <c r="M167" t="s">
        <v>35</v>
      </c>
      <c r="N167">
        <v>161</v>
      </c>
      <c r="O167" t="s">
        <v>161</v>
      </c>
      <c r="P167" t="s">
        <v>187</v>
      </c>
      <c r="Q167">
        <f t="shared" si="2"/>
        <v>556</v>
      </c>
      <c r="R167" t="str">
        <f>_xlfn.XLOOKUP(P167,'Painel Fertilizers'!$B:$B,'Painel Fertilizers'!$B:$B,0)</f>
        <v>TERRA FERTIL - MACHADO</v>
      </c>
    </row>
    <row r="168" spans="1:18" x14ac:dyDescent="0.25">
      <c r="A168">
        <v>9298</v>
      </c>
      <c r="B168" t="s">
        <v>187</v>
      </c>
      <c r="C168" t="s">
        <v>188</v>
      </c>
      <c r="D168" s="34">
        <v>13957.5</v>
      </c>
      <c r="E168">
        <v>1246084673</v>
      </c>
      <c r="F168" s="30">
        <v>45555</v>
      </c>
      <c r="G168" s="30"/>
      <c r="H168" t="s">
        <v>173</v>
      </c>
      <c r="I168" t="s">
        <v>174</v>
      </c>
      <c r="J168">
        <v>21538</v>
      </c>
      <c r="K168" s="30">
        <v>45077</v>
      </c>
      <c r="L168">
        <v>1010100</v>
      </c>
      <c r="M168" t="s">
        <v>35</v>
      </c>
      <c r="N168">
        <v>161</v>
      </c>
      <c r="O168" t="s">
        <v>161</v>
      </c>
      <c r="P168" t="s">
        <v>187</v>
      </c>
      <c r="Q168">
        <f t="shared" si="2"/>
        <v>556</v>
      </c>
      <c r="R168" t="str">
        <f>_xlfn.XLOOKUP(P168,'Painel Fertilizers'!$B:$B,'Painel Fertilizers'!$B:$B,0)</f>
        <v>TERRA FERTIL - MACHADO</v>
      </c>
    </row>
    <row r="169" spans="1:18" x14ac:dyDescent="0.25">
      <c r="A169">
        <v>9298</v>
      </c>
      <c r="B169" t="s">
        <v>187</v>
      </c>
      <c r="C169" t="s">
        <v>188</v>
      </c>
      <c r="D169" s="34">
        <v>40756.75</v>
      </c>
      <c r="E169">
        <v>1246084671</v>
      </c>
      <c r="F169" s="30">
        <v>45555</v>
      </c>
      <c r="G169" s="30"/>
      <c r="H169" t="s">
        <v>173</v>
      </c>
      <c r="I169" t="s">
        <v>174</v>
      </c>
      <c r="J169">
        <v>21537</v>
      </c>
      <c r="K169" s="30">
        <v>45077</v>
      </c>
      <c r="L169">
        <v>1010100</v>
      </c>
      <c r="M169" t="s">
        <v>35</v>
      </c>
      <c r="N169">
        <v>161</v>
      </c>
      <c r="O169" t="s">
        <v>161</v>
      </c>
      <c r="P169" t="s">
        <v>187</v>
      </c>
      <c r="Q169">
        <f t="shared" si="2"/>
        <v>556</v>
      </c>
      <c r="R169" t="str">
        <f>_xlfn.XLOOKUP(P169,'Painel Fertilizers'!$B:$B,'Painel Fertilizers'!$B:$B,0)</f>
        <v>TERRA FERTIL - MACHADO</v>
      </c>
    </row>
    <row r="170" spans="1:18" x14ac:dyDescent="0.25">
      <c r="A170">
        <v>9298</v>
      </c>
      <c r="B170" t="s">
        <v>187</v>
      </c>
      <c r="C170" t="s">
        <v>188</v>
      </c>
      <c r="D170" s="34">
        <v>13238.05</v>
      </c>
      <c r="E170">
        <v>1246088994</v>
      </c>
      <c r="F170" s="30">
        <v>45555</v>
      </c>
      <c r="G170" s="30"/>
      <c r="H170" t="s">
        <v>173</v>
      </c>
      <c r="I170" t="s">
        <v>174</v>
      </c>
      <c r="J170">
        <v>20723</v>
      </c>
      <c r="K170" s="30">
        <v>44979</v>
      </c>
      <c r="L170">
        <v>1010100</v>
      </c>
      <c r="M170" t="s">
        <v>35</v>
      </c>
      <c r="N170">
        <v>161</v>
      </c>
      <c r="O170" t="s">
        <v>161</v>
      </c>
      <c r="P170" t="s">
        <v>187</v>
      </c>
      <c r="Q170">
        <f t="shared" si="2"/>
        <v>556</v>
      </c>
      <c r="R170" t="str">
        <f>_xlfn.XLOOKUP(P170,'Painel Fertilizers'!$B:$B,'Painel Fertilizers'!$B:$B,0)</f>
        <v>TERRA FERTIL - MACHADO</v>
      </c>
    </row>
    <row r="171" spans="1:18" x14ac:dyDescent="0.25">
      <c r="A171">
        <v>9298</v>
      </c>
      <c r="B171" t="s">
        <v>187</v>
      </c>
      <c r="C171" t="s">
        <v>188</v>
      </c>
      <c r="D171" s="34">
        <v>118788.8</v>
      </c>
      <c r="E171">
        <v>1246099199</v>
      </c>
      <c r="F171" s="30">
        <v>45562</v>
      </c>
      <c r="G171" s="30"/>
      <c r="H171" t="s">
        <v>173</v>
      </c>
      <c r="I171" t="s">
        <v>174</v>
      </c>
      <c r="J171">
        <v>768</v>
      </c>
      <c r="K171" s="30">
        <v>45159</v>
      </c>
      <c r="L171">
        <v>1010100</v>
      </c>
      <c r="M171" t="s">
        <v>35</v>
      </c>
      <c r="N171">
        <v>161</v>
      </c>
      <c r="O171" t="s">
        <v>161</v>
      </c>
      <c r="P171" t="s">
        <v>187</v>
      </c>
      <c r="Q171">
        <f t="shared" si="2"/>
        <v>549</v>
      </c>
      <c r="R171" t="str">
        <f>_xlfn.XLOOKUP(P171,'Painel Fertilizers'!$B:$B,'Painel Fertilizers'!$B:$B,0)</f>
        <v>TERRA FERTIL - MACHADO</v>
      </c>
    </row>
    <row r="172" spans="1:18" x14ac:dyDescent="0.25">
      <c r="A172">
        <v>9298</v>
      </c>
      <c r="B172" t="s">
        <v>187</v>
      </c>
      <c r="C172" t="s">
        <v>188</v>
      </c>
      <c r="D172" s="34">
        <v>118788.8</v>
      </c>
      <c r="E172">
        <v>1246099294</v>
      </c>
      <c r="F172" s="30">
        <v>45562</v>
      </c>
      <c r="G172" s="30"/>
      <c r="H172" t="s">
        <v>173</v>
      </c>
      <c r="I172" t="s">
        <v>174</v>
      </c>
      <c r="J172">
        <v>777</v>
      </c>
      <c r="K172" s="30">
        <v>45159</v>
      </c>
      <c r="L172">
        <v>1010100</v>
      </c>
      <c r="M172" t="s">
        <v>35</v>
      </c>
      <c r="N172">
        <v>161</v>
      </c>
      <c r="O172" t="s">
        <v>161</v>
      </c>
      <c r="P172" t="s">
        <v>187</v>
      </c>
      <c r="Q172">
        <f t="shared" si="2"/>
        <v>549</v>
      </c>
      <c r="R172" t="str">
        <f>_xlfn.XLOOKUP(P172,'Painel Fertilizers'!$B:$B,'Painel Fertilizers'!$B:$B,0)</f>
        <v>TERRA FERTIL - MACHADO</v>
      </c>
    </row>
    <row r="173" spans="1:18" x14ac:dyDescent="0.25">
      <c r="A173">
        <v>9298</v>
      </c>
      <c r="B173" t="s">
        <v>187</v>
      </c>
      <c r="C173" t="s">
        <v>188</v>
      </c>
      <c r="D173" s="34">
        <v>148492.1</v>
      </c>
      <c r="E173">
        <v>1246105304</v>
      </c>
      <c r="F173" s="30">
        <v>45555</v>
      </c>
      <c r="G173" s="30"/>
      <c r="H173" t="s">
        <v>173</v>
      </c>
      <c r="I173" t="s">
        <v>174</v>
      </c>
      <c r="J173">
        <v>1270</v>
      </c>
      <c r="K173" s="30">
        <v>45190</v>
      </c>
      <c r="L173">
        <v>1010100</v>
      </c>
      <c r="M173" t="s">
        <v>35</v>
      </c>
      <c r="N173">
        <v>161</v>
      </c>
      <c r="O173" t="s">
        <v>161</v>
      </c>
      <c r="P173" t="s">
        <v>187</v>
      </c>
      <c r="Q173">
        <f t="shared" si="2"/>
        <v>556</v>
      </c>
      <c r="R173" t="str">
        <f>_xlfn.XLOOKUP(P173,'Painel Fertilizers'!$B:$B,'Painel Fertilizers'!$B:$B,0)</f>
        <v>TERRA FERTIL - MACHADO</v>
      </c>
    </row>
    <row r="174" spans="1:18" x14ac:dyDescent="0.25">
      <c r="A174">
        <v>9298</v>
      </c>
      <c r="B174" t="s">
        <v>187</v>
      </c>
      <c r="C174" t="s">
        <v>188</v>
      </c>
      <c r="D174" s="34">
        <v>79894</v>
      </c>
      <c r="E174">
        <v>1246114860</v>
      </c>
      <c r="F174" s="30">
        <v>45555</v>
      </c>
      <c r="G174" s="30"/>
      <c r="H174" t="s">
        <v>173</v>
      </c>
      <c r="I174" t="s">
        <v>174</v>
      </c>
      <c r="J174">
        <v>1951</v>
      </c>
      <c r="K174" s="30">
        <v>45243</v>
      </c>
      <c r="L174">
        <v>1010100</v>
      </c>
      <c r="M174" t="s">
        <v>35</v>
      </c>
      <c r="N174">
        <v>161</v>
      </c>
      <c r="O174" t="s">
        <v>161</v>
      </c>
      <c r="P174" t="s">
        <v>187</v>
      </c>
      <c r="Q174">
        <f t="shared" si="2"/>
        <v>556</v>
      </c>
      <c r="R174" t="str">
        <f>_xlfn.XLOOKUP(P174,'Painel Fertilizers'!$B:$B,'Painel Fertilizers'!$B:$B,0)</f>
        <v>TERRA FERTIL - MACHADO</v>
      </c>
    </row>
    <row r="175" spans="1:18" x14ac:dyDescent="0.25">
      <c r="A175">
        <v>9298</v>
      </c>
      <c r="B175" t="s">
        <v>187</v>
      </c>
      <c r="C175" t="s">
        <v>188</v>
      </c>
      <c r="D175" s="34">
        <v>123567.8</v>
      </c>
      <c r="E175">
        <v>1246103672</v>
      </c>
      <c r="F175" s="30">
        <v>45567</v>
      </c>
      <c r="G175" s="30"/>
      <c r="H175" t="s">
        <v>173</v>
      </c>
      <c r="I175" t="s">
        <v>174</v>
      </c>
      <c r="J175">
        <v>1150</v>
      </c>
      <c r="K175" s="30">
        <v>45182</v>
      </c>
      <c r="L175">
        <v>1010100</v>
      </c>
      <c r="M175" t="s">
        <v>35</v>
      </c>
      <c r="N175">
        <v>161</v>
      </c>
      <c r="O175" t="s">
        <v>161</v>
      </c>
      <c r="P175" t="s">
        <v>187</v>
      </c>
      <c r="Q175">
        <f t="shared" si="2"/>
        <v>544</v>
      </c>
      <c r="R175" t="str">
        <f>_xlfn.XLOOKUP(P175,'Painel Fertilizers'!$B:$B,'Painel Fertilizers'!$B:$B,0)</f>
        <v>TERRA FERTIL - MACHADO</v>
      </c>
    </row>
    <row r="176" spans="1:18" x14ac:dyDescent="0.25">
      <c r="A176">
        <v>9298</v>
      </c>
      <c r="B176" t="s">
        <v>187</v>
      </c>
      <c r="C176" t="s">
        <v>188</v>
      </c>
      <c r="D176" s="34">
        <v>113355.6</v>
      </c>
      <c r="E176">
        <v>1246116199</v>
      </c>
      <c r="F176" s="30">
        <v>45561</v>
      </c>
      <c r="G176" s="30"/>
      <c r="H176" t="s">
        <v>173</v>
      </c>
      <c r="I176" t="s">
        <v>174</v>
      </c>
      <c r="J176">
        <v>2054</v>
      </c>
      <c r="K176" s="30">
        <v>45252</v>
      </c>
      <c r="L176">
        <v>1010100</v>
      </c>
      <c r="M176" t="s">
        <v>35</v>
      </c>
      <c r="N176">
        <v>161</v>
      </c>
      <c r="O176" t="s">
        <v>161</v>
      </c>
      <c r="P176" t="s">
        <v>187</v>
      </c>
      <c r="Q176">
        <f t="shared" si="2"/>
        <v>550</v>
      </c>
      <c r="R176" t="str">
        <f>_xlfn.XLOOKUP(P176,'Painel Fertilizers'!$B:$B,'Painel Fertilizers'!$B:$B,0)</f>
        <v>TERRA FERTIL - MACHADO</v>
      </c>
    </row>
    <row r="177" spans="1:18" x14ac:dyDescent="0.25">
      <c r="A177">
        <v>9298</v>
      </c>
      <c r="B177" t="s">
        <v>187</v>
      </c>
      <c r="C177" t="s">
        <v>188</v>
      </c>
      <c r="D177" s="34">
        <v>143583.76</v>
      </c>
      <c r="E177">
        <v>1246106222</v>
      </c>
      <c r="F177" s="30">
        <v>45560</v>
      </c>
      <c r="G177" s="30"/>
      <c r="H177" t="s">
        <v>173</v>
      </c>
      <c r="I177" t="s">
        <v>174</v>
      </c>
      <c r="J177">
        <v>1341</v>
      </c>
      <c r="K177" s="30">
        <v>45195</v>
      </c>
      <c r="L177">
        <v>1010100</v>
      </c>
      <c r="M177" t="s">
        <v>35</v>
      </c>
      <c r="N177">
        <v>161</v>
      </c>
      <c r="O177" t="s">
        <v>161</v>
      </c>
      <c r="P177" t="s">
        <v>187</v>
      </c>
      <c r="Q177">
        <f t="shared" si="2"/>
        <v>551</v>
      </c>
      <c r="R177" t="str">
        <f>_xlfn.XLOOKUP(P177,'Painel Fertilizers'!$B:$B,'Painel Fertilizers'!$B:$B,0)</f>
        <v>TERRA FERTIL - MACHADO</v>
      </c>
    </row>
    <row r="178" spans="1:18" x14ac:dyDescent="0.25">
      <c r="A178">
        <v>9298</v>
      </c>
      <c r="B178" t="s">
        <v>187</v>
      </c>
      <c r="C178" t="s">
        <v>188</v>
      </c>
      <c r="D178" s="34">
        <v>55612.2</v>
      </c>
      <c r="E178">
        <v>1246104999</v>
      </c>
      <c r="F178" s="30">
        <v>45555</v>
      </c>
      <c r="G178" s="30"/>
      <c r="H178" t="s">
        <v>173</v>
      </c>
      <c r="I178" t="s">
        <v>174</v>
      </c>
      <c r="J178">
        <v>1249</v>
      </c>
      <c r="K178" s="30">
        <v>45189</v>
      </c>
      <c r="L178">
        <v>1010100</v>
      </c>
      <c r="M178" t="s">
        <v>35</v>
      </c>
      <c r="N178">
        <v>161</v>
      </c>
      <c r="O178" t="s">
        <v>161</v>
      </c>
      <c r="P178" t="s">
        <v>187</v>
      </c>
      <c r="Q178">
        <f t="shared" si="2"/>
        <v>556</v>
      </c>
      <c r="R178" t="str">
        <f>_xlfn.XLOOKUP(P178,'Painel Fertilizers'!$B:$B,'Painel Fertilizers'!$B:$B,0)</f>
        <v>TERRA FERTIL - MACHADO</v>
      </c>
    </row>
    <row r="179" spans="1:18" x14ac:dyDescent="0.25">
      <c r="A179">
        <v>9298</v>
      </c>
      <c r="B179" t="s">
        <v>187</v>
      </c>
      <c r="C179" t="s">
        <v>188</v>
      </c>
      <c r="D179" s="34">
        <v>64234.84</v>
      </c>
      <c r="E179">
        <v>1246115394</v>
      </c>
      <c r="F179" s="30">
        <v>45555</v>
      </c>
      <c r="G179" s="30"/>
      <c r="H179" t="s">
        <v>173</v>
      </c>
      <c r="I179" t="s">
        <v>174</v>
      </c>
      <c r="J179">
        <v>1991</v>
      </c>
      <c r="K179" s="30">
        <v>45246</v>
      </c>
      <c r="L179">
        <v>1010100</v>
      </c>
      <c r="M179" t="s">
        <v>35</v>
      </c>
      <c r="N179">
        <v>161</v>
      </c>
      <c r="O179" t="s">
        <v>161</v>
      </c>
      <c r="P179" t="s">
        <v>187</v>
      </c>
      <c r="Q179">
        <f t="shared" si="2"/>
        <v>556</v>
      </c>
      <c r="R179" t="str">
        <f>_xlfn.XLOOKUP(P179,'Painel Fertilizers'!$B:$B,'Painel Fertilizers'!$B:$B,0)</f>
        <v>TERRA FERTIL - MACHADO</v>
      </c>
    </row>
    <row r="180" spans="1:18" x14ac:dyDescent="0.25">
      <c r="A180">
        <v>9298</v>
      </c>
      <c r="B180" t="s">
        <v>187</v>
      </c>
      <c r="C180" t="s">
        <v>188</v>
      </c>
      <c r="D180" s="34">
        <v>54534.2</v>
      </c>
      <c r="E180">
        <v>1246115392</v>
      </c>
      <c r="F180" s="30">
        <v>45555</v>
      </c>
      <c r="G180" s="30"/>
      <c r="H180" t="s">
        <v>173</v>
      </c>
      <c r="I180" t="s">
        <v>174</v>
      </c>
      <c r="J180">
        <v>1990</v>
      </c>
      <c r="K180" s="30">
        <v>45246</v>
      </c>
      <c r="L180">
        <v>1010100</v>
      </c>
      <c r="M180" t="s">
        <v>35</v>
      </c>
      <c r="N180">
        <v>161</v>
      </c>
      <c r="O180" t="s">
        <v>161</v>
      </c>
      <c r="P180" t="s">
        <v>187</v>
      </c>
      <c r="Q180">
        <f t="shared" si="2"/>
        <v>556</v>
      </c>
      <c r="R180" t="str">
        <f>_xlfn.XLOOKUP(P180,'Painel Fertilizers'!$B:$B,'Painel Fertilizers'!$B:$B,0)</f>
        <v>TERRA FERTIL - MACHADO</v>
      </c>
    </row>
    <row r="181" spans="1:18" x14ac:dyDescent="0.25">
      <c r="A181">
        <v>9298</v>
      </c>
      <c r="B181" t="s">
        <v>187</v>
      </c>
      <c r="C181" t="s">
        <v>188</v>
      </c>
      <c r="D181" s="34">
        <v>139293.64000000001</v>
      </c>
      <c r="E181">
        <v>1246105902</v>
      </c>
      <c r="F181" s="30">
        <v>45559</v>
      </c>
      <c r="G181" s="30"/>
      <c r="H181" t="s">
        <v>173</v>
      </c>
      <c r="I181" t="s">
        <v>174</v>
      </c>
      <c r="J181">
        <v>1319</v>
      </c>
      <c r="K181" s="30">
        <v>45194</v>
      </c>
      <c r="L181">
        <v>1010100</v>
      </c>
      <c r="M181" t="s">
        <v>35</v>
      </c>
      <c r="N181">
        <v>161</v>
      </c>
      <c r="O181" t="s">
        <v>161</v>
      </c>
      <c r="P181" t="s">
        <v>187</v>
      </c>
      <c r="Q181">
        <f t="shared" si="2"/>
        <v>552</v>
      </c>
      <c r="R181" t="str">
        <f>_xlfn.XLOOKUP(P181,'Painel Fertilizers'!$B:$B,'Painel Fertilizers'!$B:$B,0)</f>
        <v>TERRA FERTIL - MACHADO</v>
      </c>
    </row>
    <row r="182" spans="1:18" x14ac:dyDescent="0.25">
      <c r="A182">
        <v>9298</v>
      </c>
      <c r="B182" t="s">
        <v>187</v>
      </c>
      <c r="C182" t="s">
        <v>188</v>
      </c>
      <c r="D182" s="34">
        <v>68013.36</v>
      </c>
      <c r="E182">
        <v>1246114866</v>
      </c>
      <c r="F182" s="30">
        <v>45555</v>
      </c>
      <c r="G182" s="30"/>
      <c r="H182" t="s">
        <v>173</v>
      </c>
      <c r="I182" t="s">
        <v>174</v>
      </c>
      <c r="J182">
        <v>1952</v>
      </c>
      <c r="K182" s="30">
        <v>45243</v>
      </c>
      <c r="L182">
        <v>1010100</v>
      </c>
      <c r="M182" t="s">
        <v>35</v>
      </c>
      <c r="N182">
        <v>161</v>
      </c>
      <c r="O182" t="s">
        <v>161</v>
      </c>
      <c r="P182" t="s">
        <v>187</v>
      </c>
      <c r="Q182">
        <f t="shared" si="2"/>
        <v>556</v>
      </c>
      <c r="R182" t="str">
        <f>_xlfn.XLOOKUP(P182,'Painel Fertilizers'!$B:$B,'Painel Fertilizers'!$B:$B,0)</f>
        <v>TERRA FERTIL - MACHADO</v>
      </c>
    </row>
    <row r="183" spans="1:18" x14ac:dyDescent="0.25">
      <c r="A183">
        <v>9298</v>
      </c>
      <c r="B183" t="s">
        <v>187</v>
      </c>
      <c r="C183" t="s">
        <v>188</v>
      </c>
      <c r="D183" s="34">
        <v>55611.199999999997</v>
      </c>
      <c r="E183">
        <v>1246167304</v>
      </c>
      <c r="F183" s="30">
        <v>45555</v>
      </c>
      <c r="G183" s="30"/>
      <c r="H183" t="s">
        <v>173</v>
      </c>
      <c r="I183" t="s">
        <v>174</v>
      </c>
      <c r="J183">
        <v>1244</v>
      </c>
      <c r="K183" s="30">
        <v>45189</v>
      </c>
      <c r="L183">
        <v>1010100</v>
      </c>
      <c r="M183" t="s">
        <v>35</v>
      </c>
      <c r="N183">
        <v>161</v>
      </c>
      <c r="O183" t="s">
        <v>161</v>
      </c>
      <c r="P183" t="s">
        <v>187</v>
      </c>
      <c r="Q183">
        <f t="shared" si="2"/>
        <v>556</v>
      </c>
      <c r="R183" t="str">
        <f>_xlfn.XLOOKUP(P183,'Painel Fertilizers'!$B:$B,'Painel Fertilizers'!$B:$B,0)</f>
        <v>TERRA FERTIL - MACHADO</v>
      </c>
    </row>
    <row r="184" spans="1:18" x14ac:dyDescent="0.25">
      <c r="A184">
        <v>9298</v>
      </c>
      <c r="B184" t="s">
        <v>187</v>
      </c>
      <c r="C184" t="s">
        <v>188</v>
      </c>
      <c r="D184" s="34">
        <v>104546.96</v>
      </c>
      <c r="E184">
        <v>1246244742</v>
      </c>
      <c r="F184" s="30">
        <v>45555</v>
      </c>
      <c r="G184" s="30"/>
      <c r="H184" t="s">
        <v>173</v>
      </c>
      <c r="I184" t="s">
        <v>174</v>
      </c>
      <c r="J184">
        <v>20726</v>
      </c>
      <c r="K184" s="30">
        <v>44979</v>
      </c>
      <c r="L184">
        <v>1010100</v>
      </c>
      <c r="M184" t="s">
        <v>35</v>
      </c>
      <c r="N184">
        <v>161</v>
      </c>
      <c r="O184" t="s">
        <v>161</v>
      </c>
      <c r="P184" t="s">
        <v>187</v>
      </c>
      <c r="Q184">
        <f t="shared" si="2"/>
        <v>556</v>
      </c>
      <c r="R184" t="str">
        <f>_xlfn.XLOOKUP(P184,'Painel Fertilizers'!$B:$B,'Painel Fertilizers'!$B:$B,0)</f>
        <v>TERRA FERTIL - MACHADO</v>
      </c>
    </row>
    <row r="185" spans="1:18" x14ac:dyDescent="0.25">
      <c r="A185">
        <v>10454</v>
      </c>
      <c r="B185" t="s">
        <v>195</v>
      </c>
      <c r="C185" t="s">
        <v>196</v>
      </c>
      <c r="D185" s="34">
        <v>144418.20000000001</v>
      </c>
      <c r="E185">
        <v>1246051128</v>
      </c>
      <c r="F185" s="30">
        <v>45229</v>
      </c>
      <c r="G185" s="30"/>
      <c r="H185" t="s">
        <v>173</v>
      </c>
      <c r="I185" t="s">
        <v>174</v>
      </c>
      <c r="J185">
        <v>19700</v>
      </c>
      <c r="K185" s="30">
        <v>44860</v>
      </c>
      <c r="L185">
        <v>1010100</v>
      </c>
      <c r="M185" t="s">
        <v>35</v>
      </c>
      <c r="N185">
        <v>161</v>
      </c>
      <c r="O185" t="s">
        <v>161</v>
      </c>
      <c r="P185" t="s">
        <v>195</v>
      </c>
      <c r="Q185">
        <f t="shared" si="2"/>
        <v>882</v>
      </c>
      <c r="R185" t="str">
        <f>_xlfn.XLOOKUP(P185,'Painel Fertilizers'!$B:$B,'Painel Fertilizers'!$B:$B,0)</f>
        <v>MOGIANA TECNO AGRO</v>
      </c>
    </row>
    <row r="186" spans="1:18" x14ac:dyDescent="0.25">
      <c r="A186">
        <v>10454</v>
      </c>
      <c r="B186" t="s">
        <v>195</v>
      </c>
      <c r="C186" t="s">
        <v>196</v>
      </c>
      <c r="D186" s="34">
        <v>144418.20000000001</v>
      </c>
      <c r="E186">
        <v>1246049220</v>
      </c>
      <c r="F186" s="30">
        <v>45229</v>
      </c>
      <c r="G186" s="30"/>
      <c r="H186" t="s">
        <v>173</v>
      </c>
      <c r="I186" t="s">
        <v>174</v>
      </c>
      <c r="J186">
        <v>19589</v>
      </c>
      <c r="K186" s="30">
        <v>44852</v>
      </c>
      <c r="L186">
        <v>1010100</v>
      </c>
      <c r="M186" t="s">
        <v>35</v>
      </c>
      <c r="N186">
        <v>161</v>
      </c>
      <c r="O186" t="s">
        <v>161</v>
      </c>
      <c r="P186" t="s">
        <v>195</v>
      </c>
      <c r="Q186">
        <f t="shared" si="2"/>
        <v>882</v>
      </c>
      <c r="R186" t="str">
        <f>_xlfn.XLOOKUP(P186,'Painel Fertilizers'!$B:$B,'Painel Fertilizers'!$B:$B,0)</f>
        <v>MOGIANA TECNO AGRO</v>
      </c>
    </row>
    <row r="187" spans="1:18" x14ac:dyDescent="0.25">
      <c r="A187">
        <v>10454</v>
      </c>
      <c r="B187" t="s">
        <v>195</v>
      </c>
      <c r="C187" t="s">
        <v>196</v>
      </c>
      <c r="D187" s="34">
        <v>149099.07999999999</v>
      </c>
      <c r="E187">
        <v>1246058414</v>
      </c>
      <c r="F187" s="30">
        <v>45229</v>
      </c>
      <c r="G187" s="30"/>
      <c r="H187" t="s">
        <v>173</v>
      </c>
      <c r="I187" t="s">
        <v>174</v>
      </c>
      <c r="J187">
        <v>20191</v>
      </c>
      <c r="K187" s="30">
        <v>44909</v>
      </c>
      <c r="L187">
        <v>1010100</v>
      </c>
      <c r="M187" t="s">
        <v>35</v>
      </c>
      <c r="N187">
        <v>161</v>
      </c>
      <c r="O187" t="s">
        <v>161</v>
      </c>
      <c r="P187" t="s">
        <v>195</v>
      </c>
      <c r="Q187">
        <f t="shared" si="2"/>
        <v>882</v>
      </c>
      <c r="R187" t="str">
        <f>_xlfn.XLOOKUP(P187,'Painel Fertilizers'!$B:$B,'Painel Fertilizers'!$B:$B,0)</f>
        <v>MOGIANA TECNO AGRO</v>
      </c>
    </row>
    <row r="188" spans="1:18" x14ac:dyDescent="0.25">
      <c r="A188">
        <v>10454</v>
      </c>
      <c r="B188" t="s">
        <v>195</v>
      </c>
      <c r="C188" t="s">
        <v>196</v>
      </c>
      <c r="D188" s="34">
        <v>151022.07999999999</v>
      </c>
      <c r="E188">
        <v>1246066481</v>
      </c>
      <c r="F188" s="30">
        <v>45229</v>
      </c>
      <c r="G188" s="30"/>
      <c r="H188" t="s">
        <v>173</v>
      </c>
      <c r="I188" t="s">
        <v>174</v>
      </c>
      <c r="J188">
        <v>20644</v>
      </c>
      <c r="K188" s="30">
        <v>44965</v>
      </c>
      <c r="L188">
        <v>1010100</v>
      </c>
      <c r="M188" t="s">
        <v>35</v>
      </c>
      <c r="N188">
        <v>161</v>
      </c>
      <c r="O188" t="s">
        <v>161</v>
      </c>
      <c r="P188" t="s">
        <v>195</v>
      </c>
      <c r="Q188">
        <f t="shared" ref="Q188:Q248" si="4">$R$1-F188</f>
        <v>882</v>
      </c>
      <c r="R188" t="str">
        <f>_xlfn.XLOOKUP(P188,'Painel Fertilizers'!$B:$B,'Painel Fertilizers'!$B:$B,0)</f>
        <v>MOGIANA TECNO AGRO</v>
      </c>
    </row>
    <row r="189" spans="1:18" x14ac:dyDescent="0.25">
      <c r="A189">
        <v>10454</v>
      </c>
      <c r="B189" t="s">
        <v>195</v>
      </c>
      <c r="C189" t="s">
        <v>196</v>
      </c>
      <c r="D189" s="34">
        <v>248498.47</v>
      </c>
      <c r="E189">
        <v>1246058556</v>
      </c>
      <c r="F189" s="30">
        <v>45229</v>
      </c>
      <c r="G189" s="30"/>
      <c r="H189" t="s">
        <v>173</v>
      </c>
      <c r="I189" t="s">
        <v>174</v>
      </c>
      <c r="J189">
        <v>20197</v>
      </c>
      <c r="K189" s="30">
        <v>44909</v>
      </c>
      <c r="L189">
        <v>1010100</v>
      </c>
      <c r="M189" t="s">
        <v>35</v>
      </c>
      <c r="N189">
        <v>161</v>
      </c>
      <c r="O189" t="s">
        <v>161</v>
      </c>
      <c r="P189" t="s">
        <v>195</v>
      </c>
      <c r="Q189">
        <f t="shared" si="4"/>
        <v>882</v>
      </c>
      <c r="R189" t="str">
        <f>_xlfn.XLOOKUP(P189,'Painel Fertilizers'!$B:$B,'Painel Fertilizers'!$B:$B,0)</f>
        <v>MOGIANA TECNO AGRO</v>
      </c>
    </row>
    <row r="190" spans="1:18" x14ac:dyDescent="0.25">
      <c r="A190">
        <v>10454</v>
      </c>
      <c r="B190" t="s">
        <v>195</v>
      </c>
      <c r="C190" t="s">
        <v>196</v>
      </c>
      <c r="D190" s="34">
        <v>122816.13</v>
      </c>
      <c r="E190">
        <v>1246065495</v>
      </c>
      <c r="F190" s="30">
        <v>45229</v>
      </c>
      <c r="G190" s="30"/>
      <c r="H190" t="s">
        <v>173</v>
      </c>
      <c r="I190" t="s">
        <v>174</v>
      </c>
      <c r="J190">
        <v>20599</v>
      </c>
      <c r="K190" s="30">
        <v>44958</v>
      </c>
      <c r="L190">
        <v>1010100</v>
      </c>
      <c r="M190" t="s">
        <v>35</v>
      </c>
      <c r="N190">
        <v>161</v>
      </c>
      <c r="O190" t="s">
        <v>161</v>
      </c>
      <c r="P190" t="s">
        <v>195</v>
      </c>
      <c r="Q190">
        <f t="shared" si="4"/>
        <v>882</v>
      </c>
      <c r="R190" t="str">
        <f>_xlfn.XLOOKUP(P190,'Painel Fertilizers'!$B:$B,'Painel Fertilizers'!$B:$B,0)</f>
        <v>MOGIANA TECNO AGRO</v>
      </c>
    </row>
    <row r="191" spans="1:18" x14ac:dyDescent="0.25">
      <c r="A191">
        <v>10454</v>
      </c>
      <c r="B191" t="s">
        <v>195</v>
      </c>
      <c r="C191" t="s">
        <v>196</v>
      </c>
      <c r="D191" s="34">
        <v>97567.15</v>
      </c>
      <c r="E191">
        <v>1246059110</v>
      </c>
      <c r="F191" s="30">
        <v>45229</v>
      </c>
      <c r="G191" s="30"/>
      <c r="H191" t="s">
        <v>173</v>
      </c>
      <c r="I191" t="s">
        <v>174</v>
      </c>
      <c r="J191">
        <v>20229</v>
      </c>
      <c r="K191" s="30">
        <v>44911</v>
      </c>
      <c r="L191">
        <v>1010100</v>
      </c>
      <c r="M191" t="s">
        <v>35</v>
      </c>
      <c r="N191">
        <v>161</v>
      </c>
      <c r="O191" t="s">
        <v>161</v>
      </c>
      <c r="P191" t="s">
        <v>195</v>
      </c>
      <c r="Q191">
        <f t="shared" si="4"/>
        <v>882</v>
      </c>
      <c r="R191" t="str">
        <f>_xlfn.XLOOKUP(P191,'Painel Fertilizers'!$B:$B,'Painel Fertilizers'!$B:$B,0)</f>
        <v>MOGIANA TECNO AGRO</v>
      </c>
    </row>
    <row r="192" spans="1:18" x14ac:dyDescent="0.25">
      <c r="A192">
        <v>10454</v>
      </c>
      <c r="B192" t="s">
        <v>195</v>
      </c>
      <c r="C192" t="s">
        <v>196</v>
      </c>
      <c r="D192" s="34">
        <v>145199.79999999999</v>
      </c>
      <c r="E192">
        <v>1246057926</v>
      </c>
      <c r="F192" s="30">
        <v>45229</v>
      </c>
      <c r="G192" s="30"/>
      <c r="H192" t="s">
        <v>173</v>
      </c>
      <c r="I192" t="s">
        <v>174</v>
      </c>
      <c r="J192">
        <v>20177</v>
      </c>
      <c r="K192" s="30">
        <v>44907</v>
      </c>
      <c r="L192">
        <v>1010100</v>
      </c>
      <c r="M192" t="s">
        <v>35</v>
      </c>
      <c r="N192">
        <v>161</v>
      </c>
      <c r="O192" t="s">
        <v>161</v>
      </c>
      <c r="P192" t="s">
        <v>195</v>
      </c>
      <c r="Q192">
        <f t="shared" si="4"/>
        <v>882</v>
      </c>
      <c r="R192" t="str">
        <f>_xlfn.XLOOKUP(P192,'Painel Fertilizers'!$B:$B,'Painel Fertilizers'!$B:$B,0)</f>
        <v>MOGIANA TECNO AGRO</v>
      </c>
    </row>
    <row r="193" spans="1:18" x14ac:dyDescent="0.25">
      <c r="A193">
        <v>10454</v>
      </c>
      <c r="B193" t="s">
        <v>195</v>
      </c>
      <c r="C193" t="s">
        <v>196</v>
      </c>
      <c r="D193" s="34">
        <v>85824.21</v>
      </c>
      <c r="E193">
        <v>1246058924</v>
      </c>
      <c r="F193" s="30">
        <v>45229</v>
      </c>
      <c r="G193" s="30"/>
      <c r="H193" t="s">
        <v>173</v>
      </c>
      <c r="I193" t="s">
        <v>174</v>
      </c>
      <c r="J193">
        <v>20209</v>
      </c>
      <c r="K193" s="30">
        <v>44910</v>
      </c>
      <c r="L193">
        <v>1010100</v>
      </c>
      <c r="M193" t="s">
        <v>35</v>
      </c>
      <c r="N193">
        <v>161</v>
      </c>
      <c r="O193" t="s">
        <v>161</v>
      </c>
      <c r="P193" t="s">
        <v>195</v>
      </c>
      <c r="Q193">
        <f t="shared" si="4"/>
        <v>882</v>
      </c>
      <c r="R193" t="str">
        <f>_xlfn.XLOOKUP(P193,'Painel Fertilizers'!$B:$B,'Painel Fertilizers'!$B:$B,0)</f>
        <v>MOGIANA TECNO AGRO</v>
      </c>
    </row>
    <row r="194" spans="1:18" x14ac:dyDescent="0.25">
      <c r="A194">
        <v>10454</v>
      </c>
      <c r="B194" t="s">
        <v>195</v>
      </c>
      <c r="C194" t="s">
        <v>196</v>
      </c>
      <c r="D194" s="34">
        <v>154779.14000000001</v>
      </c>
      <c r="E194">
        <v>1246058289</v>
      </c>
      <c r="F194" s="30">
        <v>45229</v>
      </c>
      <c r="G194" s="30"/>
      <c r="H194" t="s">
        <v>173</v>
      </c>
      <c r="I194" t="s">
        <v>174</v>
      </c>
      <c r="J194">
        <v>20187</v>
      </c>
      <c r="K194" s="30">
        <v>44908</v>
      </c>
      <c r="L194">
        <v>1010100</v>
      </c>
      <c r="M194" t="s">
        <v>35</v>
      </c>
      <c r="N194">
        <v>161</v>
      </c>
      <c r="O194" t="s">
        <v>161</v>
      </c>
      <c r="P194" t="s">
        <v>195</v>
      </c>
      <c r="Q194">
        <f t="shared" si="4"/>
        <v>882</v>
      </c>
      <c r="R194" t="str">
        <f>_xlfn.XLOOKUP(P194,'Painel Fertilizers'!$B:$B,'Painel Fertilizers'!$B:$B,0)</f>
        <v>MOGIANA TECNO AGRO</v>
      </c>
    </row>
    <row r="195" spans="1:18" x14ac:dyDescent="0.25">
      <c r="A195">
        <v>10454</v>
      </c>
      <c r="B195" t="s">
        <v>195</v>
      </c>
      <c r="C195" t="s">
        <v>196</v>
      </c>
      <c r="D195" s="34">
        <v>166124.28999999998</v>
      </c>
      <c r="E195">
        <v>1246066059</v>
      </c>
      <c r="F195" s="30">
        <v>45229</v>
      </c>
      <c r="G195" s="30"/>
      <c r="H195" t="s">
        <v>173</v>
      </c>
      <c r="I195" t="s">
        <v>174</v>
      </c>
      <c r="J195">
        <v>20622</v>
      </c>
      <c r="K195" s="30">
        <v>44963</v>
      </c>
      <c r="L195">
        <v>1010100</v>
      </c>
      <c r="M195" t="s">
        <v>35</v>
      </c>
      <c r="N195">
        <v>161</v>
      </c>
      <c r="O195" t="s">
        <v>161</v>
      </c>
      <c r="P195" t="s">
        <v>195</v>
      </c>
      <c r="Q195">
        <f t="shared" si="4"/>
        <v>882</v>
      </c>
      <c r="R195" t="str">
        <f>_xlfn.XLOOKUP(P195,'Painel Fertilizers'!$B:$B,'Painel Fertilizers'!$B:$B,0)</f>
        <v>MOGIANA TECNO AGRO</v>
      </c>
    </row>
    <row r="196" spans="1:18" x14ac:dyDescent="0.25">
      <c r="A196">
        <v>10454</v>
      </c>
      <c r="B196" t="s">
        <v>195</v>
      </c>
      <c r="C196" t="s">
        <v>196</v>
      </c>
      <c r="D196" s="34">
        <v>151240.47</v>
      </c>
      <c r="E196">
        <v>1246059634</v>
      </c>
      <c r="F196" s="30">
        <v>45229</v>
      </c>
      <c r="G196" s="30"/>
      <c r="H196" t="s">
        <v>173</v>
      </c>
      <c r="I196" t="s">
        <v>174</v>
      </c>
      <c r="J196">
        <v>20268</v>
      </c>
      <c r="K196" s="30">
        <v>44916</v>
      </c>
      <c r="L196">
        <v>1010100</v>
      </c>
      <c r="M196" t="s">
        <v>35</v>
      </c>
      <c r="N196">
        <v>161</v>
      </c>
      <c r="O196" t="s">
        <v>161</v>
      </c>
      <c r="P196" t="s">
        <v>195</v>
      </c>
      <c r="Q196">
        <f t="shared" si="4"/>
        <v>882</v>
      </c>
      <c r="R196" t="str">
        <f>_xlfn.XLOOKUP(P196,'Painel Fertilizers'!$B:$B,'Painel Fertilizers'!$B:$B,0)</f>
        <v>MOGIANA TECNO AGRO</v>
      </c>
    </row>
    <row r="197" spans="1:18" x14ac:dyDescent="0.25">
      <c r="A197">
        <v>10454</v>
      </c>
      <c r="B197" t="s">
        <v>195</v>
      </c>
      <c r="C197" t="s">
        <v>196</v>
      </c>
      <c r="D197" s="34">
        <v>102193.68</v>
      </c>
      <c r="E197">
        <v>1246216830</v>
      </c>
      <c r="F197" s="30">
        <v>45168</v>
      </c>
      <c r="G197" s="30"/>
      <c r="H197" t="s">
        <v>173</v>
      </c>
      <c r="I197" t="s">
        <v>174</v>
      </c>
      <c r="J197">
        <v>19263</v>
      </c>
      <c r="K197" s="30">
        <v>44824</v>
      </c>
      <c r="L197">
        <v>1010100</v>
      </c>
      <c r="M197" t="s">
        <v>35</v>
      </c>
      <c r="N197">
        <v>161</v>
      </c>
      <c r="O197" t="s">
        <v>161</v>
      </c>
      <c r="P197" t="s">
        <v>195</v>
      </c>
      <c r="Q197">
        <f t="shared" si="4"/>
        <v>943</v>
      </c>
      <c r="R197" t="str">
        <f>_xlfn.XLOOKUP(P197,'Painel Fertilizers'!$B:$B,'Painel Fertilizers'!$B:$B,0)</f>
        <v>MOGIANA TECNO AGRO</v>
      </c>
    </row>
    <row r="198" spans="1:18" x14ac:dyDescent="0.25">
      <c r="A198">
        <v>11326</v>
      </c>
      <c r="B198" t="s">
        <v>197</v>
      </c>
      <c r="C198" t="s">
        <v>198</v>
      </c>
      <c r="D198" s="34">
        <v>131680</v>
      </c>
      <c r="E198">
        <v>1246234342</v>
      </c>
      <c r="F198" s="30">
        <v>46264</v>
      </c>
      <c r="G198" s="30"/>
      <c r="H198" t="s">
        <v>173</v>
      </c>
      <c r="I198" t="s">
        <v>174</v>
      </c>
      <c r="J198">
        <v>9141</v>
      </c>
      <c r="K198" s="30">
        <v>45901</v>
      </c>
      <c r="L198">
        <v>1010100</v>
      </c>
      <c r="M198" t="s">
        <v>35</v>
      </c>
      <c r="N198">
        <v>161</v>
      </c>
      <c r="O198" t="s">
        <v>161</v>
      </c>
      <c r="P198" t="s">
        <v>197</v>
      </c>
      <c r="Q198">
        <f t="shared" si="4"/>
        <v>-153</v>
      </c>
      <c r="R198" t="str">
        <f>_xlfn.XLOOKUP(P198,'Painel Fertilizers'!$B:$B,'Painel Fertilizers'!$B:$B,0)</f>
        <v>VEGA AGRO</v>
      </c>
    </row>
    <row r="199" spans="1:18" x14ac:dyDescent="0.25">
      <c r="A199">
        <v>11326</v>
      </c>
      <c r="B199" t="s">
        <v>197</v>
      </c>
      <c r="C199" t="s">
        <v>198</v>
      </c>
      <c r="D199" s="34">
        <v>137376</v>
      </c>
      <c r="E199">
        <v>1246222833</v>
      </c>
      <c r="F199" s="30">
        <v>46143</v>
      </c>
      <c r="G199" s="30"/>
      <c r="H199" t="s">
        <v>173</v>
      </c>
      <c r="I199" t="s">
        <v>174</v>
      </c>
      <c r="J199">
        <v>8351</v>
      </c>
      <c r="K199" s="30">
        <v>45841</v>
      </c>
      <c r="L199">
        <v>1010100</v>
      </c>
      <c r="M199" t="s">
        <v>35</v>
      </c>
      <c r="N199">
        <v>161</v>
      </c>
      <c r="O199" t="s">
        <v>161</v>
      </c>
      <c r="P199" t="s">
        <v>197</v>
      </c>
      <c r="Q199">
        <f t="shared" si="4"/>
        <v>-32</v>
      </c>
      <c r="R199" t="str">
        <f>_xlfn.XLOOKUP(P199,'Painel Fertilizers'!$B:$B,'Painel Fertilizers'!$B:$B,0)</f>
        <v>VEGA AGRO</v>
      </c>
    </row>
    <row r="200" spans="1:18" x14ac:dyDescent="0.25">
      <c r="A200">
        <v>10456</v>
      </c>
      <c r="B200" t="s">
        <v>199</v>
      </c>
      <c r="C200" t="s">
        <v>200</v>
      </c>
      <c r="D200" s="34">
        <v>111322.27</v>
      </c>
      <c r="E200">
        <v>1246093334</v>
      </c>
      <c r="F200" s="30">
        <v>45537</v>
      </c>
      <c r="G200" s="30"/>
      <c r="H200" t="s">
        <v>173</v>
      </c>
      <c r="I200" t="s">
        <v>174</v>
      </c>
      <c r="J200">
        <v>251</v>
      </c>
      <c r="K200" s="30">
        <v>45127</v>
      </c>
      <c r="L200">
        <v>1010100</v>
      </c>
      <c r="M200" t="s">
        <v>35</v>
      </c>
      <c r="N200">
        <v>161</v>
      </c>
      <c r="O200" t="s">
        <v>161</v>
      </c>
      <c r="P200" t="s">
        <v>199</v>
      </c>
      <c r="Q200">
        <f t="shared" si="4"/>
        <v>574</v>
      </c>
      <c r="R200" t="str">
        <f>_xlfn.XLOOKUP(P200,'Painel Fertilizers'!$B:$B,'Painel Fertilizers'!$B:$B,0)</f>
        <v>CASA DAS SEMENTES</v>
      </c>
    </row>
    <row r="201" spans="1:18" x14ac:dyDescent="0.25">
      <c r="A201">
        <v>10456</v>
      </c>
      <c r="B201" t="s">
        <v>199</v>
      </c>
      <c r="C201" t="s">
        <v>200</v>
      </c>
      <c r="D201" s="34">
        <v>118491.86</v>
      </c>
      <c r="E201">
        <v>1246097861</v>
      </c>
      <c r="F201" s="30">
        <v>45565</v>
      </c>
      <c r="G201" s="30"/>
      <c r="H201" t="s">
        <v>173</v>
      </c>
      <c r="I201" t="s">
        <v>174</v>
      </c>
      <c r="J201">
        <v>683</v>
      </c>
      <c r="K201" s="30">
        <v>45152</v>
      </c>
      <c r="L201">
        <v>1010100</v>
      </c>
      <c r="M201" t="s">
        <v>35</v>
      </c>
      <c r="N201">
        <v>161</v>
      </c>
      <c r="O201" t="s">
        <v>161</v>
      </c>
      <c r="P201" t="s">
        <v>199</v>
      </c>
      <c r="Q201">
        <f t="shared" si="4"/>
        <v>546</v>
      </c>
      <c r="R201" t="str">
        <f>_xlfn.XLOOKUP(P201,'Painel Fertilizers'!$B:$B,'Painel Fertilizers'!$B:$B,0)</f>
        <v>CASA DAS SEMENTES</v>
      </c>
    </row>
    <row r="202" spans="1:18" x14ac:dyDescent="0.25">
      <c r="A202">
        <v>10456</v>
      </c>
      <c r="B202" t="s">
        <v>199</v>
      </c>
      <c r="C202" t="s">
        <v>200</v>
      </c>
      <c r="D202" s="34">
        <v>117498.04</v>
      </c>
      <c r="E202">
        <v>1246099432</v>
      </c>
      <c r="F202" s="30">
        <v>45545</v>
      </c>
      <c r="G202" s="30"/>
      <c r="H202" t="s">
        <v>173</v>
      </c>
      <c r="I202" t="s">
        <v>174</v>
      </c>
      <c r="J202">
        <v>787</v>
      </c>
      <c r="K202" s="30">
        <v>45160</v>
      </c>
      <c r="L202">
        <v>1010100</v>
      </c>
      <c r="M202" t="s">
        <v>35</v>
      </c>
      <c r="N202">
        <v>161</v>
      </c>
      <c r="O202" t="s">
        <v>161</v>
      </c>
      <c r="P202" t="s">
        <v>199</v>
      </c>
      <c r="Q202">
        <f t="shared" si="4"/>
        <v>566</v>
      </c>
      <c r="R202" t="str">
        <f>_xlfn.XLOOKUP(P202,'Painel Fertilizers'!$B:$B,'Painel Fertilizers'!$B:$B,0)</f>
        <v>CASA DAS SEMENTES</v>
      </c>
    </row>
    <row r="203" spans="1:18" x14ac:dyDescent="0.25">
      <c r="A203">
        <v>10456</v>
      </c>
      <c r="B203" t="s">
        <v>199</v>
      </c>
      <c r="C203" t="s">
        <v>200</v>
      </c>
      <c r="D203" s="34">
        <v>100560.82</v>
      </c>
      <c r="E203">
        <v>1246100417</v>
      </c>
      <c r="F203" s="30">
        <v>45548</v>
      </c>
      <c r="G203" s="30"/>
      <c r="H203" t="s">
        <v>173</v>
      </c>
      <c r="I203" t="s">
        <v>174</v>
      </c>
      <c r="J203">
        <v>183</v>
      </c>
      <c r="K203" s="30">
        <v>45163</v>
      </c>
      <c r="L203">
        <v>1010100</v>
      </c>
      <c r="M203" t="s">
        <v>35</v>
      </c>
      <c r="N203">
        <v>161</v>
      </c>
      <c r="O203" t="s">
        <v>161</v>
      </c>
      <c r="P203" t="s">
        <v>199</v>
      </c>
      <c r="Q203">
        <f t="shared" si="4"/>
        <v>563</v>
      </c>
      <c r="R203" t="str">
        <f>_xlfn.XLOOKUP(P203,'Painel Fertilizers'!$B:$B,'Painel Fertilizers'!$B:$B,0)</f>
        <v>CASA DAS SEMENTES</v>
      </c>
    </row>
    <row r="204" spans="1:18" x14ac:dyDescent="0.25">
      <c r="A204">
        <v>10456</v>
      </c>
      <c r="B204" t="s">
        <v>199</v>
      </c>
      <c r="C204" t="s">
        <v>200</v>
      </c>
      <c r="D204" s="34">
        <v>61416.78</v>
      </c>
      <c r="E204">
        <v>1246065449</v>
      </c>
      <c r="F204" s="30">
        <v>45199</v>
      </c>
      <c r="G204" s="30"/>
      <c r="H204" t="s">
        <v>173</v>
      </c>
      <c r="I204" t="s">
        <v>174</v>
      </c>
      <c r="J204">
        <v>20596</v>
      </c>
      <c r="K204" s="30">
        <v>44958</v>
      </c>
      <c r="L204">
        <v>1010100</v>
      </c>
      <c r="M204" t="s">
        <v>35</v>
      </c>
      <c r="N204">
        <v>161</v>
      </c>
      <c r="O204" t="s">
        <v>161</v>
      </c>
      <c r="P204" t="s">
        <v>199</v>
      </c>
      <c r="Q204">
        <f t="shared" si="4"/>
        <v>912</v>
      </c>
      <c r="R204" t="str">
        <f>_xlfn.XLOOKUP(P204,'Painel Fertilizers'!$B:$B,'Painel Fertilizers'!$B:$B,0)</f>
        <v>CASA DAS SEMENTES</v>
      </c>
    </row>
    <row r="205" spans="1:18" x14ac:dyDescent="0.25">
      <c r="A205">
        <v>10456</v>
      </c>
      <c r="B205" t="s">
        <v>199</v>
      </c>
      <c r="C205" t="s">
        <v>200</v>
      </c>
      <c r="D205" s="34">
        <v>106537.82</v>
      </c>
      <c r="E205">
        <v>1246110763</v>
      </c>
      <c r="F205" s="30">
        <v>45534</v>
      </c>
      <c r="G205" s="30"/>
      <c r="H205" t="s">
        <v>173</v>
      </c>
      <c r="I205" t="s">
        <v>174</v>
      </c>
      <c r="J205">
        <v>1702</v>
      </c>
      <c r="K205" s="30">
        <v>45222</v>
      </c>
      <c r="L205">
        <v>1010100</v>
      </c>
      <c r="M205" t="s">
        <v>35</v>
      </c>
      <c r="N205">
        <v>161</v>
      </c>
      <c r="O205" t="s">
        <v>161</v>
      </c>
      <c r="P205" t="s">
        <v>199</v>
      </c>
      <c r="Q205">
        <f t="shared" si="4"/>
        <v>577</v>
      </c>
      <c r="R205" t="str">
        <f>_xlfn.XLOOKUP(P205,'Painel Fertilizers'!$B:$B,'Painel Fertilizers'!$B:$B,0)</f>
        <v>CASA DAS SEMENTES</v>
      </c>
    </row>
    <row r="206" spans="1:18" x14ac:dyDescent="0.25">
      <c r="A206">
        <v>10456</v>
      </c>
      <c r="B206" t="s">
        <v>199</v>
      </c>
      <c r="C206" t="s">
        <v>200</v>
      </c>
      <c r="D206" s="34">
        <v>110173.77</v>
      </c>
      <c r="E206">
        <v>1246067444</v>
      </c>
      <c r="F206" s="30">
        <v>45199</v>
      </c>
      <c r="G206" s="30"/>
      <c r="H206" t="s">
        <v>173</v>
      </c>
      <c r="I206" t="s">
        <v>174</v>
      </c>
      <c r="J206">
        <v>20680</v>
      </c>
      <c r="K206" s="30">
        <v>44971</v>
      </c>
      <c r="L206">
        <v>1010100</v>
      </c>
      <c r="M206" t="s">
        <v>35</v>
      </c>
      <c r="N206">
        <v>161</v>
      </c>
      <c r="O206" t="s">
        <v>161</v>
      </c>
      <c r="P206" t="s">
        <v>199</v>
      </c>
      <c r="Q206">
        <f t="shared" si="4"/>
        <v>912</v>
      </c>
      <c r="R206" t="str">
        <f>_xlfn.XLOOKUP(P206,'Painel Fertilizers'!$B:$B,'Painel Fertilizers'!$B:$B,0)</f>
        <v>CASA DAS SEMENTES</v>
      </c>
    </row>
    <row r="207" spans="1:18" x14ac:dyDescent="0.25">
      <c r="A207">
        <v>10456</v>
      </c>
      <c r="B207" t="s">
        <v>199</v>
      </c>
      <c r="C207" t="s">
        <v>200</v>
      </c>
      <c r="D207" s="34">
        <v>153644.62</v>
      </c>
      <c r="E207">
        <v>1246066037</v>
      </c>
      <c r="F207" s="30">
        <v>45199</v>
      </c>
      <c r="G207" s="30"/>
      <c r="H207" t="s">
        <v>173</v>
      </c>
      <c r="I207" t="s">
        <v>174</v>
      </c>
      <c r="J207">
        <v>20619</v>
      </c>
      <c r="K207" s="30">
        <v>44963</v>
      </c>
      <c r="L207">
        <v>1010100</v>
      </c>
      <c r="M207" t="s">
        <v>35</v>
      </c>
      <c r="N207">
        <v>161</v>
      </c>
      <c r="O207" t="s">
        <v>161</v>
      </c>
      <c r="P207" t="s">
        <v>199</v>
      </c>
      <c r="Q207">
        <f t="shared" si="4"/>
        <v>912</v>
      </c>
      <c r="R207" t="str">
        <f>_xlfn.XLOOKUP(P207,'Painel Fertilizers'!$B:$B,'Painel Fertilizers'!$B:$B,0)</f>
        <v>CASA DAS SEMENTES</v>
      </c>
    </row>
    <row r="208" spans="1:18" x14ac:dyDescent="0.25">
      <c r="A208">
        <v>10456</v>
      </c>
      <c r="B208" t="s">
        <v>199</v>
      </c>
      <c r="C208" t="s">
        <v>200</v>
      </c>
      <c r="D208" s="34">
        <v>121627.64</v>
      </c>
      <c r="E208">
        <v>1246061337</v>
      </c>
      <c r="F208" s="30">
        <v>45199</v>
      </c>
      <c r="G208" s="30"/>
      <c r="H208" t="s">
        <v>173</v>
      </c>
      <c r="I208" t="s">
        <v>174</v>
      </c>
      <c r="J208">
        <v>20371</v>
      </c>
      <c r="K208" s="30">
        <v>44930</v>
      </c>
      <c r="L208">
        <v>1010100</v>
      </c>
      <c r="M208" t="s">
        <v>35</v>
      </c>
      <c r="N208">
        <v>161</v>
      </c>
      <c r="O208" t="s">
        <v>161</v>
      </c>
      <c r="P208" t="s">
        <v>199</v>
      </c>
      <c r="Q208">
        <f t="shared" si="4"/>
        <v>912</v>
      </c>
      <c r="R208" t="str">
        <f>_xlfn.XLOOKUP(P208,'Painel Fertilizers'!$B:$B,'Painel Fertilizers'!$B:$B,0)</f>
        <v>CASA DAS SEMENTES</v>
      </c>
    </row>
    <row r="209" spans="1:18" x14ac:dyDescent="0.25">
      <c r="A209">
        <v>10456</v>
      </c>
      <c r="B209" t="s">
        <v>199</v>
      </c>
      <c r="C209" t="s">
        <v>200</v>
      </c>
      <c r="D209" s="34">
        <v>119763.56</v>
      </c>
      <c r="E209">
        <v>1246107272</v>
      </c>
      <c r="F209" s="30">
        <v>45536</v>
      </c>
      <c r="G209" s="30"/>
      <c r="H209" t="s">
        <v>173</v>
      </c>
      <c r="I209" t="s">
        <v>174</v>
      </c>
      <c r="J209">
        <v>1444</v>
      </c>
      <c r="K209" s="30">
        <v>45201</v>
      </c>
      <c r="L209">
        <v>1010100</v>
      </c>
      <c r="M209" t="s">
        <v>35</v>
      </c>
      <c r="N209">
        <v>161</v>
      </c>
      <c r="O209" t="s">
        <v>161</v>
      </c>
      <c r="P209" t="s">
        <v>199</v>
      </c>
      <c r="Q209">
        <f t="shared" si="4"/>
        <v>575</v>
      </c>
      <c r="R209" t="str">
        <f>_xlfn.XLOOKUP(P209,'Painel Fertilizers'!$B:$B,'Painel Fertilizers'!$B:$B,0)</f>
        <v>CASA DAS SEMENTES</v>
      </c>
    </row>
    <row r="210" spans="1:18" x14ac:dyDescent="0.25">
      <c r="A210">
        <v>10456</v>
      </c>
      <c r="B210" t="s">
        <v>199</v>
      </c>
      <c r="C210" t="s">
        <v>200</v>
      </c>
      <c r="D210" s="34">
        <v>129996.55</v>
      </c>
      <c r="E210">
        <v>1246063009</v>
      </c>
      <c r="F210" s="30">
        <v>45199</v>
      </c>
      <c r="G210" s="30"/>
      <c r="H210" t="s">
        <v>173</v>
      </c>
      <c r="I210" t="s">
        <v>174</v>
      </c>
      <c r="J210">
        <v>20458</v>
      </c>
      <c r="K210" s="30">
        <v>44943</v>
      </c>
      <c r="L210">
        <v>1010100</v>
      </c>
      <c r="M210" t="s">
        <v>35</v>
      </c>
      <c r="N210">
        <v>161</v>
      </c>
      <c r="O210" t="s">
        <v>161</v>
      </c>
      <c r="P210" t="s">
        <v>199</v>
      </c>
      <c r="Q210">
        <f t="shared" si="4"/>
        <v>912</v>
      </c>
      <c r="R210" t="str">
        <f>_xlfn.XLOOKUP(P210,'Painel Fertilizers'!$B:$B,'Painel Fertilizers'!$B:$B,0)</f>
        <v>CASA DAS SEMENTES</v>
      </c>
    </row>
    <row r="211" spans="1:18" x14ac:dyDescent="0.25">
      <c r="A211">
        <v>10456</v>
      </c>
      <c r="B211" t="s">
        <v>199</v>
      </c>
      <c r="C211" t="s">
        <v>200</v>
      </c>
      <c r="D211" s="34">
        <v>61021.61</v>
      </c>
      <c r="E211">
        <v>1246063058</v>
      </c>
      <c r="F211" s="30">
        <v>45199</v>
      </c>
      <c r="G211" s="30"/>
      <c r="H211" t="s">
        <v>173</v>
      </c>
      <c r="I211" t="s">
        <v>174</v>
      </c>
      <c r="J211">
        <v>20480</v>
      </c>
      <c r="K211" s="30">
        <v>44943</v>
      </c>
      <c r="L211">
        <v>1010100</v>
      </c>
      <c r="M211" t="s">
        <v>35</v>
      </c>
      <c r="N211">
        <v>161</v>
      </c>
      <c r="O211" t="s">
        <v>161</v>
      </c>
      <c r="P211" t="s">
        <v>199</v>
      </c>
      <c r="Q211">
        <f t="shared" si="4"/>
        <v>912</v>
      </c>
      <c r="R211" t="str">
        <f>_xlfn.XLOOKUP(P211,'Painel Fertilizers'!$B:$B,'Painel Fertilizers'!$B:$B,0)</f>
        <v>CASA DAS SEMENTES</v>
      </c>
    </row>
    <row r="212" spans="1:18" x14ac:dyDescent="0.25">
      <c r="A212">
        <v>10456</v>
      </c>
      <c r="B212" t="s">
        <v>199</v>
      </c>
      <c r="C212" t="s">
        <v>200</v>
      </c>
      <c r="D212" s="34">
        <v>111090.76</v>
      </c>
      <c r="E212">
        <v>1246063995</v>
      </c>
      <c r="F212" s="30">
        <v>45199</v>
      </c>
      <c r="G212" s="30"/>
      <c r="H212" t="s">
        <v>173</v>
      </c>
      <c r="I212" t="s">
        <v>174</v>
      </c>
      <c r="J212">
        <v>20513</v>
      </c>
      <c r="K212" s="30">
        <v>44949</v>
      </c>
      <c r="L212">
        <v>1010100</v>
      </c>
      <c r="M212" t="s">
        <v>35</v>
      </c>
      <c r="N212">
        <v>161</v>
      </c>
      <c r="O212" t="s">
        <v>161</v>
      </c>
      <c r="P212" t="s">
        <v>199</v>
      </c>
      <c r="Q212">
        <f t="shared" si="4"/>
        <v>912</v>
      </c>
      <c r="R212" t="str">
        <f>_xlfn.XLOOKUP(P212,'Painel Fertilizers'!$B:$B,'Painel Fertilizers'!$B:$B,0)</f>
        <v>CASA DAS SEMENTES</v>
      </c>
    </row>
    <row r="213" spans="1:18" x14ac:dyDescent="0.25">
      <c r="A213">
        <v>10456</v>
      </c>
      <c r="B213" t="s">
        <v>199</v>
      </c>
      <c r="C213" t="s">
        <v>200</v>
      </c>
      <c r="D213" s="34">
        <v>110522.5</v>
      </c>
      <c r="E213">
        <v>1246106689</v>
      </c>
      <c r="F213" s="30">
        <v>45557</v>
      </c>
      <c r="G213" s="30"/>
      <c r="H213" t="s">
        <v>173</v>
      </c>
      <c r="I213" t="s">
        <v>174</v>
      </c>
      <c r="J213">
        <v>1400</v>
      </c>
      <c r="K213" s="30">
        <v>45197</v>
      </c>
      <c r="L213">
        <v>1010100</v>
      </c>
      <c r="M213" t="s">
        <v>35</v>
      </c>
      <c r="N213">
        <v>161</v>
      </c>
      <c r="O213" t="s">
        <v>161</v>
      </c>
      <c r="P213" t="s">
        <v>199</v>
      </c>
      <c r="Q213">
        <f t="shared" si="4"/>
        <v>554</v>
      </c>
      <c r="R213" t="str">
        <f>_xlfn.XLOOKUP(P213,'Painel Fertilizers'!$B:$B,'Painel Fertilizers'!$B:$B,0)</f>
        <v>CASA DAS SEMENTES</v>
      </c>
    </row>
    <row r="214" spans="1:18" x14ac:dyDescent="0.25">
      <c r="A214">
        <v>10456</v>
      </c>
      <c r="B214" t="s">
        <v>199</v>
      </c>
      <c r="C214" t="s">
        <v>200</v>
      </c>
      <c r="D214" s="34">
        <v>94275.76</v>
      </c>
      <c r="E214">
        <v>1246103838</v>
      </c>
      <c r="F214" s="30">
        <v>45543</v>
      </c>
      <c r="G214" s="30"/>
      <c r="H214" t="s">
        <v>173</v>
      </c>
      <c r="I214" t="s">
        <v>174</v>
      </c>
      <c r="J214">
        <v>1159</v>
      </c>
      <c r="K214" s="30">
        <v>45183</v>
      </c>
      <c r="L214">
        <v>1010100</v>
      </c>
      <c r="M214" t="s">
        <v>35</v>
      </c>
      <c r="N214">
        <v>161</v>
      </c>
      <c r="O214" t="s">
        <v>161</v>
      </c>
      <c r="P214" t="s">
        <v>199</v>
      </c>
      <c r="Q214">
        <f t="shared" si="4"/>
        <v>568</v>
      </c>
      <c r="R214" t="str">
        <f>_xlfn.XLOOKUP(P214,'Painel Fertilizers'!$B:$B,'Painel Fertilizers'!$B:$B,0)</f>
        <v>CASA DAS SEMENTES</v>
      </c>
    </row>
    <row r="215" spans="1:18" x14ac:dyDescent="0.25">
      <c r="A215">
        <v>10456</v>
      </c>
      <c r="B215" t="s">
        <v>199</v>
      </c>
      <c r="C215" t="s">
        <v>200</v>
      </c>
      <c r="D215" s="34">
        <v>74904.38</v>
      </c>
      <c r="E215">
        <v>1246269261</v>
      </c>
      <c r="F215" s="30">
        <v>45199</v>
      </c>
      <c r="G215" s="30"/>
      <c r="H215" t="s">
        <v>173</v>
      </c>
      <c r="I215" t="s">
        <v>174</v>
      </c>
      <c r="J215">
        <v>20898</v>
      </c>
      <c r="K215" s="30">
        <v>45000</v>
      </c>
      <c r="L215">
        <v>1010100</v>
      </c>
      <c r="M215" t="s">
        <v>35</v>
      </c>
      <c r="N215">
        <v>161</v>
      </c>
      <c r="O215" t="s">
        <v>161</v>
      </c>
      <c r="P215" t="s">
        <v>199</v>
      </c>
      <c r="Q215">
        <f t="shared" si="4"/>
        <v>912</v>
      </c>
      <c r="R215" t="str">
        <f>_xlfn.XLOOKUP(P215,'Painel Fertilizers'!$B:$B,'Painel Fertilizers'!$B:$B,0)</f>
        <v>CASA DAS SEMENTES</v>
      </c>
    </row>
    <row r="216" spans="1:18" x14ac:dyDescent="0.25">
      <c r="A216">
        <v>12295</v>
      </c>
      <c r="B216" t="s">
        <v>207</v>
      </c>
      <c r="C216" t="s">
        <v>208</v>
      </c>
      <c r="D216" s="34">
        <v>129728</v>
      </c>
      <c r="E216">
        <v>1246100036</v>
      </c>
      <c r="F216" s="30">
        <v>45547</v>
      </c>
      <c r="G216" s="30"/>
      <c r="H216" t="s">
        <v>173</v>
      </c>
      <c r="I216" t="s">
        <v>174</v>
      </c>
      <c r="J216">
        <v>843</v>
      </c>
      <c r="K216" s="30">
        <v>45162</v>
      </c>
      <c r="L216">
        <v>1010100</v>
      </c>
      <c r="M216" t="s">
        <v>35</v>
      </c>
      <c r="N216">
        <v>161</v>
      </c>
      <c r="O216" t="s">
        <v>161</v>
      </c>
      <c r="P216" t="s">
        <v>207</v>
      </c>
      <c r="Q216">
        <f t="shared" si="4"/>
        <v>564</v>
      </c>
      <c r="R216" t="str">
        <f>_xlfn.XLOOKUP(P216,'Painel Fertilizers'!$B:$B,'Painel Fertilizers'!$B:$B,0)</f>
        <v>CBM FERTILIZANTES</v>
      </c>
    </row>
    <row r="217" spans="1:18" x14ac:dyDescent="0.25">
      <c r="A217">
        <v>12295</v>
      </c>
      <c r="B217" t="s">
        <v>207</v>
      </c>
      <c r="C217" t="s">
        <v>208</v>
      </c>
      <c r="D217" s="34">
        <v>126208</v>
      </c>
      <c r="E217">
        <v>1246106003</v>
      </c>
      <c r="F217" s="30">
        <v>45559</v>
      </c>
      <c r="G217" s="30"/>
      <c r="H217" t="s">
        <v>173</v>
      </c>
      <c r="I217" t="s">
        <v>174</v>
      </c>
      <c r="J217">
        <v>1328</v>
      </c>
      <c r="K217" s="30">
        <v>45194</v>
      </c>
      <c r="L217">
        <v>1010100</v>
      </c>
      <c r="M217" t="s">
        <v>35</v>
      </c>
      <c r="N217">
        <v>161</v>
      </c>
      <c r="O217" t="s">
        <v>161</v>
      </c>
      <c r="P217" t="s">
        <v>207</v>
      </c>
      <c r="Q217">
        <f t="shared" si="4"/>
        <v>552</v>
      </c>
      <c r="R217" t="str">
        <f>_xlfn.XLOOKUP(P217,'Painel Fertilizers'!$B:$B,'Painel Fertilizers'!$B:$B,0)</f>
        <v>CBM FERTILIZANTES</v>
      </c>
    </row>
    <row r="218" spans="1:18" x14ac:dyDescent="0.25">
      <c r="A218">
        <v>12295</v>
      </c>
      <c r="B218" t="s">
        <v>207</v>
      </c>
      <c r="C218" t="s">
        <v>208</v>
      </c>
      <c r="D218" s="34">
        <v>19965</v>
      </c>
      <c r="E218">
        <v>1246100409</v>
      </c>
      <c r="F218" s="30">
        <v>45548</v>
      </c>
      <c r="G218" s="30"/>
      <c r="H218" t="s">
        <v>173</v>
      </c>
      <c r="I218" t="s">
        <v>174</v>
      </c>
      <c r="J218">
        <v>864</v>
      </c>
      <c r="K218" s="30">
        <v>45163</v>
      </c>
      <c r="L218">
        <v>1010100</v>
      </c>
      <c r="M218" t="s">
        <v>35</v>
      </c>
      <c r="N218">
        <v>161</v>
      </c>
      <c r="O218" t="s">
        <v>161</v>
      </c>
      <c r="P218" t="s">
        <v>207</v>
      </c>
      <c r="Q218">
        <f t="shared" si="4"/>
        <v>563</v>
      </c>
      <c r="R218" t="str">
        <f>_xlfn.XLOOKUP(P218,'Painel Fertilizers'!$B:$B,'Painel Fertilizers'!$B:$B,0)</f>
        <v>CBM FERTILIZANTES</v>
      </c>
    </row>
    <row r="219" spans="1:18" x14ac:dyDescent="0.25">
      <c r="A219">
        <v>12295</v>
      </c>
      <c r="B219" t="s">
        <v>207</v>
      </c>
      <c r="C219" t="s">
        <v>208</v>
      </c>
      <c r="D219" s="34">
        <v>102625</v>
      </c>
      <c r="E219">
        <v>1246100411</v>
      </c>
      <c r="F219" s="30">
        <v>45548</v>
      </c>
      <c r="G219" s="30"/>
      <c r="H219" t="s">
        <v>173</v>
      </c>
      <c r="I219" t="s">
        <v>174</v>
      </c>
      <c r="J219">
        <v>865</v>
      </c>
      <c r="K219" s="30">
        <v>45163</v>
      </c>
      <c r="L219">
        <v>1010100</v>
      </c>
      <c r="M219" t="s">
        <v>35</v>
      </c>
      <c r="N219">
        <v>161</v>
      </c>
      <c r="O219" t="s">
        <v>161</v>
      </c>
      <c r="P219" t="s">
        <v>207</v>
      </c>
      <c r="Q219">
        <f t="shared" si="4"/>
        <v>563</v>
      </c>
      <c r="R219" t="str">
        <f>_xlfn.XLOOKUP(P219,'Painel Fertilizers'!$B:$B,'Painel Fertilizers'!$B:$B,0)</f>
        <v>CBM FERTILIZANTES</v>
      </c>
    </row>
    <row r="220" spans="1:18" x14ac:dyDescent="0.25">
      <c r="A220">
        <v>12295</v>
      </c>
      <c r="B220" t="s">
        <v>207</v>
      </c>
      <c r="C220" t="s">
        <v>208</v>
      </c>
      <c r="D220" s="34">
        <v>23664</v>
      </c>
      <c r="E220">
        <v>1246100034</v>
      </c>
      <c r="F220" s="30">
        <v>45547</v>
      </c>
      <c r="G220" s="30"/>
      <c r="H220" t="s">
        <v>173</v>
      </c>
      <c r="I220" t="s">
        <v>174</v>
      </c>
      <c r="J220">
        <v>842</v>
      </c>
      <c r="K220" s="30">
        <v>45162</v>
      </c>
      <c r="L220">
        <v>1010100</v>
      </c>
      <c r="M220" t="s">
        <v>35</v>
      </c>
      <c r="N220">
        <v>161</v>
      </c>
      <c r="O220" t="s">
        <v>161</v>
      </c>
      <c r="P220" t="s">
        <v>207</v>
      </c>
      <c r="Q220">
        <f t="shared" si="4"/>
        <v>564</v>
      </c>
      <c r="R220" t="str">
        <f>_xlfn.XLOOKUP(P220,'Painel Fertilizers'!$B:$B,'Painel Fertilizers'!$B:$B,0)</f>
        <v>CBM FERTILIZANTES</v>
      </c>
    </row>
    <row r="221" spans="1:18" x14ac:dyDescent="0.25">
      <c r="A221">
        <v>12295</v>
      </c>
      <c r="B221" t="s">
        <v>207</v>
      </c>
      <c r="C221" t="s">
        <v>208</v>
      </c>
      <c r="D221" s="34">
        <v>126845</v>
      </c>
      <c r="E221">
        <v>1246102685</v>
      </c>
      <c r="F221" s="30">
        <v>45560</v>
      </c>
      <c r="G221" s="30"/>
      <c r="H221" t="s">
        <v>173</v>
      </c>
      <c r="I221" t="s">
        <v>174</v>
      </c>
      <c r="J221">
        <v>1060</v>
      </c>
      <c r="K221" s="30">
        <v>45175</v>
      </c>
      <c r="L221">
        <v>1010100</v>
      </c>
      <c r="M221" t="s">
        <v>35</v>
      </c>
      <c r="N221">
        <v>161</v>
      </c>
      <c r="O221" t="s">
        <v>161</v>
      </c>
      <c r="P221" t="s">
        <v>207</v>
      </c>
      <c r="Q221">
        <f t="shared" si="4"/>
        <v>551</v>
      </c>
      <c r="R221" t="str">
        <f>_xlfn.XLOOKUP(P221,'Painel Fertilizers'!$B:$B,'Painel Fertilizers'!$B:$B,0)</f>
        <v>CBM FERTILIZANTES</v>
      </c>
    </row>
    <row r="222" spans="1:18" x14ac:dyDescent="0.25">
      <c r="A222">
        <v>12295</v>
      </c>
      <c r="B222" t="s">
        <v>207</v>
      </c>
      <c r="C222" t="s">
        <v>208</v>
      </c>
      <c r="D222" s="34">
        <v>119790</v>
      </c>
      <c r="E222">
        <v>1246100311</v>
      </c>
      <c r="F222" s="30">
        <v>45548</v>
      </c>
      <c r="G222" s="30"/>
      <c r="H222" t="s">
        <v>173</v>
      </c>
      <c r="I222" t="s">
        <v>174</v>
      </c>
      <c r="J222">
        <v>851</v>
      </c>
      <c r="K222" s="30">
        <v>45163</v>
      </c>
      <c r="L222">
        <v>1010100</v>
      </c>
      <c r="M222" t="s">
        <v>35</v>
      </c>
      <c r="N222">
        <v>161</v>
      </c>
      <c r="O222" t="s">
        <v>161</v>
      </c>
      <c r="P222" t="s">
        <v>207</v>
      </c>
      <c r="Q222">
        <f t="shared" si="4"/>
        <v>563</v>
      </c>
      <c r="R222" t="str">
        <f>_xlfn.XLOOKUP(P222,'Painel Fertilizers'!$B:$B,'Painel Fertilizers'!$B:$B,0)</f>
        <v>CBM FERTILIZANTES</v>
      </c>
    </row>
    <row r="223" spans="1:18" x14ac:dyDescent="0.25">
      <c r="A223">
        <v>12295</v>
      </c>
      <c r="B223" t="s">
        <v>207</v>
      </c>
      <c r="C223" t="s">
        <v>208</v>
      </c>
      <c r="D223" s="34">
        <v>127776</v>
      </c>
      <c r="E223">
        <v>1246102654</v>
      </c>
      <c r="F223" s="30">
        <v>45560</v>
      </c>
      <c r="G223" s="30"/>
      <c r="H223" t="s">
        <v>173</v>
      </c>
      <c r="I223" t="s">
        <v>174</v>
      </c>
      <c r="J223">
        <v>1053</v>
      </c>
      <c r="K223" s="30">
        <v>45175</v>
      </c>
      <c r="L223">
        <v>1010100</v>
      </c>
      <c r="M223" t="s">
        <v>35</v>
      </c>
      <c r="N223">
        <v>161</v>
      </c>
      <c r="O223" t="s">
        <v>161</v>
      </c>
      <c r="P223" t="s">
        <v>207</v>
      </c>
      <c r="Q223">
        <f t="shared" si="4"/>
        <v>551</v>
      </c>
      <c r="R223" t="str">
        <f>_xlfn.XLOOKUP(P223,'Painel Fertilizers'!$B:$B,'Painel Fertilizers'!$B:$B,0)</f>
        <v>CBM FERTILIZANTES</v>
      </c>
    </row>
    <row r="224" spans="1:18" x14ac:dyDescent="0.25">
      <c r="A224">
        <v>12295</v>
      </c>
      <c r="B224" t="s">
        <v>207</v>
      </c>
      <c r="C224" t="s">
        <v>208</v>
      </c>
      <c r="D224" s="34">
        <v>99410.750000000015</v>
      </c>
      <c r="E224">
        <v>1246240412</v>
      </c>
      <c r="F224" s="30">
        <v>45546</v>
      </c>
      <c r="G224" s="30"/>
      <c r="H224" t="s">
        <v>173</v>
      </c>
      <c r="I224" t="s">
        <v>174</v>
      </c>
      <c r="J224">
        <v>176</v>
      </c>
      <c r="K224" s="30">
        <v>45161</v>
      </c>
      <c r="L224">
        <v>1010100</v>
      </c>
      <c r="M224" t="s">
        <v>35</v>
      </c>
      <c r="N224">
        <v>161</v>
      </c>
      <c r="O224" t="s">
        <v>161</v>
      </c>
      <c r="P224" t="s">
        <v>207</v>
      </c>
      <c r="Q224">
        <f t="shared" si="4"/>
        <v>565</v>
      </c>
      <c r="R224" t="str">
        <f>_xlfn.XLOOKUP(P224,'Painel Fertilizers'!$B:$B,'Painel Fertilizers'!$B:$B,0)</f>
        <v>CBM FERTILIZANTES</v>
      </c>
    </row>
    <row r="225" spans="1:18" x14ac:dyDescent="0.25">
      <c r="A225">
        <v>13193</v>
      </c>
      <c r="B225" t="s">
        <v>210</v>
      </c>
      <c r="C225" t="s">
        <v>211</v>
      </c>
      <c r="D225" s="34">
        <v>39218.19</v>
      </c>
      <c r="E225">
        <v>1246129675</v>
      </c>
      <c r="F225" s="30">
        <v>45598</v>
      </c>
      <c r="G225" s="30"/>
      <c r="H225" t="s">
        <v>173</v>
      </c>
      <c r="I225" t="s">
        <v>174</v>
      </c>
      <c r="J225">
        <v>2817</v>
      </c>
      <c r="K225" s="30">
        <v>45338</v>
      </c>
      <c r="L225">
        <v>1010100</v>
      </c>
      <c r="M225" t="s">
        <v>35</v>
      </c>
      <c r="N225">
        <v>161</v>
      </c>
      <c r="O225" t="s">
        <v>161</v>
      </c>
      <c r="P225" t="s">
        <v>210</v>
      </c>
      <c r="Q225">
        <f t="shared" si="4"/>
        <v>513</v>
      </c>
      <c r="R225" t="str">
        <f>_xlfn.XLOOKUP(P225,'Painel Fertilizers'!$B:$B,'Painel Fertilizers'!$B:$B,0)</f>
        <v>AGRO BERALDO</v>
      </c>
    </row>
    <row r="226" spans="1:18" x14ac:dyDescent="0.25">
      <c r="A226">
        <v>13193</v>
      </c>
      <c r="B226" t="s">
        <v>210</v>
      </c>
      <c r="C226" t="s">
        <v>211</v>
      </c>
      <c r="D226" s="34">
        <v>96537.1</v>
      </c>
      <c r="E226">
        <v>1246128994</v>
      </c>
      <c r="F226" s="30">
        <v>45599</v>
      </c>
      <c r="G226" s="30"/>
      <c r="H226" t="s">
        <v>173</v>
      </c>
      <c r="I226" t="s">
        <v>174</v>
      </c>
      <c r="J226">
        <v>2765</v>
      </c>
      <c r="K226" s="30">
        <v>45331</v>
      </c>
      <c r="L226">
        <v>1010100</v>
      </c>
      <c r="M226" t="s">
        <v>35</v>
      </c>
      <c r="N226">
        <v>161</v>
      </c>
      <c r="O226" t="s">
        <v>161</v>
      </c>
      <c r="P226" t="s">
        <v>210</v>
      </c>
      <c r="Q226">
        <f t="shared" si="4"/>
        <v>512</v>
      </c>
      <c r="R226" t="str">
        <f>_xlfn.XLOOKUP(P226,'Painel Fertilizers'!$B:$B,'Painel Fertilizers'!$B:$B,0)</f>
        <v>AGRO BERALDO</v>
      </c>
    </row>
    <row r="227" spans="1:18" x14ac:dyDescent="0.25">
      <c r="A227">
        <v>13193</v>
      </c>
      <c r="B227" t="s">
        <v>210</v>
      </c>
      <c r="C227" t="s">
        <v>211</v>
      </c>
      <c r="D227" s="34">
        <v>14369.79</v>
      </c>
      <c r="E227">
        <v>1246129687</v>
      </c>
      <c r="F227" s="30">
        <v>45594</v>
      </c>
      <c r="G227" s="30"/>
      <c r="H227" t="s">
        <v>173</v>
      </c>
      <c r="I227" t="s">
        <v>174</v>
      </c>
      <c r="J227">
        <v>2824</v>
      </c>
      <c r="K227" s="30">
        <v>45338</v>
      </c>
      <c r="L227">
        <v>1010100</v>
      </c>
      <c r="M227" t="s">
        <v>35</v>
      </c>
      <c r="N227">
        <v>161</v>
      </c>
      <c r="O227" t="s">
        <v>161</v>
      </c>
      <c r="P227" t="s">
        <v>210</v>
      </c>
      <c r="Q227">
        <f t="shared" si="4"/>
        <v>517</v>
      </c>
      <c r="R227" t="str">
        <f>_xlfn.XLOOKUP(P227,'Painel Fertilizers'!$B:$B,'Painel Fertilizers'!$B:$B,0)</f>
        <v>AGRO BERALDO</v>
      </c>
    </row>
    <row r="228" spans="1:18" x14ac:dyDescent="0.25">
      <c r="A228">
        <v>13193</v>
      </c>
      <c r="B228" t="s">
        <v>210</v>
      </c>
      <c r="C228" t="s">
        <v>211</v>
      </c>
      <c r="D228" s="34">
        <v>102482.69</v>
      </c>
      <c r="E228">
        <v>1246129689</v>
      </c>
      <c r="F228" s="30">
        <v>45594</v>
      </c>
      <c r="G228" s="30"/>
      <c r="H228" t="s">
        <v>173</v>
      </c>
      <c r="I228" t="s">
        <v>174</v>
      </c>
      <c r="J228">
        <v>2825</v>
      </c>
      <c r="K228" s="30">
        <v>45338</v>
      </c>
      <c r="L228">
        <v>1010100</v>
      </c>
      <c r="M228" t="s">
        <v>35</v>
      </c>
      <c r="N228">
        <v>161</v>
      </c>
      <c r="O228" t="s">
        <v>161</v>
      </c>
      <c r="P228" t="s">
        <v>210</v>
      </c>
      <c r="Q228">
        <f t="shared" si="4"/>
        <v>517</v>
      </c>
      <c r="R228" t="str">
        <f>_xlfn.XLOOKUP(P228,'Painel Fertilizers'!$B:$B,'Painel Fertilizers'!$B:$B,0)</f>
        <v>AGRO BERALDO</v>
      </c>
    </row>
    <row r="229" spans="1:18" x14ac:dyDescent="0.25">
      <c r="A229">
        <v>13193</v>
      </c>
      <c r="B229" t="s">
        <v>210</v>
      </c>
      <c r="C229" t="s">
        <v>211</v>
      </c>
      <c r="D229" s="34">
        <v>96537.1</v>
      </c>
      <c r="E229">
        <v>1246128030</v>
      </c>
      <c r="F229" s="30">
        <v>45604</v>
      </c>
      <c r="G229" s="30"/>
      <c r="H229" t="s">
        <v>173</v>
      </c>
      <c r="I229" t="s">
        <v>174</v>
      </c>
      <c r="J229">
        <v>2691</v>
      </c>
      <c r="K229" s="30">
        <v>45324</v>
      </c>
      <c r="L229">
        <v>1010100</v>
      </c>
      <c r="M229" t="s">
        <v>35</v>
      </c>
      <c r="N229">
        <v>161</v>
      </c>
      <c r="O229" t="s">
        <v>161</v>
      </c>
      <c r="P229" t="s">
        <v>210</v>
      </c>
      <c r="Q229">
        <f t="shared" si="4"/>
        <v>507</v>
      </c>
      <c r="R229" t="str">
        <f>_xlfn.XLOOKUP(P229,'Painel Fertilizers'!$B:$B,'Painel Fertilizers'!$B:$B,0)</f>
        <v>AGRO BERALDO</v>
      </c>
    </row>
    <row r="230" spans="1:18" x14ac:dyDescent="0.25">
      <c r="A230">
        <v>13193</v>
      </c>
      <c r="B230" t="s">
        <v>210</v>
      </c>
      <c r="C230" t="s">
        <v>211</v>
      </c>
      <c r="D230" s="34">
        <v>96537.1</v>
      </c>
      <c r="E230">
        <v>1246129535</v>
      </c>
      <c r="F230" s="30">
        <v>45597</v>
      </c>
      <c r="G230" s="30"/>
      <c r="H230" t="s">
        <v>173</v>
      </c>
      <c r="I230" t="s">
        <v>174</v>
      </c>
      <c r="J230">
        <v>2797</v>
      </c>
      <c r="K230" s="30">
        <v>45337</v>
      </c>
      <c r="L230">
        <v>1010100</v>
      </c>
      <c r="M230" t="s">
        <v>35</v>
      </c>
      <c r="N230">
        <v>161</v>
      </c>
      <c r="O230" t="s">
        <v>161</v>
      </c>
      <c r="P230" t="s">
        <v>210</v>
      </c>
      <c r="Q230">
        <f t="shared" si="4"/>
        <v>514</v>
      </c>
      <c r="R230" t="str">
        <f>_xlfn.XLOOKUP(P230,'Painel Fertilizers'!$B:$B,'Painel Fertilizers'!$B:$B,0)</f>
        <v>AGRO BERALDO</v>
      </c>
    </row>
    <row r="231" spans="1:18" x14ac:dyDescent="0.25">
      <c r="A231">
        <v>13193</v>
      </c>
      <c r="B231" t="s">
        <v>210</v>
      </c>
      <c r="C231" t="s">
        <v>211</v>
      </c>
      <c r="D231" s="34">
        <v>12586.97</v>
      </c>
      <c r="E231">
        <v>1246129615</v>
      </c>
      <c r="F231" s="30">
        <v>45594</v>
      </c>
      <c r="G231" s="30"/>
      <c r="H231" t="s">
        <v>173</v>
      </c>
      <c r="I231" t="s">
        <v>174</v>
      </c>
      <c r="J231">
        <v>2804</v>
      </c>
      <c r="K231" s="30">
        <v>45338</v>
      </c>
      <c r="L231">
        <v>1010100</v>
      </c>
      <c r="M231" t="s">
        <v>35</v>
      </c>
      <c r="N231">
        <v>161</v>
      </c>
      <c r="O231" t="s">
        <v>161</v>
      </c>
      <c r="P231" t="s">
        <v>210</v>
      </c>
      <c r="Q231">
        <f t="shared" si="4"/>
        <v>517</v>
      </c>
      <c r="R231" t="str">
        <f>_xlfn.XLOOKUP(P231,'Painel Fertilizers'!$B:$B,'Painel Fertilizers'!$B:$B,0)</f>
        <v>AGRO BERALDO</v>
      </c>
    </row>
    <row r="232" spans="1:18" x14ac:dyDescent="0.25">
      <c r="A232">
        <v>13193</v>
      </c>
      <c r="B232" t="s">
        <v>210</v>
      </c>
      <c r="C232" t="s">
        <v>211</v>
      </c>
      <c r="D232" s="34">
        <v>96537.1</v>
      </c>
      <c r="E232">
        <v>1246129423</v>
      </c>
      <c r="F232" s="30">
        <v>45597</v>
      </c>
      <c r="G232" s="30"/>
      <c r="H232" t="s">
        <v>173</v>
      </c>
      <c r="I232" t="s">
        <v>174</v>
      </c>
      <c r="J232">
        <v>2793</v>
      </c>
      <c r="K232" s="30">
        <v>45337</v>
      </c>
      <c r="L232">
        <v>1010100</v>
      </c>
      <c r="M232" t="s">
        <v>35</v>
      </c>
      <c r="N232">
        <v>161</v>
      </c>
      <c r="O232" t="s">
        <v>161</v>
      </c>
      <c r="P232" t="s">
        <v>210</v>
      </c>
      <c r="Q232">
        <f t="shared" si="4"/>
        <v>514</v>
      </c>
      <c r="R232" t="str">
        <f>_xlfn.XLOOKUP(P232,'Painel Fertilizers'!$B:$B,'Painel Fertilizers'!$B:$B,0)</f>
        <v>AGRO BERALDO</v>
      </c>
    </row>
    <row r="233" spans="1:18" x14ac:dyDescent="0.25">
      <c r="A233">
        <v>13193</v>
      </c>
      <c r="B233" t="s">
        <v>210</v>
      </c>
      <c r="C233" t="s">
        <v>211</v>
      </c>
      <c r="D233" s="34">
        <v>96537.1</v>
      </c>
      <c r="E233">
        <v>1246129513</v>
      </c>
      <c r="F233" s="30">
        <v>45605</v>
      </c>
      <c r="G233" s="30"/>
      <c r="H233" t="s">
        <v>173</v>
      </c>
      <c r="I233" t="s">
        <v>174</v>
      </c>
      <c r="J233">
        <v>2795</v>
      </c>
      <c r="K233" s="30">
        <v>45337</v>
      </c>
      <c r="L233">
        <v>1010100</v>
      </c>
      <c r="M233" t="s">
        <v>35</v>
      </c>
      <c r="N233">
        <v>161</v>
      </c>
      <c r="O233" t="s">
        <v>161</v>
      </c>
      <c r="P233" t="s">
        <v>210</v>
      </c>
      <c r="Q233">
        <f t="shared" si="4"/>
        <v>506</v>
      </c>
      <c r="R233" t="str">
        <f>_xlfn.XLOOKUP(P233,'Painel Fertilizers'!$B:$B,'Painel Fertilizers'!$B:$B,0)</f>
        <v>AGRO BERALDO</v>
      </c>
    </row>
    <row r="234" spans="1:18" x14ac:dyDescent="0.25">
      <c r="A234">
        <v>13193</v>
      </c>
      <c r="B234" t="s">
        <v>210</v>
      </c>
      <c r="C234" t="s">
        <v>211</v>
      </c>
      <c r="D234" s="34">
        <v>100695.77</v>
      </c>
      <c r="E234">
        <v>1246129348</v>
      </c>
      <c r="F234" s="30">
        <v>45592</v>
      </c>
      <c r="G234" s="30"/>
      <c r="H234" t="s">
        <v>173</v>
      </c>
      <c r="I234" t="s">
        <v>174</v>
      </c>
      <c r="J234">
        <v>2788</v>
      </c>
      <c r="K234" s="30">
        <v>45336</v>
      </c>
      <c r="L234">
        <v>1010100</v>
      </c>
      <c r="M234" t="s">
        <v>35</v>
      </c>
      <c r="N234">
        <v>161</v>
      </c>
      <c r="O234" t="s">
        <v>161</v>
      </c>
      <c r="P234" t="s">
        <v>210</v>
      </c>
      <c r="Q234">
        <f t="shared" si="4"/>
        <v>519</v>
      </c>
      <c r="R234" t="str">
        <f>_xlfn.XLOOKUP(P234,'Painel Fertilizers'!$B:$B,'Painel Fertilizers'!$B:$B,0)</f>
        <v>AGRO BERALDO</v>
      </c>
    </row>
    <row r="235" spans="1:18" x14ac:dyDescent="0.25">
      <c r="A235">
        <v>13193</v>
      </c>
      <c r="B235" t="s">
        <v>210</v>
      </c>
      <c r="C235" t="s">
        <v>211</v>
      </c>
      <c r="D235" s="34">
        <v>96537.12</v>
      </c>
      <c r="E235">
        <v>1246129613</v>
      </c>
      <c r="F235" s="30">
        <v>45598</v>
      </c>
      <c r="G235" s="30"/>
      <c r="H235" t="s">
        <v>173</v>
      </c>
      <c r="I235" t="s">
        <v>174</v>
      </c>
      <c r="J235">
        <v>2803</v>
      </c>
      <c r="K235" s="30">
        <v>45338</v>
      </c>
      <c r="L235">
        <v>1010100</v>
      </c>
      <c r="M235" t="s">
        <v>35</v>
      </c>
      <c r="N235">
        <v>161</v>
      </c>
      <c r="O235" t="s">
        <v>161</v>
      </c>
      <c r="P235" t="s">
        <v>210</v>
      </c>
      <c r="Q235">
        <f t="shared" si="4"/>
        <v>513</v>
      </c>
      <c r="R235" t="str">
        <f>_xlfn.XLOOKUP(P235,'Painel Fertilizers'!$B:$B,'Painel Fertilizers'!$B:$B,0)</f>
        <v>AGRO BERALDO</v>
      </c>
    </row>
    <row r="236" spans="1:18" x14ac:dyDescent="0.25">
      <c r="A236">
        <v>13193</v>
      </c>
      <c r="B236" t="s">
        <v>210</v>
      </c>
      <c r="C236" t="s">
        <v>211</v>
      </c>
      <c r="D236" s="34">
        <v>114958.38999999998</v>
      </c>
      <c r="E236">
        <v>1246126152</v>
      </c>
      <c r="F236" s="30">
        <v>45594</v>
      </c>
      <c r="G236" s="30"/>
      <c r="H236" t="s">
        <v>173</v>
      </c>
      <c r="I236" t="s">
        <v>174</v>
      </c>
      <c r="J236">
        <v>2568</v>
      </c>
      <c r="K236" s="30">
        <v>45314</v>
      </c>
      <c r="L236">
        <v>1010100</v>
      </c>
      <c r="M236" t="s">
        <v>35</v>
      </c>
      <c r="N236">
        <v>161</v>
      </c>
      <c r="O236" t="s">
        <v>161</v>
      </c>
      <c r="P236" t="s">
        <v>210</v>
      </c>
      <c r="Q236">
        <f t="shared" si="4"/>
        <v>517</v>
      </c>
      <c r="R236" t="str">
        <f>_xlfn.XLOOKUP(P236,'Painel Fertilizers'!$B:$B,'Painel Fertilizers'!$B:$B,0)</f>
        <v>AGRO BERALDO</v>
      </c>
    </row>
    <row r="237" spans="1:18" x14ac:dyDescent="0.25">
      <c r="A237">
        <v>13193</v>
      </c>
      <c r="B237" t="s">
        <v>210</v>
      </c>
      <c r="C237" t="s">
        <v>211</v>
      </c>
      <c r="D237" s="34">
        <v>111898.75000000001</v>
      </c>
      <c r="E237">
        <v>1246126325</v>
      </c>
      <c r="F237" s="30">
        <v>45595</v>
      </c>
      <c r="G237" s="30"/>
      <c r="H237" t="s">
        <v>173</v>
      </c>
      <c r="I237" t="s">
        <v>174</v>
      </c>
      <c r="J237">
        <v>2581</v>
      </c>
      <c r="K237" s="30">
        <v>45315</v>
      </c>
      <c r="L237">
        <v>1010100</v>
      </c>
      <c r="M237" t="s">
        <v>35</v>
      </c>
      <c r="N237">
        <v>161</v>
      </c>
      <c r="O237" t="s">
        <v>161</v>
      </c>
      <c r="P237" t="s">
        <v>210</v>
      </c>
      <c r="Q237">
        <f t="shared" si="4"/>
        <v>516</v>
      </c>
      <c r="R237" t="str">
        <f>_xlfn.XLOOKUP(P237,'Painel Fertilizers'!$B:$B,'Painel Fertilizers'!$B:$B,0)</f>
        <v>AGRO BERALDO</v>
      </c>
    </row>
    <row r="238" spans="1:18" x14ac:dyDescent="0.25">
      <c r="A238">
        <v>13193</v>
      </c>
      <c r="B238" t="s">
        <v>210</v>
      </c>
      <c r="C238" t="s">
        <v>211</v>
      </c>
      <c r="D238" s="34">
        <v>108604.24</v>
      </c>
      <c r="E238">
        <v>1246126878</v>
      </c>
      <c r="F238" s="30">
        <v>45597</v>
      </c>
      <c r="G238" s="30"/>
      <c r="H238" t="s">
        <v>173</v>
      </c>
      <c r="I238" t="s">
        <v>174</v>
      </c>
      <c r="J238">
        <v>2614</v>
      </c>
      <c r="K238" s="30">
        <v>45317</v>
      </c>
      <c r="L238">
        <v>1010100</v>
      </c>
      <c r="M238" t="s">
        <v>35</v>
      </c>
      <c r="N238">
        <v>161</v>
      </c>
      <c r="O238" t="s">
        <v>161</v>
      </c>
      <c r="P238" t="s">
        <v>210</v>
      </c>
      <c r="Q238">
        <f t="shared" si="4"/>
        <v>514</v>
      </c>
      <c r="R238" t="str">
        <f>_xlfn.XLOOKUP(P238,'Painel Fertilizers'!$B:$B,'Painel Fertilizers'!$B:$B,0)</f>
        <v>AGRO BERALDO</v>
      </c>
    </row>
    <row r="239" spans="1:18" x14ac:dyDescent="0.25">
      <c r="A239">
        <v>13193</v>
      </c>
      <c r="B239" t="s">
        <v>210</v>
      </c>
      <c r="C239" t="s">
        <v>211</v>
      </c>
      <c r="D239" s="34">
        <v>110524.44</v>
      </c>
      <c r="E239">
        <v>1246126771</v>
      </c>
      <c r="F239" s="30">
        <v>45597</v>
      </c>
      <c r="G239" s="30"/>
      <c r="H239" t="s">
        <v>173</v>
      </c>
      <c r="I239" t="s">
        <v>174</v>
      </c>
      <c r="J239">
        <v>2605</v>
      </c>
      <c r="K239" s="30">
        <v>45317</v>
      </c>
      <c r="L239">
        <v>1010100</v>
      </c>
      <c r="M239" t="s">
        <v>35</v>
      </c>
      <c r="N239">
        <v>161</v>
      </c>
      <c r="O239" t="s">
        <v>161</v>
      </c>
      <c r="P239" t="s">
        <v>210</v>
      </c>
      <c r="Q239">
        <f t="shared" si="4"/>
        <v>514</v>
      </c>
      <c r="R239" t="str">
        <f>_xlfn.XLOOKUP(P239,'Painel Fertilizers'!$B:$B,'Painel Fertilizers'!$B:$B,0)</f>
        <v>AGRO BERALDO</v>
      </c>
    </row>
    <row r="240" spans="1:18" x14ac:dyDescent="0.25">
      <c r="A240">
        <v>13193</v>
      </c>
      <c r="B240" t="s">
        <v>210</v>
      </c>
      <c r="C240" t="s">
        <v>211</v>
      </c>
      <c r="D240" s="34">
        <v>81453.179999999993</v>
      </c>
      <c r="E240">
        <v>1246126682</v>
      </c>
      <c r="F240" s="30">
        <v>45596</v>
      </c>
      <c r="G240" s="30"/>
      <c r="H240" t="s">
        <v>173</v>
      </c>
      <c r="I240" t="s">
        <v>174</v>
      </c>
      <c r="J240">
        <v>2598</v>
      </c>
      <c r="K240" s="30">
        <v>45316</v>
      </c>
      <c r="L240">
        <v>1010100</v>
      </c>
      <c r="M240" t="s">
        <v>35</v>
      </c>
      <c r="N240">
        <v>161</v>
      </c>
      <c r="O240" t="s">
        <v>161</v>
      </c>
      <c r="P240" t="s">
        <v>210</v>
      </c>
      <c r="Q240">
        <f t="shared" si="4"/>
        <v>515</v>
      </c>
      <c r="R240" t="str">
        <f>_xlfn.XLOOKUP(P240,'Painel Fertilizers'!$B:$B,'Painel Fertilizers'!$B:$B,0)</f>
        <v>AGRO BERALDO</v>
      </c>
    </row>
    <row r="241" spans="1:18" x14ac:dyDescent="0.25">
      <c r="A241">
        <v>13193</v>
      </c>
      <c r="B241" t="s">
        <v>210</v>
      </c>
      <c r="C241" t="s">
        <v>211</v>
      </c>
      <c r="D241" s="34">
        <v>97994.5</v>
      </c>
      <c r="E241">
        <v>1246124699</v>
      </c>
      <c r="F241" s="30">
        <v>45593</v>
      </c>
      <c r="G241" s="30"/>
      <c r="H241" t="s">
        <v>173</v>
      </c>
      <c r="I241" t="s">
        <v>174</v>
      </c>
      <c r="J241">
        <v>2485</v>
      </c>
      <c r="K241" s="30">
        <v>45303</v>
      </c>
      <c r="L241">
        <v>1010100</v>
      </c>
      <c r="M241" t="s">
        <v>35</v>
      </c>
      <c r="N241">
        <v>161</v>
      </c>
      <c r="O241" t="s">
        <v>161</v>
      </c>
      <c r="P241" t="s">
        <v>210</v>
      </c>
      <c r="Q241">
        <f t="shared" si="4"/>
        <v>518</v>
      </c>
      <c r="R241" t="str">
        <f>_xlfn.XLOOKUP(P241,'Painel Fertilizers'!$B:$B,'Painel Fertilizers'!$B:$B,0)</f>
        <v>AGRO BERALDO</v>
      </c>
    </row>
    <row r="242" spans="1:18" x14ac:dyDescent="0.25">
      <c r="A242">
        <v>13193</v>
      </c>
      <c r="B242" t="s">
        <v>210</v>
      </c>
      <c r="C242" t="s">
        <v>211</v>
      </c>
      <c r="D242" s="34">
        <v>102482.69</v>
      </c>
      <c r="E242">
        <v>1246129677</v>
      </c>
      <c r="F242" s="30">
        <v>45594</v>
      </c>
      <c r="G242" s="30"/>
      <c r="H242" t="s">
        <v>173</v>
      </c>
      <c r="I242" t="s">
        <v>174</v>
      </c>
      <c r="J242">
        <v>2818</v>
      </c>
      <c r="K242" s="30">
        <v>45338</v>
      </c>
      <c r="L242">
        <v>1010100</v>
      </c>
      <c r="M242" t="s">
        <v>35</v>
      </c>
      <c r="N242">
        <v>161</v>
      </c>
      <c r="O242" t="s">
        <v>161</v>
      </c>
      <c r="P242" t="s">
        <v>210</v>
      </c>
      <c r="Q242">
        <f t="shared" si="4"/>
        <v>517</v>
      </c>
      <c r="R242" t="str">
        <f>_xlfn.XLOOKUP(P242,'Painel Fertilizers'!$B:$B,'Painel Fertilizers'!$B:$B,0)</f>
        <v>AGRO BERALDO</v>
      </c>
    </row>
    <row r="243" spans="1:18" x14ac:dyDescent="0.25">
      <c r="A243">
        <v>13193</v>
      </c>
      <c r="B243" t="s">
        <v>210</v>
      </c>
      <c r="C243" t="s">
        <v>211</v>
      </c>
      <c r="D243" s="34">
        <v>140175.09</v>
      </c>
      <c r="E243">
        <v>1246130332</v>
      </c>
      <c r="F243" s="30">
        <v>45599</v>
      </c>
      <c r="G243" s="30"/>
      <c r="H243" t="s">
        <v>173</v>
      </c>
      <c r="I243" t="s">
        <v>174</v>
      </c>
      <c r="J243">
        <v>2873</v>
      </c>
      <c r="K243" s="30">
        <v>45343</v>
      </c>
      <c r="L243">
        <v>1010100</v>
      </c>
      <c r="M243" t="s">
        <v>35</v>
      </c>
      <c r="N243">
        <v>161</v>
      </c>
      <c r="O243" t="s">
        <v>161</v>
      </c>
      <c r="P243" t="s">
        <v>210</v>
      </c>
      <c r="Q243">
        <f t="shared" si="4"/>
        <v>512</v>
      </c>
      <c r="R243" t="str">
        <f>_xlfn.XLOOKUP(P243,'Painel Fertilizers'!$B:$B,'Painel Fertilizers'!$B:$B,0)</f>
        <v>AGRO BERALDO</v>
      </c>
    </row>
    <row r="244" spans="1:18" x14ac:dyDescent="0.25">
      <c r="A244">
        <v>13193</v>
      </c>
      <c r="B244" t="s">
        <v>210</v>
      </c>
      <c r="C244" t="s">
        <v>211</v>
      </c>
      <c r="D244" s="34">
        <v>112140.07</v>
      </c>
      <c r="E244">
        <v>1246130309</v>
      </c>
      <c r="F244" s="30">
        <v>45599</v>
      </c>
      <c r="G244" s="30"/>
      <c r="H244" t="s">
        <v>173</v>
      </c>
      <c r="I244" t="s">
        <v>174</v>
      </c>
      <c r="J244">
        <v>2867</v>
      </c>
      <c r="K244" s="30">
        <v>45343</v>
      </c>
      <c r="L244">
        <v>1010100</v>
      </c>
      <c r="M244" t="s">
        <v>35</v>
      </c>
      <c r="N244">
        <v>161</v>
      </c>
      <c r="O244" t="s">
        <v>161</v>
      </c>
      <c r="P244" t="s">
        <v>210</v>
      </c>
      <c r="Q244">
        <f t="shared" si="4"/>
        <v>512</v>
      </c>
      <c r="R244" t="str">
        <f>_xlfn.XLOOKUP(P244,'Painel Fertilizers'!$B:$B,'Painel Fertilizers'!$B:$B,0)</f>
        <v>AGRO BERALDO</v>
      </c>
    </row>
    <row r="245" spans="1:18" x14ac:dyDescent="0.25">
      <c r="A245">
        <v>13193</v>
      </c>
      <c r="B245" t="s">
        <v>210</v>
      </c>
      <c r="C245" t="s">
        <v>211</v>
      </c>
      <c r="D245" s="34">
        <v>105131.31</v>
      </c>
      <c r="E245">
        <v>1246132575</v>
      </c>
      <c r="F245" s="30">
        <v>45597</v>
      </c>
      <c r="G245" s="30"/>
      <c r="H245" t="s">
        <v>173</v>
      </c>
      <c r="I245" t="s">
        <v>174</v>
      </c>
      <c r="J245">
        <v>2994</v>
      </c>
      <c r="K245" s="30">
        <v>45357</v>
      </c>
      <c r="L245">
        <v>1010100</v>
      </c>
      <c r="M245" t="s">
        <v>35</v>
      </c>
      <c r="N245">
        <v>161</v>
      </c>
      <c r="O245" t="s">
        <v>161</v>
      </c>
      <c r="P245" t="s">
        <v>210</v>
      </c>
      <c r="Q245">
        <f t="shared" si="4"/>
        <v>514</v>
      </c>
      <c r="R245" t="str">
        <f>_xlfn.XLOOKUP(P245,'Painel Fertilizers'!$B:$B,'Painel Fertilizers'!$B:$B,0)</f>
        <v>AGRO BERALDO</v>
      </c>
    </row>
    <row r="246" spans="1:18" x14ac:dyDescent="0.25">
      <c r="A246">
        <v>13193</v>
      </c>
      <c r="B246" t="s">
        <v>210</v>
      </c>
      <c r="C246" t="s">
        <v>211</v>
      </c>
      <c r="D246" s="34">
        <v>97257.29</v>
      </c>
      <c r="E246">
        <v>1246139180</v>
      </c>
      <c r="F246" s="30">
        <v>45573</v>
      </c>
      <c r="G246" s="30"/>
      <c r="H246" t="s">
        <v>173</v>
      </c>
      <c r="I246" t="s">
        <v>174</v>
      </c>
      <c r="J246">
        <v>3265</v>
      </c>
      <c r="K246" s="30">
        <v>45393</v>
      </c>
      <c r="L246">
        <v>1010100</v>
      </c>
      <c r="M246" t="s">
        <v>35</v>
      </c>
      <c r="N246">
        <v>161</v>
      </c>
      <c r="O246" t="s">
        <v>161</v>
      </c>
      <c r="P246" t="s">
        <v>210</v>
      </c>
      <c r="Q246">
        <f t="shared" si="4"/>
        <v>538</v>
      </c>
      <c r="R246" t="str">
        <f>_xlfn.XLOOKUP(P246,'Painel Fertilizers'!$B:$B,'Painel Fertilizers'!$B:$B,0)</f>
        <v>AGRO BERALDO</v>
      </c>
    </row>
    <row r="247" spans="1:18" x14ac:dyDescent="0.25">
      <c r="A247">
        <v>13193</v>
      </c>
      <c r="B247" t="s">
        <v>210</v>
      </c>
      <c r="C247" t="s">
        <v>211</v>
      </c>
      <c r="D247" s="34">
        <v>104293.46</v>
      </c>
      <c r="E247">
        <v>1246135519</v>
      </c>
      <c r="F247" s="30">
        <v>45600</v>
      </c>
      <c r="G247" s="30"/>
      <c r="H247" t="s">
        <v>173</v>
      </c>
      <c r="I247" t="s">
        <v>174</v>
      </c>
      <c r="J247">
        <v>3146</v>
      </c>
      <c r="K247" s="30">
        <v>45373</v>
      </c>
      <c r="L247">
        <v>1010100</v>
      </c>
      <c r="M247" t="s">
        <v>35</v>
      </c>
      <c r="N247">
        <v>161</v>
      </c>
      <c r="O247" t="s">
        <v>161</v>
      </c>
      <c r="P247" t="s">
        <v>210</v>
      </c>
      <c r="Q247">
        <f t="shared" si="4"/>
        <v>511</v>
      </c>
      <c r="R247" t="str">
        <f>_xlfn.XLOOKUP(P247,'Painel Fertilizers'!$B:$B,'Painel Fertilizers'!$B:$B,0)</f>
        <v>AGRO BERALDO</v>
      </c>
    </row>
    <row r="248" spans="1:18" x14ac:dyDescent="0.25">
      <c r="A248">
        <v>13193</v>
      </c>
      <c r="B248" t="s">
        <v>210</v>
      </c>
      <c r="C248" t="s">
        <v>211</v>
      </c>
      <c r="D248" s="34">
        <v>120980.73</v>
      </c>
      <c r="E248">
        <v>1246138904</v>
      </c>
      <c r="F248" s="30">
        <v>45572</v>
      </c>
      <c r="G248" s="30"/>
      <c r="H248" t="s">
        <v>173</v>
      </c>
      <c r="I248" t="s">
        <v>174</v>
      </c>
      <c r="J248">
        <v>3260</v>
      </c>
      <c r="K248" s="30">
        <v>45392</v>
      </c>
      <c r="L248">
        <v>1010100</v>
      </c>
      <c r="M248" t="s">
        <v>35</v>
      </c>
      <c r="N248">
        <v>161</v>
      </c>
      <c r="O248" t="s">
        <v>161</v>
      </c>
      <c r="P248" t="s">
        <v>210</v>
      </c>
      <c r="Q248">
        <f t="shared" si="4"/>
        <v>539</v>
      </c>
      <c r="R248" t="str">
        <f>_xlfn.XLOOKUP(P248,'Painel Fertilizers'!$B:$B,'Painel Fertilizers'!$B:$B,0)</f>
        <v>AGRO BERALDO</v>
      </c>
    </row>
    <row r="249" spans="1:18" x14ac:dyDescent="0.25">
      <c r="A249">
        <v>13193</v>
      </c>
      <c r="B249" t="s">
        <v>210</v>
      </c>
      <c r="C249" t="s">
        <v>211</v>
      </c>
      <c r="D249" s="34">
        <v>142145.26999999999</v>
      </c>
      <c r="E249">
        <v>1246138695</v>
      </c>
      <c r="F249" s="30">
        <v>45571</v>
      </c>
      <c r="G249" s="30"/>
      <c r="H249" t="s">
        <v>173</v>
      </c>
      <c r="I249" t="s">
        <v>174</v>
      </c>
      <c r="J249">
        <v>3255</v>
      </c>
      <c r="K249" s="30">
        <v>45391</v>
      </c>
      <c r="L249">
        <v>1010100</v>
      </c>
      <c r="M249" t="s">
        <v>35</v>
      </c>
      <c r="N249">
        <v>161</v>
      </c>
      <c r="O249" t="s">
        <v>161</v>
      </c>
      <c r="P249" t="s">
        <v>210</v>
      </c>
      <c r="Q249">
        <f t="shared" ref="Q249:Q309" si="5">$R$1-F249</f>
        <v>540</v>
      </c>
      <c r="R249" t="str">
        <f>_xlfn.XLOOKUP(P249,'Painel Fertilizers'!$B:$B,'Painel Fertilizers'!$B:$B,0)</f>
        <v>AGRO BERALDO</v>
      </c>
    </row>
    <row r="250" spans="1:18" x14ac:dyDescent="0.25">
      <c r="A250">
        <v>13193</v>
      </c>
      <c r="B250" t="s">
        <v>210</v>
      </c>
      <c r="C250" t="s">
        <v>211</v>
      </c>
      <c r="D250" s="34">
        <v>30167.84</v>
      </c>
      <c r="E250">
        <v>1246134824</v>
      </c>
      <c r="F250" s="30">
        <v>45597</v>
      </c>
      <c r="G250" s="30"/>
      <c r="H250" t="s">
        <v>173</v>
      </c>
      <c r="I250" t="s">
        <v>174</v>
      </c>
      <c r="J250">
        <v>3122</v>
      </c>
      <c r="K250" s="30">
        <v>45370</v>
      </c>
      <c r="L250">
        <v>1010100</v>
      </c>
      <c r="M250" t="s">
        <v>35</v>
      </c>
      <c r="N250">
        <v>161</v>
      </c>
      <c r="O250" t="s">
        <v>161</v>
      </c>
      <c r="P250" t="s">
        <v>210</v>
      </c>
      <c r="Q250">
        <f t="shared" si="5"/>
        <v>514</v>
      </c>
      <c r="R250" t="str">
        <f>_xlfn.XLOOKUP(P250,'Painel Fertilizers'!$B:$B,'Painel Fertilizers'!$B:$B,0)</f>
        <v>AGRO BERALDO</v>
      </c>
    </row>
    <row r="251" spans="1:18" x14ac:dyDescent="0.25">
      <c r="A251">
        <v>13193</v>
      </c>
      <c r="B251" t="s">
        <v>210</v>
      </c>
      <c r="C251" t="s">
        <v>211</v>
      </c>
      <c r="D251" s="34">
        <v>96077.53</v>
      </c>
      <c r="E251">
        <v>1246134935</v>
      </c>
      <c r="F251" s="30">
        <v>45598</v>
      </c>
      <c r="G251" s="30"/>
      <c r="H251" t="s">
        <v>173</v>
      </c>
      <c r="I251" t="s">
        <v>174</v>
      </c>
      <c r="J251">
        <v>3128</v>
      </c>
      <c r="K251" s="30">
        <v>45371</v>
      </c>
      <c r="L251">
        <v>1010100</v>
      </c>
      <c r="M251" t="s">
        <v>35</v>
      </c>
      <c r="N251">
        <v>161</v>
      </c>
      <c r="O251" t="s">
        <v>161</v>
      </c>
      <c r="P251" t="s">
        <v>210</v>
      </c>
      <c r="Q251">
        <f t="shared" si="5"/>
        <v>513</v>
      </c>
      <c r="R251" t="str">
        <f>_xlfn.XLOOKUP(P251,'Painel Fertilizers'!$B:$B,'Painel Fertilizers'!$B:$B,0)</f>
        <v>AGRO BERALDO</v>
      </c>
    </row>
    <row r="252" spans="1:18" x14ac:dyDescent="0.25">
      <c r="A252">
        <v>13193</v>
      </c>
      <c r="B252" t="s">
        <v>210</v>
      </c>
      <c r="C252" t="s">
        <v>211</v>
      </c>
      <c r="D252" s="34">
        <v>90503.54</v>
      </c>
      <c r="E252">
        <v>1246134807</v>
      </c>
      <c r="F252" s="30">
        <v>45597</v>
      </c>
      <c r="G252" s="30"/>
      <c r="H252" t="s">
        <v>173</v>
      </c>
      <c r="I252" t="s">
        <v>174</v>
      </c>
      <c r="J252">
        <v>3119</v>
      </c>
      <c r="K252" s="30">
        <v>45370</v>
      </c>
      <c r="L252">
        <v>1010100</v>
      </c>
      <c r="M252" t="s">
        <v>35</v>
      </c>
      <c r="N252">
        <v>161</v>
      </c>
      <c r="O252" t="s">
        <v>161</v>
      </c>
      <c r="P252" t="s">
        <v>210</v>
      </c>
      <c r="Q252">
        <f t="shared" si="5"/>
        <v>514</v>
      </c>
      <c r="R252" t="str">
        <f>_xlfn.XLOOKUP(P252,'Painel Fertilizers'!$B:$B,'Painel Fertilizers'!$B:$B,0)</f>
        <v>AGRO BERALDO</v>
      </c>
    </row>
    <row r="253" spans="1:18" x14ac:dyDescent="0.25">
      <c r="A253">
        <v>13193</v>
      </c>
      <c r="B253" t="s">
        <v>210</v>
      </c>
      <c r="C253" t="s">
        <v>211</v>
      </c>
      <c r="D253" s="34">
        <v>90503.54</v>
      </c>
      <c r="E253">
        <v>1246134540</v>
      </c>
      <c r="F253" s="30">
        <v>45596</v>
      </c>
      <c r="G253" s="30"/>
      <c r="H253" t="s">
        <v>173</v>
      </c>
      <c r="I253" t="s">
        <v>174</v>
      </c>
      <c r="J253">
        <v>3110</v>
      </c>
      <c r="K253" s="30">
        <v>45369</v>
      </c>
      <c r="L253">
        <v>1010100</v>
      </c>
      <c r="M253" t="s">
        <v>35</v>
      </c>
      <c r="N253">
        <v>161</v>
      </c>
      <c r="O253" t="s">
        <v>161</v>
      </c>
      <c r="P253" t="s">
        <v>210</v>
      </c>
      <c r="Q253">
        <f t="shared" si="5"/>
        <v>515</v>
      </c>
      <c r="R253" t="str">
        <f>_xlfn.XLOOKUP(P253,'Painel Fertilizers'!$B:$B,'Painel Fertilizers'!$B:$B,0)</f>
        <v>AGRO BERALDO</v>
      </c>
    </row>
    <row r="254" spans="1:18" x14ac:dyDescent="0.25">
      <c r="A254">
        <v>13193</v>
      </c>
      <c r="B254" t="s">
        <v>210</v>
      </c>
      <c r="C254" t="s">
        <v>211</v>
      </c>
      <c r="D254" s="34">
        <v>82776.289999999994</v>
      </c>
      <c r="E254">
        <v>1246139327</v>
      </c>
      <c r="F254" s="30">
        <v>45573</v>
      </c>
      <c r="G254" s="30"/>
      <c r="H254" t="s">
        <v>173</v>
      </c>
      <c r="I254" t="s">
        <v>174</v>
      </c>
      <c r="J254">
        <v>3272</v>
      </c>
      <c r="K254" s="30">
        <v>45393</v>
      </c>
      <c r="L254">
        <v>1010100</v>
      </c>
      <c r="M254" t="s">
        <v>35</v>
      </c>
      <c r="N254">
        <v>161</v>
      </c>
      <c r="O254" t="s">
        <v>161</v>
      </c>
      <c r="P254" t="s">
        <v>210</v>
      </c>
      <c r="Q254">
        <f t="shared" si="5"/>
        <v>538</v>
      </c>
      <c r="R254" t="str">
        <f>_xlfn.XLOOKUP(P254,'Painel Fertilizers'!$B:$B,'Painel Fertilizers'!$B:$B,0)</f>
        <v>AGRO BERALDO</v>
      </c>
    </row>
    <row r="255" spans="1:18" x14ac:dyDescent="0.25">
      <c r="A255">
        <v>13193</v>
      </c>
      <c r="B255" t="s">
        <v>210</v>
      </c>
      <c r="C255" t="s">
        <v>211</v>
      </c>
      <c r="D255" s="34">
        <v>64051.68</v>
      </c>
      <c r="E255">
        <v>1246134828</v>
      </c>
      <c r="F255" s="30">
        <v>45597</v>
      </c>
      <c r="G255" s="30"/>
      <c r="H255" t="s">
        <v>173</v>
      </c>
      <c r="I255" t="s">
        <v>174</v>
      </c>
      <c r="J255">
        <v>3123</v>
      </c>
      <c r="K255" s="30">
        <v>45370</v>
      </c>
      <c r="L255">
        <v>1010100</v>
      </c>
      <c r="M255" t="s">
        <v>35</v>
      </c>
      <c r="N255">
        <v>161</v>
      </c>
      <c r="O255" t="s">
        <v>161</v>
      </c>
      <c r="P255" t="s">
        <v>210</v>
      </c>
      <c r="Q255">
        <f t="shared" si="5"/>
        <v>514</v>
      </c>
      <c r="R255" t="str">
        <f>_xlfn.XLOOKUP(P255,'Painel Fertilizers'!$B:$B,'Painel Fertilizers'!$B:$B,0)</f>
        <v>AGRO BERALDO</v>
      </c>
    </row>
    <row r="256" spans="1:18" x14ac:dyDescent="0.25">
      <c r="A256">
        <v>13193</v>
      </c>
      <c r="B256" t="s">
        <v>210</v>
      </c>
      <c r="C256" t="s">
        <v>211</v>
      </c>
      <c r="D256" s="34">
        <v>96077.53</v>
      </c>
      <c r="E256">
        <v>1246134926</v>
      </c>
      <c r="F256" s="30">
        <v>45598</v>
      </c>
      <c r="G256" s="30"/>
      <c r="H256" t="s">
        <v>173</v>
      </c>
      <c r="I256" t="s">
        <v>174</v>
      </c>
      <c r="J256">
        <v>3126</v>
      </c>
      <c r="K256" s="30">
        <v>45371</v>
      </c>
      <c r="L256">
        <v>1010100</v>
      </c>
      <c r="M256" t="s">
        <v>35</v>
      </c>
      <c r="N256">
        <v>161</v>
      </c>
      <c r="O256" t="s">
        <v>161</v>
      </c>
      <c r="P256" t="s">
        <v>210</v>
      </c>
      <c r="Q256">
        <f t="shared" si="5"/>
        <v>513</v>
      </c>
      <c r="R256" t="str">
        <f>_xlfn.XLOOKUP(P256,'Painel Fertilizers'!$B:$B,'Painel Fertilizers'!$B:$B,0)</f>
        <v>AGRO BERALDO</v>
      </c>
    </row>
    <row r="257" spans="1:18" x14ac:dyDescent="0.25">
      <c r="A257">
        <v>13193</v>
      </c>
      <c r="B257" t="s">
        <v>210</v>
      </c>
      <c r="C257" t="s">
        <v>211</v>
      </c>
      <c r="D257" s="34">
        <v>96077.53</v>
      </c>
      <c r="E257">
        <v>1246135475</v>
      </c>
      <c r="F257" s="30">
        <v>45600</v>
      </c>
      <c r="G257" s="30"/>
      <c r="H257" t="s">
        <v>173</v>
      </c>
      <c r="I257" t="s">
        <v>174</v>
      </c>
      <c r="J257">
        <v>3143</v>
      </c>
      <c r="K257" s="30">
        <v>45373</v>
      </c>
      <c r="L257">
        <v>1010100</v>
      </c>
      <c r="M257" t="s">
        <v>35</v>
      </c>
      <c r="N257">
        <v>161</v>
      </c>
      <c r="O257" t="s">
        <v>161</v>
      </c>
      <c r="P257" t="s">
        <v>210</v>
      </c>
      <c r="Q257">
        <f t="shared" si="5"/>
        <v>511</v>
      </c>
      <c r="R257" t="str">
        <f>_xlfn.XLOOKUP(P257,'Painel Fertilizers'!$B:$B,'Painel Fertilizers'!$B:$B,0)</f>
        <v>AGRO BERALDO</v>
      </c>
    </row>
    <row r="258" spans="1:18" x14ac:dyDescent="0.25">
      <c r="A258">
        <v>13567</v>
      </c>
      <c r="B258" t="s">
        <v>378</v>
      </c>
      <c r="C258" t="s">
        <v>379</v>
      </c>
      <c r="D258" s="34">
        <v>108547.57</v>
      </c>
      <c r="E258">
        <v>1246235061</v>
      </c>
      <c r="F258" s="30">
        <v>46143</v>
      </c>
      <c r="G258" s="30"/>
      <c r="H258" t="s">
        <v>173</v>
      </c>
      <c r="I258" t="s">
        <v>174</v>
      </c>
      <c r="J258">
        <v>9184</v>
      </c>
      <c r="K258" s="30">
        <v>45904</v>
      </c>
      <c r="L258">
        <v>1010100</v>
      </c>
      <c r="M258" t="s">
        <v>35</v>
      </c>
      <c r="N258">
        <v>56</v>
      </c>
      <c r="O258" t="s">
        <v>162</v>
      </c>
      <c r="P258" t="s">
        <v>378</v>
      </c>
      <c r="Q258">
        <f t="shared" si="5"/>
        <v>-32</v>
      </c>
      <c r="R258" t="str">
        <f>_xlfn.XLOOKUP(P258,'Painel Fertilizers'!$B:$B,'Painel Fertilizers'!$B:$B,0)</f>
        <v>TAKI AGRO - POUSO ALEGRE</v>
      </c>
    </row>
    <row r="259" spans="1:18" x14ac:dyDescent="0.25">
      <c r="A259">
        <v>13567</v>
      </c>
      <c r="B259" t="s">
        <v>378</v>
      </c>
      <c r="C259" t="s">
        <v>379</v>
      </c>
      <c r="D259" s="34">
        <v>114260.6</v>
      </c>
      <c r="E259">
        <v>1246235060</v>
      </c>
      <c r="F259" s="30">
        <v>46143</v>
      </c>
      <c r="G259" s="30"/>
      <c r="H259" t="s">
        <v>173</v>
      </c>
      <c r="I259" t="s">
        <v>174</v>
      </c>
      <c r="J259">
        <v>9183</v>
      </c>
      <c r="K259" s="30">
        <v>45904</v>
      </c>
      <c r="L259">
        <v>1010100</v>
      </c>
      <c r="M259" t="s">
        <v>35</v>
      </c>
      <c r="N259">
        <v>56</v>
      </c>
      <c r="O259" t="s">
        <v>162</v>
      </c>
      <c r="P259" t="s">
        <v>378</v>
      </c>
      <c r="Q259">
        <f t="shared" si="5"/>
        <v>-32</v>
      </c>
      <c r="R259" t="str">
        <f>_xlfn.XLOOKUP(P259,'Painel Fertilizers'!$B:$B,'Painel Fertilizers'!$B:$B,0)</f>
        <v>TAKI AGRO - POUSO ALEGRE</v>
      </c>
    </row>
    <row r="260" spans="1:18" x14ac:dyDescent="0.25">
      <c r="A260">
        <v>14948</v>
      </c>
      <c r="B260" t="s">
        <v>380</v>
      </c>
      <c r="C260" t="s">
        <v>381</v>
      </c>
      <c r="D260" s="34">
        <v>184217.94</v>
      </c>
      <c r="E260">
        <v>1246221983</v>
      </c>
      <c r="F260" s="30">
        <v>46138</v>
      </c>
      <c r="G260" s="30"/>
      <c r="H260" t="s">
        <v>173</v>
      </c>
      <c r="I260" t="s">
        <v>174</v>
      </c>
      <c r="J260">
        <v>8306</v>
      </c>
      <c r="K260" s="30">
        <v>45838</v>
      </c>
      <c r="L260">
        <v>1010100</v>
      </c>
      <c r="M260" t="s">
        <v>35</v>
      </c>
      <c r="N260">
        <v>56</v>
      </c>
      <c r="O260" t="s">
        <v>162</v>
      </c>
      <c r="P260" t="s">
        <v>380</v>
      </c>
      <c r="Q260">
        <f t="shared" si="5"/>
        <v>-27</v>
      </c>
      <c r="R260" t="str">
        <f>_xlfn.XLOOKUP(P260,'Painel Fertilizers'!$B:$B,'Painel Fertilizers'!$B:$B,0)</f>
        <v>TAKI AGRO - SOCORRO</v>
      </c>
    </row>
    <row r="261" spans="1:18" x14ac:dyDescent="0.25">
      <c r="A261">
        <v>14948</v>
      </c>
      <c r="B261" t="s">
        <v>380</v>
      </c>
      <c r="C261" t="s">
        <v>381</v>
      </c>
      <c r="D261" s="34">
        <v>146464.34</v>
      </c>
      <c r="E261">
        <v>1246228211</v>
      </c>
      <c r="F261" s="30">
        <v>46135</v>
      </c>
      <c r="G261" s="30"/>
      <c r="H261" t="s">
        <v>173</v>
      </c>
      <c r="I261" t="s">
        <v>174</v>
      </c>
      <c r="J261">
        <v>8692</v>
      </c>
      <c r="K261" s="30">
        <v>45869</v>
      </c>
      <c r="L261">
        <v>1010100</v>
      </c>
      <c r="M261" t="s">
        <v>35</v>
      </c>
      <c r="N261">
        <v>56</v>
      </c>
      <c r="O261" t="s">
        <v>162</v>
      </c>
      <c r="P261" t="s">
        <v>380</v>
      </c>
      <c r="Q261">
        <f t="shared" si="5"/>
        <v>-24</v>
      </c>
      <c r="R261" t="str">
        <f>_xlfn.XLOOKUP(P261,'Painel Fertilizers'!$B:$B,'Painel Fertilizers'!$B:$B,0)</f>
        <v>TAKI AGRO - SOCORRO</v>
      </c>
    </row>
    <row r="262" spans="1:18" x14ac:dyDescent="0.25">
      <c r="A262">
        <v>14948</v>
      </c>
      <c r="B262" t="s">
        <v>380</v>
      </c>
      <c r="C262" t="s">
        <v>381</v>
      </c>
      <c r="D262" s="34">
        <v>235730.06</v>
      </c>
      <c r="E262">
        <v>1246228090</v>
      </c>
      <c r="F262" s="30">
        <v>46134</v>
      </c>
      <c r="G262" s="30"/>
      <c r="H262" t="s">
        <v>173</v>
      </c>
      <c r="I262" t="s">
        <v>174</v>
      </c>
      <c r="J262">
        <v>8683</v>
      </c>
      <c r="K262" s="30">
        <v>45868</v>
      </c>
      <c r="L262">
        <v>1010100</v>
      </c>
      <c r="M262" t="s">
        <v>35</v>
      </c>
      <c r="N262">
        <v>56</v>
      </c>
      <c r="O262" t="s">
        <v>162</v>
      </c>
      <c r="P262" t="s">
        <v>380</v>
      </c>
      <c r="Q262">
        <f t="shared" si="5"/>
        <v>-23</v>
      </c>
      <c r="R262" t="str">
        <f>_xlfn.XLOOKUP(P262,'Painel Fertilizers'!$B:$B,'Painel Fertilizers'!$B:$B,0)</f>
        <v>TAKI AGRO - SOCORRO</v>
      </c>
    </row>
    <row r="263" spans="1:18" x14ac:dyDescent="0.25">
      <c r="A263">
        <v>14348</v>
      </c>
      <c r="B263" t="s">
        <v>452</v>
      </c>
      <c r="C263" t="s">
        <v>498</v>
      </c>
      <c r="D263" s="34">
        <v>131567.4</v>
      </c>
      <c r="E263">
        <v>1246216319</v>
      </c>
      <c r="F263" s="30">
        <v>46133</v>
      </c>
      <c r="G263" s="30"/>
      <c r="H263" t="s">
        <v>173</v>
      </c>
      <c r="I263" t="s">
        <v>174</v>
      </c>
      <c r="J263">
        <v>2021</v>
      </c>
      <c r="K263" s="30">
        <v>45806</v>
      </c>
      <c r="L263">
        <v>1010100</v>
      </c>
      <c r="M263" t="s">
        <v>35</v>
      </c>
      <c r="N263">
        <v>161</v>
      </c>
      <c r="O263" t="s">
        <v>161</v>
      </c>
      <c r="P263" t="s">
        <v>452</v>
      </c>
      <c r="Q263">
        <f t="shared" si="5"/>
        <v>-22</v>
      </c>
      <c r="R263" t="str">
        <f>_xlfn.XLOOKUP(P263,'Painel Fertilizers'!$B:$B,'Painel Fertilizers'!$B:$B,0)</f>
        <v>FAZENDA SANTA ELIZA</v>
      </c>
    </row>
    <row r="264" spans="1:18" x14ac:dyDescent="0.25">
      <c r="A264">
        <v>14348</v>
      </c>
      <c r="B264" t="s">
        <v>452</v>
      </c>
      <c r="C264" t="s">
        <v>498</v>
      </c>
      <c r="D264" s="34">
        <v>188669.12</v>
      </c>
      <c r="E264">
        <v>1246215914</v>
      </c>
      <c r="F264" s="30">
        <v>46132</v>
      </c>
      <c r="G264" s="30"/>
      <c r="H264" t="s">
        <v>173</v>
      </c>
      <c r="I264" t="s">
        <v>174</v>
      </c>
      <c r="J264">
        <v>7942</v>
      </c>
      <c r="K264" s="30">
        <v>45805</v>
      </c>
      <c r="L264">
        <v>1010100</v>
      </c>
      <c r="M264" t="s">
        <v>35</v>
      </c>
      <c r="N264">
        <v>161</v>
      </c>
      <c r="O264" t="s">
        <v>161</v>
      </c>
      <c r="P264" t="s">
        <v>452</v>
      </c>
      <c r="Q264">
        <f t="shared" si="5"/>
        <v>-21</v>
      </c>
      <c r="R264" t="str">
        <f>_xlfn.XLOOKUP(P264,'Painel Fertilizers'!$B:$B,'Painel Fertilizers'!$B:$B,0)</f>
        <v>FAZENDA SANTA ELIZA</v>
      </c>
    </row>
    <row r="265" spans="1:18" x14ac:dyDescent="0.25">
      <c r="A265">
        <v>14348</v>
      </c>
      <c r="B265" t="s">
        <v>452</v>
      </c>
      <c r="C265" t="s">
        <v>498</v>
      </c>
      <c r="D265" s="34">
        <v>188669.12</v>
      </c>
      <c r="E265">
        <v>1246215868</v>
      </c>
      <c r="F265" s="30">
        <v>46132</v>
      </c>
      <c r="G265" s="30"/>
      <c r="H265" t="s">
        <v>173</v>
      </c>
      <c r="I265" t="s">
        <v>174</v>
      </c>
      <c r="J265">
        <v>7933</v>
      </c>
      <c r="K265" s="30">
        <v>45805</v>
      </c>
      <c r="L265">
        <v>1010100</v>
      </c>
      <c r="M265" t="s">
        <v>35</v>
      </c>
      <c r="N265">
        <v>161</v>
      </c>
      <c r="O265" t="s">
        <v>161</v>
      </c>
      <c r="P265" t="s">
        <v>452</v>
      </c>
      <c r="Q265">
        <f t="shared" si="5"/>
        <v>-21</v>
      </c>
      <c r="R265" t="str">
        <f>_xlfn.XLOOKUP(P265,'Painel Fertilizers'!$B:$B,'Painel Fertilizers'!$B:$B,0)</f>
        <v>FAZENDA SANTA ELIZA</v>
      </c>
    </row>
    <row r="266" spans="1:18" x14ac:dyDescent="0.25">
      <c r="A266">
        <v>14348</v>
      </c>
      <c r="B266" t="s">
        <v>452</v>
      </c>
      <c r="C266" t="s">
        <v>498</v>
      </c>
      <c r="D266" s="34">
        <v>131567.4</v>
      </c>
      <c r="E266">
        <v>1246216133</v>
      </c>
      <c r="F266" s="30">
        <v>46133</v>
      </c>
      <c r="G266" s="30"/>
      <c r="H266" t="s">
        <v>173</v>
      </c>
      <c r="I266" t="s">
        <v>174</v>
      </c>
      <c r="J266">
        <v>7957</v>
      </c>
      <c r="K266" s="30">
        <v>45806</v>
      </c>
      <c r="L266">
        <v>1010100</v>
      </c>
      <c r="M266" t="s">
        <v>35</v>
      </c>
      <c r="N266">
        <v>161</v>
      </c>
      <c r="O266" t="s">
        <v>161</v>
      </c>
      <c r="P266" t="s">
        <v>452</v>
      </c>
      <c r="Q266">
        <f t="shared" si="5"/>
        <v>-22</v>
      </c>
      <c r="R266" t="str">
        <f>_xlfn.XLOOKUP(P266,'Painel Fertilizers'!$B:$B,'Painel Fertilizers'!$B:$B,0)</f>
        <v>FAZENDA SANTA ELIZA</v>
      </c>
    </row>
    <row r="267" spans="1:18" x14ac:dyDescent="0.25">
      <c r="A267">
        <v>14552</v>
      </c>
      <c r="B267" t="s">
        <v>335</v>
      </c>
      <c r="C267" t="s">
        <v>336</v>
      </c>
      <c r="D267" s="34">
        <v>91336</v>
      </c>
      <c r="E267">
        <v>1246259067</v>
      </c>
      <c r="F267" s="30">
        <v>46141</v>
      </c>
      <c r="G267" s="30"/>
      <c r="H267" t="s">
        <v>173</v>
      </c>
      <c r="I267" t="s">
        <v>174</v>
      </c>
      <c r="J267">
        <v>8636</v>
      </c>
      <c r="K267" s="30">
        <v>45866</v>
      </c>
      <c r="L267">
        <v>1010100</v>
      </c>
      <c r="M267" t="s">
        <v>35</v>
      </c>
      <c r="N267">
        <v>7</v>
      </c>
      <c r="O267" t="s">
        <v>654</v>
      </c>
      <c r="P267" t="s">
        <v>335</v>
      </c>
      <c r="Q267">
        <f t="shared" si="5"/>
        <v>-30</v>
      </c>
      <c r="R267" t="str">
        <f>_xlfn.XLOOKUP(P267,'Painel Fertilizers'!$B:$B,'Painel Fertilizers'!$B:$B,0)</f>
        <v>GA AGRONEGOCIOS</v>
      </c>
    </row>
    <row r="268" spans="1:18" x14ac:dyDescent="0.25">
      <c r="A268">
        <v>14552</v>
      </c>
      <c r="B268" t="s">
        <v>335</v>
      </c>
      <c r="C268" t="s">
        <v>336</v>
      </c>
      <c r="D268" s="34">
        <v>85316</v>
      </c>
      <c r="E268">
        <v>1246259061</v>
      </c>
      <c r="F268" s="30">
        <v>46142</v>
      </c>
      <c r="G268" s="30"/>
      <c r="H268" t="s">
        <v>173</v>
      </c>
      <c r="I268" t="s">
        <v>174</v>
      </c>
      <c r="J268">
        <v>8620</v>
      </c>
      <c r="K268" s="30">
        <v>45863</v>
      </c>
      <c r="L268">
        <v>1010100</v>
      </c>
      <c r="M268" t="s">
        <v>35</v>
      </c>
      <c r="N268">
        <v>7</v>
      </c>
      <c r="O268" t="s">
        <v>654</v>
      </c>
      <c r="P268" t="s">
        <v>335</v>
      </c>
      <c r="Q268">
        <f t="shared" si="5"/>
        <v>-31</v>
      </c>
      <c r="R268" t="str">
        <f>_xlfn.XLOOKUP(P268,'Painel Fertilizers'!$B:$B,'Painel Fertilizers'!$B:$B,0)</f>
        <v>GA AGRONEGOCIOS</v>
      </c>
    </row>
    <row r="269" spans="1:18" x14ac:dyDescent="0.25">
      <c r="A269">
        <v>14552</v>
      </c>
      <c r="B269" t="s">
        <v>335</v>
      </c>
      <c r="C269" t="s">
        <v>336</v>
      </c>
      <c r="D269" s="34">
        <v>156088</v>
      </c>
      <c r="E269">
        <v>1246226199</v>
      </c>
      <c r="F269" s="30">
        <v>46142</v>
      </c>
      <c r="G269" s="30"/>
      <c r="H269" t="s">
        <v>173</v>
      </c>
      <c r="I269" t="s">
        <v>174</v>
      </c>
      <c r="J269">
        <v>8567</v>
      </c>
      <c r="K269" s="30">
        <v>45859</v>
      </c>
      <c r="L269">
        <v>1010100</v>
      </c>
      <c r="M269" t="s">
        <v>35</v>
      </c>
      <c r="N269">
        <v>161</v>
      </c>
      <c r="O269" t="s">
        <v>161</v>
      </c>
      <c r="P269" t="s">
        <v>335</v>
      </c>
      <c r="Q269">
        <f t="shared" si="5"/>
        <v>-31</v>
      </c>
      <c r="R269" t="str">
        <f>_xlfn.XLOOKUP(P269,'Painel Fertilizers'!$B:$B,'Painel Fertilizers'!$B:$B,0)</f>
        <v>GA AGRONEGOCIOS</v>
      </c>
    </row>
    <row r="270" spans="1:18" x14ac:dyDescent="0.25">
      <c r="A270">
        <v>14552</v>
      </c>
      <c r="B270" t="s">
        <v>335</v>
      </c>
      <c r="C270" t="s">
        <v>336</v>
      </c>
      <c r="D270" s="34">
        <v>194626</v>
      </c>
      <c r="E270">
        <v>1246240017</v>
      </c>
      <c r="F270" s="30">
        <v>46143</v>
      </c>
      <c r="G270" s="30"/>
      <c r="H270" t="s">
        <v>173</v>
      </c>
      <c r="I270" t="s">
        <v>174</v>
      </c>
      <c r="J270">
        <v>9500</v>
      </c>
      <c r="K270" s="30">
        <v>45929</v>
      </c>
      <c r="L270">
        <v>1010100</v>
      </c>
      <c r="M270" t="s">
        <v>35</v>
      </c>
      <c r="N270">
        <v>161</v>
      </c>
      <c r="O270" t="s">
        <v>161</v>
      </c>
      <c r="P270" t="s">
        <v>335</v>
      </c>
      <c r="Q270">
        <f t="shared" si="5"/>
        <v>-32</v>
      </c>
      <c r="R270" t="str">
        <f>_xlfn.XLOOKUP(P270,'Painel Fertilizers'!$B:$B,'Painel Fertilizers'!$B:$B,0)</f>
        <v>GA AGRONEGOCIOS</v>
      </c>
    </row>
    <row r="271" spans="1:18" x14ac:dyDescent="0.25">
      <c r="A271">
        <v>14552</v>
      </c>
      <c r="B271" t="s">
        <v>335</v>
      </c>
      <c r="C271" t="s">
        <v>336</v>
      </c>
      <c r="D271" s="34">
        <v>176320</v>
      </c>
      <c r="E271">
        <v>1246225706</v>
      </c>
      <c r="F271" s="30">
        <v>46145</v>
      </c>
      <c r="G271" s="30"/>
      <c r="H271" t="s">
        <v>173</v>
      </c>
      <c r="I271" t="s">
        <v>174</v>
      </c>
      <c r="J271">
        <v>8525</v>
      </c>
      <c r="K271" s="30">
        <v>45855</v>
      </c>
      <c r="L271">
        <v>1010100</v>
      </c>
      <c r="M271" t="s">
        <v>35</v>
      </c>
      <c r="N271">
        <v>161</v>
      </c>
      <c r="O271" t="s">
        <v>161</v>
      </c>
      <c r="P271" t="s">
        <v>335</v>
      </c>
      <c r="Q271">
        <f t="shared" si="5"/>
        <v>-34</v>
      </c>
      <c r="R271" t="str">
        <f>_xlfn.XLOOKUP(P271,'Painel Fertilizers'!$B:$B,'Painel Fertilizers'!$B:$B,0)</f>
        <v>GA AGRONEGOCIOS</v>
      </c>
    </row>
    <row r="272" spans="1:18" x14ac:dyDescent="0.25">
      <c r="A272">
        <v>14552</v>
      </c>
      <c r="B272" t="s">
        <v>335</v>
      </c>
      <c r="C272" t="s">
        <v>336</v>
      </c>
      <c r="D272" s="34">
        <v>112043</v>
      </c>
      <c r="E272">
        <v>1246240517</v>
      </c>
      <c r="F272" s="30">
        <v>46144</v>
      </c>
      <c r="G272" s="30"/>
      <c r="H272" t="s">
        <v>173</v>
      </c>
      <c r="I272" t="s">
        <v>174</v>
      </c>
      <c r="J272">
        <v>9522</v>
      </c>
      <c r="K272" s="30">
        <v>45930</v>
      </c>
      <c r="L272">
        <v>1010100</v>
      </c>
      <c r="M272" t="s">
        <v>35</v>
      </c>
      <c r="N272">
        <v>161</v>
      </c>
      <c r="O272" t="s">
        <v>161</v>
      </c>
      <c r="P272" t="s">
        <v>335</v>
      </c>
      <c r="Q272">
        <f t="shared" si="5"/>
        <v>-33</v>
      </c>
      <c r="R272" t="str">
        <f>_xlfn.XLOOKUP(P272,'Painel Fertilizers'!$B:$B,'Painel Fertilizers'!$B:$B,0)</f>
        <v>GA AGRONEGOCIOS</v>
      </c>
    </row>
    <row r="273" spans="1:18" x14ac:dyDescent="0.25">
      <c r="A273">
        <v>14848</v>
      </c>
      <c r="B273" t="s">
        <v>377</v>
      </c>
      <c r="C273" t="s">
        <v>659</v>
      </c>
      <c r="D273" s="34">
        <v>207773.56999999998</v>
      </c>
      <c r="E273">
        <v>1246230064</v>
      </c>
      <c r="F273" s="30">
        <v>46162</v>
      </c>
      <c r="G273" s="30"/>
      <c r="H273" t="s">
        <v>173</v>
      </c>
      <c r="I273" t="s">
        <v>174</v>
      </c>
      <c r="J273">
        <v>8811</v>
      </c>
      <c r="K273" s="30">
        <v>45877</v>
      </c>
      <c r="L273">
        <v>1010100</v>
      </c>
      <c r="M273" t="s">
        <v>35</v>
      </c>
      <c r="N273">
        <v>161</v>
      </c>
      <c r="O273" t="s">
        <v>161</v>
      </c>
      <c r="P273" t="s">
        <v>377</v>
      </c>
      <c r="Q273">
        <f t="shared" si="5"/>
        <v>-51</v>
      </c>
      <c r="R273" t="str">
        <f>_xlfn.XLOOKUP(P273,'Painel Fertilizers'!$B:$B,'Painel Fertilizers'!$B:$B,0)</f>
        <v>FAZENDA FERRADURA</v>
      </c>
    </row>
    <row r="274" spans="1:18" x14ac:dyDescent="0.25">
      <c r="A274">
        <v>14848</v>
      </c>
      <c r="B274" t="s">
        <v>377</v>
      </c>
      <c r="C274" t="s">
        <v>659</v>
      </c>
      <c r="D274" s="34">
        <v>121554.34</v>
      </c>
      <c r="E274">
        <v>1246230701</v>
      </c>
      <c r="F274" s="30">
        <v>46164</v>
      </c>
      <c r="G274" s="30"/>
      <c r="H274" t="s">
        <v>173</v>
      </c>
      <c r="I274" t="s">
        <v>174</v>
      </c>
      <c r="J274">
        <v>8856</v>
      </c>
      <c r="K274" s="30">
        <v>45881</v>
      </c>
      <c r="L274">
        <v>1010100</v>
      </c>
      <c r="M274" t="s">
        <v>35</v>
      </c>
      <c r="N274">
        <v>161</v>
      </c>
      <c r="O274" t="s">
        <v>161</v>
      </c>
      <c r="P274" t="s">
        <v>377</v>
      </c>
      <c r="Q274">
        <f t="shared" si="5"/>
        <v>-53</v>
      </c>
      <c r="R274" t="str">
        <f>_xlfn.XLOOKUP(P274,'Painel Fertilizers'!$B:$B,'Painel Fertilizers'!$B:$B,0)</f>
        <v>FAZENDA FERRADURA</v>
      </c>
    </row>
    <row r="275" spans="1:18" x14ac:dyDescent="0.25">
      <c r="A275">
        <v>14396</v>
      </c>
      <c r="B275" t="s">
        <v>270</v>
      </c>
      <c r="C275" t="s">
        <v>271</v>
      </c>
      <c r="D275" s="34">
        <v>137598</v>
      </c>
      <c r="E275">
        <v>1246163527</v>
      </c>
      <c r="F275" s="30">
        <v>45779</v>
      </c>
      <c r="G275" s="30"/>
      <c r="H275" t="s">
        <v>173</v>
      </c>
      <c r="I275" t="s">
        <v>174</v>
      </c>
      <c r="J275">
        <v>4649</v>
      </c>
      <c r="K275" s="30">
        <v>45511</v>
      </c>
      <c r="L275">
        <v>1010100</v>
      </c>
      <c r="M275" t="s">
        <v>35</v>
      </c>
      <c r="N275">
        <v>161</v>
      </c>
      <c r="O275" t="s">
        <v>161</v>
      </c>
      <c r="P275" t="s">
        <v>270</v>
      </c>
      <c r="Q275">
        <f t="shared" si="5"/>
        <v>332</v>
      </c>
      <c r="R275" t="str">
        <f>_xlfn.XLOOKUP(P275,'Painel Fertilizers'!$B:$B,'Painel Fertilizers'!$B:$B,0)</f>
        <v>FAZENDA ARCOS SÃO JOÃO</v>
      </c>
    </row>
    <row r="276" spans="1:18" x14ac:dyDescent="0.25">
      <c r="A276">
        <v>14396</v>
      </c>
      <c r="B276" t="s">
        <v>270</v>
      </c>
      <c r="C276" t="s">
        <v>271</v>
      </c>
      <c r="D276" s="34">
        <v>121086.24</v>
      </c>
      <c r="E276">
        <v>1246160799</v>
      </c>
      <c r="F276" s="30">
        <v>45779</v>
      </c>
      <c r="G276" s="30"/>
      <c r="H276" t="s">
        <v>173</v>
      </c>
      <c r="I276" t="s">
        <v>174</v>
      </c>
      <c r="J276">
        <v>4489</v>
      </c>
      <c r="K276" s="30">
        <v>45499</v>
      </c>
      <c r="L276">
        <v>1010100</v>
      </c>
      <c r="M276" t="s">
        <v>35</v>
      </c>
      <c r="N276">
        <v>161</v>
      </c>
      <c r="O276" t="s">
        <v>161</v>
      </c>
      <c r="P276" t="s">
        <v>270</v>
      </c>
      <c r="Q276">
        <f t="shared" si="5"/>
        <v>332</v>
      </c>
      <c r="R276" t="str">
        <f>_xlfn.XLOOKUP(P276,'Painel Fertilizers'!$B:$B,'Painel Fertilizers'!$B:$B,0)</f>
        <v>FAZENDA ARCOS SÃO JOÃO</v>
      </c>
    </row>
    <row r="277" spans="1:18" x14ac:dyDescent="0.25">
      <c r="A277">
        <v>14396</v>
      </c>
      <c r="B277" t="s">
        <v>270</v>
      </c>
      <c r="C277" t="s">
        <v>271</v>
      </c>
      <c r="D277" s="34">
        <v>145692</v>
      </c>
      <c r="E277">
        <v>1246160793</v>
      </c>
      <c r="F277" s="30">
        <v>45779</v>
      </c>
      <c r="G277" s="30"/>
      <c r="H277" t="s">
        <v>173</v>
      </c>
      <c r="I277" t="s">
        <v>174</v>
      </c>
      <c r="J277">
        <v>4485</v>
      </c>
      <c r="K277" s="30">
        <v>45499</v>
      </c>
      <c r="L277">
        <v>1010100</v>
      </c>
      <c r="M277" t="s">
        <v>35</v>
      </c>
      <c r="N277">
        <v>161</v>
      </c>
      <c r="O277" t="s">
        <v>161</v>
      </c>
      <c r="P277" t="s">
        <v>270</v>
      </c>
      <c r="Q277">
        <f t="shared" si="5"/>
        <v>332</v>
      </c>
      <c r="R277" t="str">
        <f>_xlfn.XLOOKUP(P277,'Painel Fertilizers'!$B:$B,'Painel Fertilizers'!$B:$B,0)</f>
        <v>FAZENDA ARCOS SÃO JOÃO</v>
      </c>
    </row>
    <row r="278" spans="1:18" x14ac:dyDescent="0.25">
      <c r="A278">
        <v>14396</v>
      </c>
      <c r="B278" t="s">
        <v>270</v>
      </c>
      <c r="C278" t="s">
        <v>271</v>
      </c>
      <c r="D278" s="34">
        <v>121410</v>
      </c>
      <c r="E278">
        <v>1246180565</v>
      </c>
      <c r="F278" s="30">
        <v>45776</v>
      </c>
      <c r="G278" s="30"/>
      <c r="H278" t="s">
        <v>173</v>
      </c>
      <c r="I278" t="s">
        <v>174</v>
      </c>
      <c r="J278">
        <v>5953</v>
      </c>
      <c r="K278" s="30">
        <v>45600</v>
      </c>
      <c r="L278">
        <v>1010100</v>
      </c>
      <c r="M278" t="s">
        <v>35</v>
      </c>
      <c r="N278">
        <v>161</v>
      </c>
      <c r="O278" t="s">
        <v>161</v>
      </c>
      <c r="P278" t="s">
        <v>270</v>
      </c>
      <c r="Q278">
        <f t="shared" si="5"/>
        <v>335</v>
      </c>
      <c r="R278" t="str">
        <f>_xlfn.XLOOKUP(P278,'Painel Fertilizers'!$B:$B,'Painel Fertilizers'!$B:$B,0)</f>
        <v>FAZENDA ARCOS SÃO JOÃO</v>
      </c>
    </row>
    <row r="279" spans="1:18" x14ac:dyDescent="0.25">
      <c r="A279">
        <v>14396</v>
      </c>
      <c r="B279" t="s">
        <v>270</v>
      </c>
      <c r="C279" t="s">
        <v>271</v>
      </c>
      <c r="D279" s="34">
        <v>171360</v>
      </c>
      <c r="E279">
        <v>1246202562</v>
      </c>
      <c r="F279" s="30">
        <v>45930</v>
      </c>
      <c r="G279" s="30"/>
      <c r="H279" t="s">
        <v>173</v>
      </c>
      <c r="I279" t="s">
        <v>174</v>
      </c>
      <c r="J279">
        <v>7204</v>
      </c>
      <c r="K279" s="30">
        <v>45728</v>
      </c>
      <c r="L279">
        <v>1010100</v>
      </c>
      <c r="M279" t="s">
        <v>35</v>
      </c>
      <c r="N279">
        <v>161</v>
      </c>
      <c r="O279" t="s">
        <v>161</v>
      </c>
      <c r="P279" t="s">
        <v>270</v>
      </c>
      <c r="Q279">
        <f t="shared" si="5"/>
        <v>181</v>
      </c>
      <c r="R279" t="str">
        <f>_xlfn.XLOOKUP(P279,'Painel Fertilizers'!$B:$B,'Painel Fertilizers'!$B:$B,0)</f>
        <v>FAZENDA ARCOS SÃO JOÃO</v>
      </c>
    </row>
    <row r="280" spans="1:18" x14ac:dyDescent="0.25">
      <c r="A280">
        <v>14396</v>
      </c>
      <c r="B280" t="s">
        <v>270</v>
      </c>
      <c r="C280" t="s">
        <v>271</v>
      </c>
      <c r="D280" s="34">
        <v>4000</v>
      </c>
      <c r="E280">
        <v>1246203613</v>
      </c>
      <c r="F280" s="30">
        <v>45920</v>
      </c>
      <c r="G280" s="30"/>
      <c r="H280" t="s">
        <v>173</v>
      </c>
      <c r="I280" t="s">
        <v>174</v>
      </c>
      <c r="J280">
        <v>7286</v>
      </c>
      <c r="K280" s="30">
        <v>45735</v>
      </c>
      <c r="L280">
        <v>1010100</v>
      </c>
      <c r="M280" t="s">
        <v>35</v>
      </c>
      <c r="N280">
        <v>161</v>
      </c>
      <c r="O280" t="s">
        <v>161</v>
      </c>
      <c r="P280" t="s">
        <v>270</v>
      </c>
      <c r="Q280">
        <f t="shared" si="5"/>
        <v>191</v>
      </c>
      <c r="R280" t="str">
        <f>_xlfn.XLOOKUP(P280,'Painel Fertilizers'!$B:$B,'Painel Fertilizers'!$B:$B,0)</f>
        <v>FAZENDA ARCOS SÃO JOÃO</v>
      </c>
    </row>
    <row r="281" spans="1:18" x14ac:dyDescent="0.25">
      <c r="A281">
        <v>14396</v>
      </c>
      <c r="B281" t="s">
        <v>270</v>
      </c>
      <c r="C281" t="s">
        <v>271</v>
      </c>
      <c r="D281" s="34">
        <v>139680</v>
      </c>
      <c r="E281">
        <v>1246199147</v>
      </c>
      <c r="F281" s="30">
        <v>45889</v>
      </c>
      <c r="G281" s="30"/>
      <c r="H281" t="s">
        <v>173</v>
      </c>
      <c r="I281" t="s">
        <v>174</v>
      </c>
      <c r="J281">
        <v>6996</v>
      </c>
      <c r="K281" s="30">
        <v>45706</v>
      </c>
      <c r="L281">
        <v>1010100</v>
      </c>
      <c r="M281" t="s">
        <v>35</v>
      </c>
      <c r="N281">
        <v>161</v>
      </c>
      <c r="O281" t="s">
        <v>161</v>
      </c>
      <c r="P281" t="s">
        <v>270</v>
      </c>
      <c r="Q281">
        <f t="shared" si="5"/>
        <v>222</v>
      </c>
      <c r="R281" t="str">
        <f>_xlfn.XLOOKUP(P281,'Painel Fertilizers'!$B:$B,'Painel Fertilizers'!$B:$B,0)</f>
        <v>FAZENDA ARCOS SÃO JOÃO</v>
      </c>
    </row>
    <row r="282" spans="1:18" x14ac:dyDescent="0.25">
      <c r="A282">
        <v>14396</v>
      </c>
      <c r="B282" t="s">
        <v>270</v>
      </c>
      <c r="C282" t="s">
        <v>271</v>
      </c>
      <c r="D282" s="34">
        <v>139680</v>
      </c>
      <c r="E282">
        <v>1246199209</v>
      </c>
      <c r="F282" s="30">
        <v>45889</v>
      </c>
      <c r="G282" s="30"/>
      <c r="H282" t="s">
        <v>173</v>
      </c>
      <c r="I282" t="s">
        <v>174</v>
      </c>
      <c r="J282">
        <v>7005</v>
      </c>
      <c r="K282" s="30">
        <v>45706</v>
      </c>
      <c r="L282">
        <v>1010100</v>
      </c>
      <c r="M282" t="s">
        <v>35</v>
      </c>
      <c r="N282">
        <v>161</v>
      </c>
      <c r="O282" t="s">
        <v>161</v>
      </c>
      <c r="P282" t="s">
        <v>270</v>
      </c>
      <c r="Q282">
        <f t="shared" si="5"/>
        <v>222</v>
      </c>
      <c r="R282" t="str">
        <f>_xlfn.XLOOKUP(P282,'Painel Fertilizers'!$B:$B,'Painel Fertilizers'!$B:$B,0)</f>
        <v>FAZENDA ARCOS SÃO JOÃO</v>
      </c>
    </row>
    <row r="283" spans="1:18" x14ac:dyDescent="0.25">
      <c r="A283">
        <v>14396</v>
      </c>
      <c r="B283" t="s">
        <v>270</v>
      </c>
      <c r="C283" t="s">
        <v>271</v>
      </c>
      <c r="D283" s="34">
        <v>8000</v>
      </c>
      <c r="E283">
        <v>1246205781</v>
      </c>
      <c r="F283" s="30">
        <v>45920</v>
      </c>
      <c r="G283" s="30"/>
      <c r="H283" t="s">
        <v>173</v>
      </c>
      <c r="I283" t="s">
        <v>174</v>
      </c>
      <c r="J283">
        <v>7423</v>
      </c>
      <c r="K283" s="30">
        <v>45744</v>
      </c>
      <c r="L283">
        <v>1010100</v>
      </c>
      <c r="M283" t="s">
        <v>35</v>
      </c>
      <c r="N283">
        <v>161</v>
      </c>
      <c r="O283" t="s">
        <v>161</v>
      </c>
      <c r="P283" t="s">
        <v>270</v>
      </c>
      <c r="Q283">
        <f t="shared" si="5"/>
        <v>191</v>
      </c>
      <c r="R283" t="str">
        <f>_xlfn.XLOOKUP(P283,'Painel Fertilizers'!$B:$B,'Painel Fertilizers'!$B:$B,0)</f>
        <v>FAZENDA ARCOS SÃO JOÃO</v>
      </c>
    </row>
    <row r="284" spans="1:18" x14ac:dyDescent="0.25">
      <c r="A284">
        <v>16107</v>
      </c>
      <c r="B284" t="s">
        <v>581</v>
      </c>
      <c r="C284" t="s">
        <v>582</v>
      </c>
      <c r="D284" s="34">
        <v>58579.74</v>
      </c>
      <c r="E284">
        <v>1246235692</v>
      </c>
      <c r="F284" s="30">
        <v>46142</v>
      </c>
      <c r="G284" s="30"/>
      <c r="H284" t="s">
        <v>173</v>
      </c>
      <c r="I284" t="s">
        <v>174</v>
      </c>
      <c r="J284">
        <v>9246</v>
      </c>
      <c r="K284" s="30">
        <v>45908</v>
      </c>
      <c r="L284">
        <v>1010100</v>
      </c>
      <c r="M284" t="s">
        <v>35</v>
      </c>
      <c r="N284">
        <v>161</v>
      </c>
      <c r="O284" t="s">
        <v>161</v>
      </c>
      <c r="P284" t="s">
        <v>581</v>
      </c>
      <c r="Q284">
        <f t="shared" si="5"/>
        <v>-31</v>
      </c>
      <c r="R284" t="str">
        <f>_xlfn.XLOOKUP(P284,'Painel Fertilizers'!$B:$B,'Painel Fertilizers'!$B:$B,0)</f>
        <v>CONNTACTA AGRONEGOCIOS</v>
      </c>
    </row>
    <row r="285" spans="1:18" x14ac:dyDescent="0.25">
      <c r="A285">
        <v>16107</v>
      </c>
      <c r="B285" t="s">
        <v>581</v>
      </c>
      <c r="C285" t="s">
        <v>582</v>
      </c>
      <c r="D285" s="34">
        <v>120293.94</v>
      </c>
      <c r="E285">
        <v>1246234013</v>
      </c>
      <c r="F285" s="30">
        <v>46164</v>
      </c>
      <c r="G285" s="30"/>
      <c r="H285" t="s">
        <v>173</v>
      </c>
      <c r="I285" t="s">
        <v>174</v>
      </c>
      <c r="J285">
        <v>9130</v>
      </c>
      <c r="K285" s="30">
        <v>45898</v>
      </c>
      <c r="L285">
        <v>1010100</v>
      </c>
      <c r="M285" t="s">
        <v>35</v>
      </c>
      <c r="N285">
        <v>161</v>
      </c>
      <c r="O285" t="s">
        <v>161</v>
      </c>
      <c r="P285" t="s">
        <v>581</v>
      </c>
      <c r="Q285">
        <f t="shared" si="5"/>
        <v>-53</v>
      </c>
      <c r="R285" t="str">
        <f>_xlfn.XLOOKUP(P285,'Painel Fertilizers'!$B:$B,'Painel Fertilizers'!$B:$B,0)</f>
        <v>CONNTACTA AGRONEGOCIOS</v>
      </c>
    </row>
    <row r="286" spans="1:18" x14ac:dyDescent="0.25">
      <c r="A286">
        <v>16107</v>
      </c>
      <c r="B286" t="s">
        <v>581</v>
      </c>
      <c r="C286" t="s">
        <v>582</v>
      </c>
      <c r="D286" s="34">
        <v>52795.360000000001</v>
      </c>
      <c r="E286">
        <v>1246231811</v>
      </c>
      <c r="F286" s="30">
        <v>46144</v>
      </c>
      <c r="G286" s="30"/>
      <c r="H286" t="s">
        <v>173</v>
      </c>
      <c r="I286" t="s">
        <v>174</v>
      </c>
      <c r="J286">
        <v>8929</v>
      </c>
      <c r="K286" s="30">
        <v>45888</v>
      </c>
      <c r="L286">
        <v>1010100</v>
      </c>
      <c r="M286" t="s">
        <v>35</v>
      </c>
      <c r="N286">
        <v>161</v>
      </c>
      <c r="O286" t="s">
        <v>161</v>
      </c>
      <c r="P286" t="s">
        <v>581</v>
      </c>
      <c r="Q286">
        <f t="shared" si="5"/>
        <v>-33</v>
      </c>
      <c r="R286" t="str">
        <f>_xlfn.XLOOKUP(P286,'Painel Fertilizers'!$B:$B,'Painel Fertilizers'!$B:$B,0)</f>
        <v>CONNTACTA AGRONEGOCIOS</v>
      </c>
    </row>
    <row r="287" spans="1:18" x14ac:dyDescent="0.25">
      <c r="A287">
        <v>16107</v>
      </c>
      <c r="B287" t="s">
        <v>581</v>
      </c>
      <c r="C287" t="s">
        <v>582</v>
      </c>
      <c r="D287" s="34">
        <v>92391.88</v>
      </c>
      <c r="E287">
        <v>1246232362</v>
      </c>
      <c r="F287" s="30">
        <v>46144</v>
      </c>
      <c r="G287" s="30"/>
      <c r="H287" t="s">
        <v>173</v>
      </c>
      <c r="I287" t="s">
        <v>174</v>
      </c>
      <c r="J287">
        <v>8978</v>
      </c>
      <c r="K287" s="30">
        <v>45890</v>
      </c>
      <c r="L287">
        <v>1010100</v>
      </c>
      <c r="M287" t="s">
        <v>35</v>
      </c>
      <c r="N287">
        <v>161</v>
      </c>
      <c r="O287" t="s">
        <v>161</v>
      </c>
      <c r="P287" t="s">
        <v>581</v>
      </c>
      <c r="Q287">
        <f t="shared" si="5"/>
        <v>-33</v>
      </c>
      <c r="R287" t="str">
        <f>_xlfn.XLOOKUP(P287,'Painel Fertilizers'!$B:$B,'Painel Fertilizers'!$B:$B,0)</f>
        <v>CONNTACTA AGRONEGOCIOS</v>
      </c>
    </row>
    <row r="288" spans="1:18" x14ac:dyDescent="0.25">
      <c r="A288">
        <v>16107</v>
      </c>
      <c r="B288" t="s">
        <v>581</v>
      </c>
      <c r="C288" t="s">
        <v>582</v>
      </c>
      <c r="D288" s="34">
        <v>94968.9</v>
      </c>
      <c r="E288">
        <v>1246234271</v>
      </c>
      <c r="F288" s="30">
        <v>46167</v>
      </c>
      <c r="G288" s="30"/>
      <c r="H288" t="s">
        <v>173</v>
      </c>
      <c r="I288" t="s">
        <v>174</v>
      </c>
      <c r="J288">
        <v>9136</v>
      </c>
      <c r="K288" s="30">
        <v>45901</v>
      </c>
      <c r="L288">
        <v>1010100</v>
      </c>
      <c r="M288" t="s">
        <v>35</v>
      </c>
      <c r="N288">
        <v>161</v>
      </c>
      <c r="O288" t="s">
        <v>161</v>
      </c>
      <c r="P288" t="s">
        <v>581</v>
      </c>
      <c r="Q288">
        <f t="shared" si="5"/>
        <v>-56</v>
      </c>
      <c r="R288" t="str">
        <f>_xlfn.XLOOKUP(P288,'Painel Fertilizers'!$B:$B,'Painel Fertilizers'!$B:$B,0)</f>
        <v>CONNTACTA AGRONEGOCIOS</v>
      </c>
    </row>
    <row r="289" spans="1:18" x14ac:dyDescent="0.25">
      <c r="A289">
        <v>16107</v>
      </c>
      <c r="B289" t="s">
        <v>581</v>
      </c>
      <c r="C289" t="s">
        <v>582</v>
      </c>
      <c r="D289" s="34">
        <v>101300.16</v>
      </c>
      <c r="E289">
        <v>1246233237</v>
      </c>
      <c r="F289" s="30">
        <v>46162</v>
      </c>
      <c r="G289" s="30"/>
      <c r="H289" t="s">
        <v>173</v>
      </c>
      <c r="I289" t="s">
        <v>174</v>
      </c>
      <c r="J289">
        <v>9072</v>
      </c>
      <c r="K289" s="30">
        <v>45896</v>
      </c>
      <c r="L289">
        <v>1010100</v>
      </c>
      <c r="M289" t="s">
        <v>35</v>
      </c>
      <c r="N289">
        <v>161</v>
      </c>
      <c r="O289" t="s">
        <v>161</v>
      </c>
      <c r="P289" t="s">
        <v>581</v>
      </c>
      <c r="Q289">
        <f t="shared" si="5"/>
        <v>-51</v>
      </c>
      <c r="R289" t="str">
        <f>_xlfn.XLOOKUP(P289,'Painel Fertilizers'!$B:$B,'Painel Fertilizers'!$B:$B,0)</f>
        <v>CONNTACTA AGRONEGOCIOS</v>
      </c>
    </row>
    <row r="290" spans="1:18" x14ac:dyDescent="0.25">
      <c r="A290">
        <v>16107</v>
      </c>
      <c r="B290" t="s">
        <v>581</v>
      </c>
      <c r="C290" t="s">
        <v>582</v>
      </c>
      <c r="D290" s="34">
        <v>27054.5</v>
      </c>
      <c r="E290">
        <v>1246235694</v>
      </c>
      <c r="F290" s="30">
        <v>46142</v>
      </c>
      <c r="G290" s="30"/>
      <c r="H290" t="s">
        <v>173</v>
      </c>
      <c r="I290" t="s">
        <v>174</v>
      </c>
      <c r="J290">
        <v>9247</v>
      </c>
      <c r="K290" s="30">
        <v>45908</v>
      </c>
      <c r="L290">
        <v>1010100</v>
      </c>
      <c r="M290" t="s">
        <v>35</v>
      </c>
      <c r="N290">
        <v>161</v>
      </c>
      <c r="O290" t="s">
        <v>161</v>
      </c>
      <c r="P290" t="s">
        <v>581</v>
      </c>
      <c r="Q290">
        <f t="shared" si="5"/>
        <v>-31</v>
      </c>
      <c r="R290" t="str">
        <f>_xlfn.XLOOKUP(P290,'Painel Fertilizers'!$B:$B,'Painel Fertilizers'!$B:$B,0)</f>
        <v>CONNTACTA AGRONEGOCIOS</v>
      </c>
    </row>
    <row r="291" spans="1:18" x14ac:dyDescent="0.25">
      <c r="A291">
        <v>16107</v>
      </c>
      <c r="B291" t="s">
        <v>581</v>
      </c>
      <c r="C291" t="s">
        <v>582</v>
      </c>
      <c r="D291" s="34">
        <v>94968.9</v>
      </c>
      <c r="E291">
        <v>1246233894</v>
      </c>
      <c r="F291" s="30">
        <v>46164</v>
      </c>
      <c r="G291" s="30"/>
      <c r="H291" t="s">
        <v>173</v>
      </c>
      <c r="I291" t="s">
        <v>174</v>
      </c>
      <c r="J291">
        <v>9120</v>
      </c>
      <c r="K291" s="30">
        <v>45898</v>
      </c>
      <c r="L291">
        <v>1010100</v>
      </c>
      <c r="M291" t="s">
        <v>35</v>
      </c>
      <c r="N291">
        <v>161</v>
      </c>
      <c r="O291" t="s">
        <v>161</v>
      </c>
      <c r="P291" t="s">
        <v>581</v>
      </c>
      <c r="Q291">
        <f t="shared" si="5"/>
        <v>-53</v>
      </c>
      <c r="R291" t="str">
        <f>_xlfn.XLOOKUP(P291,'Painel Fertilizers'!$B:$B,'Painel Fertilizers'!$B:$B,0)</f>
        <v>CONNTACTA AGRONEGOCIOS</v>
      </c>
    </row>
    <row r="292" spans="1:18" x14ac:dyDescent="0.25">
      <c r="A292">
        <v>16107</v>
      </c>
      <c r="B292" t="s">
        <v>581</v>
      </c>
      <c r="C292" t="s">
        <v>582</v>
      </c>
      <c r="D292" s="34">
        <v>94968.9</v>
      </c>
      <c r="E292">
        <v>1246238555</v>
      </c>
      <c r="F292" s="30">
        <v>46164</v>
      </c>
      <c r="G292" s="30"/>
      <c r="H292" t="s">
        <v>173</v>
      </c>
      <c r="I292" t="s">
        <v>174</v>
      </c>
      <c r="J292">
        <v>9444</v>
      </c>
      <c r="K292" s="30">
        <v>45924</v>
      </c>
      <c r="L292">
        <v>1010100</v>
      </c>
      <c r="M292" t="s">
        <v>35</v>
      </c>
      <c r="N292">
        <v>161</v>
      </c>
      <c r="O292" t="s">
        <v>161</v>
      </c>
      <c r="P292" t="s">
        <v>581</v>
      </c>
      <c r="Q292">
        <f t="shared" si="5"/>
        <v>-53</v>
      </c>
      <c r="R292" t="str">
        <f>_xlfn.XLOOKUP(P292,'Painel Fertilizers'!$B:$B,'Painel Fertilizers'!$B:$B,0)</f>
        <v>CONNTACTA AGRONEGOCIOS</v>
      </c>
    </row>
    <row r="293" spans="1:18" x14ac:dyDescent="0.25">
      <c r="A293">
        <v>16107</v>
      </c>
      <c r="B293" t="s">
        <v>581</v>
      </c>
      <c r="C293" t="s">
        <v>582</v>
      </c>
      <c r="D293" s="34">
        <v>2217.7800000000002</v>
      </c>
      <c r="E293">
        <v>1246235696</v>
      </c>
      <c r="F293" s="30">
        <v>46142</v>
      </c>
      <c r="G293" s="30"/>
      <c r="H293" t="s">
        <v>173</v>
      </c>
      <c r="I293" t="s">
        <v>174</v>
      </c>
      <c r="J293">
        <v>9248</v>
      </c>
      <c r="K293" s="30">
        <v>45908</v>
      </c>
      <c r="L293">
        <v>1010100</v>
      </c>
      <c r="M293" t="s">
        <v>35</v>
      </c>
      <c r="N293">
        <v>161</v>
      </c>
      <c r="O293" t="s">
        <v>161</v>
      </c>
      <c r="P293" t="s">
        <v>581</v>
      </c>
      <c r="Q293">
        <f t="shared" si="5"/>
        <v>-31</v>
      </c>
      <c r="R293" t="str">
        <f>_xlfn.XLOOKUP(P293,'Painel Fertilizers'!$B:$B,'Painel Fertilizers'!$B:$B,0)</f>
        <v>CONNTACTA AGRONEGOCIOS</v>
      </c>
    </row>
    <row r="294" spans="1:18" x14ac:dyDescent="0.25">
      <c r="A294">
        <v>15917</v>
      </c>
      <c r="B294" t="s">
        <v>671</v>
      </c>
      <c r="C294" t="s">
        <v>695</v>
      </c>
      <c r="D294" s="34">
        <v>8176</v>
      </c>
      <c r="E294">
        <v>1246241844</v>
      </c>
      <c r="F294" s="30">
        <v>46143</v>
      </c>
      <c r="G294" s="30"/>
      <c r="H294" t="s">
        <v>173</v>
      </c>
      <c r="I294" t="s">
        <v>174</v>
      </c>
      <c r="J294">
        <v>9608</v>
      </c>
      <c r="K294" s="30">
        <v>45937</v>
      </c>
      <c r="L294">
        <v>1010100</v>
      </c>
      <c r="M294" t="s">
        <v>35</v>
      </c>
      <c r="N294">
        <v>161</v>
      </c>
      <c r="O294" t="s">
        <v>161</v>
      </c>
      <c r="P294" t="s">
        <v>671</v>
      </c>
      <c r="Q294">
        <f t="shared" si="5"/>
        <v>-32</v>
      </c>
      <c r="R294" t="str">
        <f>_xlfn.XLOOKUP(P294,'Painel Fertilizers'!$B:$B,'Painel Fertilizers'!$B:$B,0)</f>
        <v>MINAS FARM</v>
      </c>
    </row>
    <row r="295" spans="1:18" x14ac:dyDescent="0.25">
      <c r="A295">
        <v>15917</v>
      </c>
      <c r="B295" t="s">
        <v>671</v>
      </c>
      <c r="C295" t="s">
        <v>695</v>
      </c>
      <c r="D295" s="34">
        <v>2564.1</v>
      </c>
      <c r="E295">
        <v>1246237253</v>
      </c>
      <c r="F295" s="30">
        <v>46142</v>
      </c>
      <c r="G295" s="30"/>
      <c r="H295" t="s">
        <v>173</v>
      </c>
      <c r="I295" t="s">
        <v>174</v>
      </c>
      <c r="J295">
        <v>9360</v>
      </c>
      <c r="K295" s="30">
        <v>45918</v>
      </c>
      <c r="L295">
        <v>1010100</v>
      </c>
      <c r="M295" t="s">
        <v>35</v>
      </c>
      <c r="N295">
        <v>161</v>
      </c>
      <c r="O295" t="s">
        <v>161</v>
      </c>
      <c r="P295" t="s">
        <v>671</v>
      </c>
      <c r="Q295">
        <f t="shared" si="5"/>
        <v>-31</v>
      </c>
      <c r="R295" t="str">
        <f>_xlfn.XLOOKUP(P295,'Painel Fertilizers'!$B:$B,'Painel Fertilizers'!$B:$B,0)</f>
        <v>MINAS FARM</v>
      </c>
    </row>
    <row r="296" spans="1:18" x14ac:dyDescent="0.25">
      <c r="A296">
        <v>15917</v>
      </c>
      <c r="B296" t="s">
        <v>671</v>
      </c>
      <c r="C296" t="s">
        <v>695</v>
      </c>
      <c r="D296" s="34">
        <v>3492</v>
      </c>
      <c r="E296">
        <v>1246240189</v>
      </c>
      <c r="F296" s="30">
        <v>46154</v>
      </c>
      <c r="G296" s="30"/>
      <c r="H296" t="s">
        <v>173</v>
      </c>
      <c r="I296" t="s">
        <v>174</v>
      </c>
      <c r="J296">
        <v>9509</v>
      </c>
      <c r="K296" s="30">
        <v>45930</v>
      </c>
      <c r="L296">
        <v>1010100</v>
      </c>
      <c r="M296" t="s">
        <v>35</v>
      </c>
      <c r="N296">
        <v>161</v>
      </c>
      <c r="O296" t="s">
        <v>161</v>
      </c>
      <c r="P296" t="s">
        <v>671</v>
      </c>
      <c r="Q296">
        <f t="shared" si="5"/>
        <v>-43</v>
      </c>
      <c r="R296" t="str">
        <f>_xlfn.XLOOKUP(P296,'Painel Fertilizers'!$B:$B,'Painel Fertilizers'!$B:$B,0)</f>
        <v>MINAS FARM</v>
      </c>
    </row>
    <row r="297" spans="1:18" x14ac:dyDescent="0.25">
      <c r="A297">
        <v>15917</v>
      </c>
      <c r="B297" t="s">
        <v>671</v>
      </c>
      <c r="C297" t="s">
        <v>695</v>
      </c>
      <c r="D297" s="34">
        <v>6293.7</v>
      </c>
      <c r="E297">
        <v>1246241843</v>
      </c>
      <c r="F297" s="30">
        <v>46143</v>
      </c>
      <c r="G297" s="30"/>
      <c r="H297" t="s">
        <v>173</v>
      </c>
      <c r="I297" t="s">
        <v>174</v>
      </c>
      <c r="J297">
        <v>9607</v>
      </c>
      <c r="K297" s="30">
        <v>45937</v>
      </c>
      <c r="L297">
        <v>1010100</v>
      </c>
      <c r="M297" t="s">
        <v>35</v>
      </c>
      <c r="N297">
        <v>161</v>
      </c>
      <c r="O297" t="s">
        <v>161</v>
      </c>
      <c r="P297" t="s">
        <v>671</v>
      </c>
      <c r="Q297">
        <f t="shared" si="5"/>
        <v>-32</v>
      </c>
      <c r="R297" t="str">
        <f>_xlfn.XLOOKUP(P297,'Painel Fertilizers'!$B:$B,'Painel Fertilizers'!$B:$B,0)</f>
        <v>MINAS FARM</v>
      </c>
    </row>
    <row r="298" spans="1:18" x14ac:dyDescent="0.25">
      <c r="A298">
        <v>17497</v>
      </c>
      <c r="B298" t="s">
        <v>864</v>
      </c>
      <c r="C298" t="s">
        <v>883</v>
      </c>
      <c r="D298" s="34">
        <v>11278.17</v>
      </c>
      <c r="E298">
        <v>1246267007</v>
      </c>
      <c r="F298" s="30">
        <v>46120</v>
      </c>
      <c r="G298" s="30"/>
      <c r="H298" t="s">
        <v>173</v>
      </c>
      <c r="I298" t="s">
        <v>174</v>
      </c>
      <c r="J298">
        <v>10842</v>
      </c>
      <c r="K298" s="30">
        <v>46090</v>
      </c>
      <c r="L298">
        <v>1010100</v>
      </c>
      <c r="M298" t="s">
        <v>35</v>
      </c>
      <c r="N298">
        <v>161</v>
      </c>
      <c r="O298" t="s">
        <v>161</v>
      </c>
      <c r="P298" t="s">
        <v>864</v>
      </c>
      <c r="Q298">
        <f t="shared" si="5"/>
        <v>-9</v>
      </c>
      <c r="R298" t="str">
        <f>_xlfn.XLOOKUP(P298,'Painel Fertilizers'!$B:$B,'Painel Fertilizers'!$B:$B,0)</f>
        <v>ABSOLUTA AGRO</v>
      </c>
    </row>
    <row r="299" spans="1:18" x14ac:dyDescent="0.25">
      <c r="D299" s="34"/>
      <c r="F299" s="30"/>
      <c r="K299" s="30"/>
      <c r="Q299">
        <f t="shared" si="5"/>
        <v>46111</v>
      </c>
      <c r="R299">
        <f>_xlfn.XLOOKUP(P299,'Painel Fertilizers'!$B:$B,'Painel Fertilizers'!$B:$B,0)</f>
        <v>0</v>
      </c>
    </row>
    <row r="300" spans="1:18" x14ac:dyDescent="0.25">
      <c r="D300" s="34"/>
      <c r="F300" s="30"/>
      <c r="K300" s="30"/>
      <c r="Q300">
        <f t="shared" si="5"/>
        <v>46111</v>
      </c>
      <c r="R300">
        <f>_xlfn.XLOOKUP(P300,'Painel Fertilizers'!$B:$B,'Painel Fertilizers'!$B:$B,0)</f>
        <v>0</v>
      </c>
    </row>
    <row r="301" spans="1:18" x14ac:dyDescent="0.25">
      <c r="D301" s="34"/>
      <c r="F301" s="30"/>
      <c r="K301" s="30"/>
      <c r="Q301">
        <f t="shared" si="5"/>
        <v>46111</v>
      </c>
      <c r="R301">
        <f>_xlfn.XLOOKUP(P301,'Painel Fertilizers'!$B:$B,'Painel Fertilizers'!$B:$B,0)</f>
        <v>0</v>
      </c>
    </row>
    <row r="302" spans="1:18" x14ac:dyDescent="0.25">
      <c r="D302" s="34"/>
      <c r="F302" s="30"/>
      <c r="K302" s="30"/>
      <c r="Q302">
        <f t="shared" si="5"/>
        <v>46111</v>
      </c>
      <c r="R302">
        <f>_xlfn.XLOOKUP(P302,'Painel Fertilizers'!$B:$B,'Painel Fertilizers'!$B:$B,0)</f>
        <v>0</v>
      </c>
    </row>
    <row r="303" spans="1:18" x14ac:dyDescent="0.25">
      <c r="D303" s="34"/>
      <c r="F303" s="30"/>
      <c r="K303" s="30"/>
      <c r="Q303">
        <f t="shared" si="5"/>
        <v>46111</v>
      </c>
      <c r="R303">
        <f>_xlfn.XLOOKUP(P303,'Painel Fertilizers'!$B:$B,'Painel Fertilizers'!$B:$B,0)</f>
        <v>0</v>
      </c>
    </row>
    <row r="304" spans="1:18" x14ac:dyDescent="0.25">
      <c r="D304" s="34"/>
      <c r="F304" s="30"/>
      <c r="K304" s="30"/>
      <c r="Q304">
        <f t="shared" si="5"/>
        <v>46111</v>
      </c>
      <c r="R304">
        <f>_xlfn.XLOOKUP(P304,'Painel Fertilizers'!$B:$B,'Painel Fertilizers'!$B:$B,0)</f>
        <v>0</v>
      </c>
    </row>
    <row r="305" spans="4:18" x14ac:dyDescent="0.25">
      <c r="D305" s="34"/>
      <c r="F305" s="30"/>
      <c r="K305" s="30"/>
      <c r="Q305">
        <f t="shared" si="5"/>
        <v>46111</v>
      </c>
      <c r="R305">
        <f>_xlfn.XLOOKUP(P305,'Painel Fertilizers'!$B:$B,'Painel Fertilizers'!$B:$B,0)</f>
        <v>0</v>
      </c>
    </row>
    <row r="306" spans="4:18" x14ac:dyDescent="0.25">
      <c r="D306" s="34"/>
      <c r="F306" s="30"/>
      <c r="K306" s="30"/>
      <c r="Q306">
        <f t="shared" si="5"/>
        <v>46111</v>
      </c>
      <c r="R306">
        <f>_xlfn.XLOOKUP(P306,'Painel Fertilizers'!$B:$B,'Painel Fertilizers'!$B:$B,0)</f>
        <v>0</v>
      </c>
    </row>
    <row r="307" spans="4:18" x14ac:dyDescent="0.25">
      <c r="D307" s="34"/>
      <c r="F307" s="30"/>
      <c r="G307" s="30"/>
      <c r="K307" s="30"/>
      <c r="Q307">
        <f t="shared" si="5"/>
        <v>46111</v>
      </c>
      <c r="R307">
        <f>_xlfn.XLOOKUP(P307,'Painel Fertilizers'!$B:$B,'Painel Fertilizers'!$B:$B,0)</f>
        <v>0</v>
      </c>
    </row>
    <row r="308" spans="4:18" x14ac:dyDescent="0.25">
      <c r="D308" s="34"/>
      <c r="F308" s="30"/>
      <c r="K308" s="30"/>
      <c r="Q308">
        <f t="shared" si="5"/>
        <v>46111</v>
      </c>
      <c r="R308">
        <f>_xlfn.XLOOKUP(P308,'Painel Fertilizers'!$B:$B,'Painel Fertilizers'!$B:$B,0)</f>
        <v>0</v>
      </c>
    </row>
    <row r="309" spans="4:18" x14ac:dyDescent="0.25">
      <c r="D309" s="34"/>
      <c r="F309" s="30"/>
      <c r="K309" s="30"/>
      <c r="Q309">
        <f t="shared" si="5"/>
        <v>46111</v>
      </c>
      <c r="R309">
        <f>_xlfn.XLOOKUP(P309,'Painel Fertilizers'!$B:$B,'Painel Fertilizers'!$B:$B,0)</f>
        <v>0</v>
      </c>
    </row>
    <row r="310" spans="4:18" x14ac:dyDescent="0.25">
      <c r="D310" s="34"/>
      <c r="F310" s="30"/>
      <c r="K310" s="30"/>
      <c r="Q310">
        <f t="shared" ref="Q310" si="6">$R$1-F310</f>
        <v>46111</v>
      </c>
      <c r="R310">
        <f>_xlfn.XLOOKUP(P310,'Painel Fertilizers'!$B:$B,'Painel Fertilizers'!$B:$B,0)</f>
        <v>0</v>
      </c>
    </row>
    <row r="311" spans="4:18" x14ac:dyDescent="0.25">
      <c r="D311" s="34"/>
      <c r="F311" s="30"/>
      <c r="K311" s="30"/>
      <c r="Q311">
        <f t="shared" ref="Q311:Q374" si="7">$R$1-F311</f>
        <v>46111</v>
      </c>
      <c r="R311">
        <f>_xlfn.XLOOKUP(P311,'Painel Fertilizers'!$B:$B,'Painel Fertilizers'!$B:$B,0)</f>
        <v>0</v>
      </c>
    </row>
    <row r="312" spans="4:18" x14ac:dyDescent="0.25">
      <c r="D312" s="34"/>
      <c r="F312" s="30"/>
      <c r="K312" s="30"/>
      <c r="Q312">
        <f t="shared" si="7"/>
        <v>46111</v>
      </c>
      <c r="R312">
        <f>_xlfn.XLOOKUP(P312,'Painel Fertilizers'!$B:$B,'Painel Fertilizers'!$B:$B,0)</f>
        <v>0</v>
      </c>
    </row>
    <row r="313" spans="4:18" x14ac:dyDescent="0.25">
      <c r="D313" s="34"/>
      <c r="F313" s="30"/>
      <c r="K313" s="30"/>
      <c r="Q313">
        <f t="shared" si="7"/>
        <v>46111</v>
      </c>
      <c r="R313">
        <f>_xlfn.XLOOKUP(P313,'Painel Fertilizers'!$B:$B,'Painel Fertilizers'!$B:$B,0)</f>
        <v>0</v>
      </c>
    </row>
    <row r="314" spans="4:18" x14ac:dyDescent="0.25">
      <c r="D314" s="34"/>
      <c r="F314" s="30"/>
      <c r="K314" s="30"/>
      <c r="Q314">
        <f t="shared" si="7"/>
        <v>46111</v>
      </c>
      <c r="R314">
        <f>_xlfn.XLOOKUP(P314,'Painel Fertilizers'!$B:$B,'Painel Fertilizers'!$B:$B,0)</f>
        <v>0</v>
      </c>
    </row>
    <row r="315" spans="4:18" x14ac:dyDescent="0.25">
      <c r="D315" s="34"/>
      <c r="F315" s="30"/>
      <c r="K315" s="30"/>
      <c r="Q315">
        <f t="shared" si="7"/>
        <v>46111</v>
      </c>
      <c r="R315">
        <f>_xlfn.XLOOKUP(P315,'Painel Fertilizers'!$B:$B,'Painel Fertilizers'!$B:$B,0)</f>
        <v>0</v>
      </c>
    </row>
    <row r="316" spans="4:18" x14ac:dyDescent="0.25">
      <c r="D316" s="34"/>
      <c r="F316" s="30"/>
      <c r="K316" s="30"/>
      <c r="Q316">
        <f t="shared" si="7"/>
        <v>46111</v>
      </c>
      <c r="R316">
        <f>_xlfn.XLOOKUP(P316,'Painel Fertilizers'!$B:$B,'Painel Fertilizers'!$B:$B,0)</f>
        <v>0</v>
      </c>
    </row>
    <row r="317" spans="4:18" x14ac:dyDescent="0.25">
      <c r="D317" s="34"/>
      <c r="F317" s="30"/>
      <c r="G317" s="30"/>
      <c r="K317" s="30"/>
      <c r="Q317">
        <f t="shared" si="7"/>
        <v>46111</v>
      </c>
      <c r="R317">
        <f>_xlfn.XLOOKUP(P317,'Painel Fertilizers'!$B:$B,'Painel Fertilizers'!$B:$B,0)</f>
        <v>0</v>
      </c>
    </row>
    <row r="318" spans="4:18" x14ac:dyDescent="0.25">
      <c r="D318" s="34"/>
      <c r="F318" s="30"/>
      <c r="K318" s="30"/>
      <c r="Q318">
        <f t="shared" si="7"/>
        <v>46111</v>
      </c>
      <c r="R318">
        <f>_xlfn.XLOOKUP(P318,'Painel Fertilizers'!$B:$B,'Painel Fertilizers'!$B:$B,0)</f>
        <v>0</v>
      </c>
    </row>
    <row r="319" spans="4:18" x14ac:dyDescent="0.25">
      <c r="D319" s="34"/>
      <c r="F319" s="30"/>
      <c r="K319" s="30"/>
      <c r="Q319">
        <f t="shared" si="7"/>
        <v>46111</v>
      </c>
      <c r="R319">
        <f>_xlfn.XLOOKUP(P319,'Painel Fertilizers'!$B:$B,'Painel Fertilizers'!$B:$B,0)</f>
        <v>0</v>
      </c>
    </row>
    <row r="320" spans="4:18" x14ac:dyDescent="0.25">
      <c r="D320" s="34"/>
      <c r="F320" s="30"/>
      <c r="K320" s="30"/>
      <c r="Q320">
        <f t="shared" si="7"/>
        <v>46111</v>
      </c>
      <c r="R320">
        <f>_xlfn.XLOOKUP(P320,'Painel Fertilizers'!$B:$B,'Painel Fertilizers'!$B:$B,0)</f>
        <v>0</v>
      </c>
    </row>
    <row r="321" spans="4:18" x14ac:dyDescent="0.25">
      <c r="D321" s="34"/>
      <c r="F321" s="30"/>
      <c r="K321" s="30"/>
      <c r="Q321">
        <f t="shared" si="7"/>
        <v>46111</v>
      </c>
      <c r="R321">
        <f>_xlfn.XLOOKUP(P321,'Painel Fertilizers'!$B:$B,'Painel Fertilizers'!$B:$B,0)</f>
        <v>0</v>
      </c>
    </row>
    <row r="322" spans="4:18" x14ac:dyDescent="0.25">
      <c r="D322" s="34"/>
      <c r="F322" s="30"/>
      <c r="K322" s="30"/>
      <c r="Q322">
        <f t="shared" si="7"/>
        <v>46111</v>
      </c>
      <c r="R322">
        <f>_xlfn.XLOOKUP(P322,'Painel Fertilizers'!$B:$B,'Painel Fertilizers'!$B:$B,0)</f>
        <v>0</v>
      </c>
    </row>
    <row r="323" spans="4:18" x14ac:dyDescent="0.25">
      <c r="D323" s="34"/>
      <c r="F323" s="30"/>
      <c r="G323" s="30"/>
      <c r="K323" s="30"/>
      <c r="Q323">
        <f t="shared" si="7"/>
        <v>46111</v>
      </c>
      <c r="R323">
        <f>_xlfn.XLOOKUP(P323,'Painel Fertilizers'!$B:$B,'Painel Fertilizers'!$B:$B,0)</f>
        <v>0</v>
      </c>
    </row>
    <row r="324" spans="4:18" x14ac:dyDescent="0.25">
      <c r="D324" s="34"/>
      <c r="F324" s="30"/>
      <c r="G324" s="30"/>
      <c r="K324" s="30"/>
      <c r="Q324">
        <f t="shared" si="7"/>
        <v>46111</v>
      </c>
      <c r="R324">
        <f>_xlfn.XLOOKUP(P324,'Painel Fertilizers'!$B:$B,'Painel Fertilizers'!$B:$B,0)</f>
        <v>0</v>
      </c>
    </row>
    <row r="325" spans="4:18" x14ac:dyDescent="0.25">
      <c r="D325" s="34"/>
      <c r="F325" s="30"/>
      <c r="G325" s="30"/>
      <c r="K325" s="30"/>
      <c r="Q325">
        <f t="shared" si="7"/>
        <v>46111</v>
      </c>
      <c r="R325">
        <f>_xlfn.XLOOKUP(P325,'Painel Fertilizers'!$B:$B,'Painel Fertilizers'!$B:$B,0)</f>
        <v>0</v>
      </c>
    </row>
    <row r="326" spans="4:18" x14ac:dyDescent="0.25">
      <c r="D326" s="34"/>
      <c r="F326" s="30"/>
      <c r="K326" s="30"/>
      <c r="Q326">
        <f t="shared" si="7"/>
        <v>46111</v>
      </c>
      <c r="R326">
        <f>_xlfn.XLOOKUP(P326,'Painel Fertilizers'!$B:$B,'Painel Fertilizers'!$B:$B,0)</f>
        <v>0</v>
      </c>
    </row>
    <row r="327" spans="4:18" x14ac:dyDescent="0.25">
      <c r="D327" s="34"/>
      <c r="F327" s="30"/>
      <c r="K327" s="30"/>
      <c r="Q327">
        <f t="shared" si="7"/>
        <v>46111</v>
      </c>
      <c r="R327">
        <f>_xlfn.XLOOKUP(P327,'Painel Fertilizers'!$B:$B,'Painel Fertilizers'!$B:$B,0)</f>
        <v>0</v>
      </c>
    </row>
    <row r="328" spans="4:18" x14ac:dyDescent="0.25">
      <c r="D328" s="34"/>
      <c r="F328" s="30"/>
      <c r="K328" s="30"/>
      <c r="Q328">
        <f t="shared" si="7"/>
        <v>46111</v>
      </c>
      <c r="R328">
        <f>_xlfn.XLOOKUP(P328,'Painel Fertilizers'!$B:$B,'Painel Fertilizers'!$B:$B,0)</f>
        <v>0</v>
      </c>
    </row>
    <row r="329" spans="4:18" x14ac:dyDescent="0.25">
      <c r="D329" s="34"/>
      <c r="F329" s="30"/>
      <c r="K329" s="30"/>
      <c r="Q329">
        <f t="shared" si="7"/>
        <v>46111</v>
      </c>
      <c r="R329">
        <f>_xlfn.XLOOKUP(P329,'Painel Fertilizers'!$B:$B,'Painel Fertilizers'!$B:$B,0)</f>
        <v>0</v>
      </c>
    </row>
    <row r="330" spans="4:18" x14ac:dyDescent="0.25">
      <c r="D330" s="34"/>
      <c r="F330" s="30"/>
      <c r="K330" s="30"/>
      <c r="Q330">
        <f t="shared" si="7"/>
        <v>46111</v>
      </c>
      <c r="R330">
        <f>_xlfn.XLOOKUP(P330,'Painel Fertilizers'!$B:$B,'Painel Fertilizers'!$B:$B,0)</f>
        <v>0</v>
      </c>
    </row>
    <row r="331" spans="4:18" x14ac:dyDescent="0.25">
      <c r="D331" s="34"/>
      <c r="F331" s="30"/>
      <c r="K331" s="30"/>
      <c r="Q331">
        <f t="shared" si="7"/>
        <v>46111</v>
      </c>
      <c r="R331">
        <f>_xlfn.XLOOKUP(P331,'Painel Fertilizers'!$B:$B,'Painel Fertilizers'!$B:$B,0)</f>
        <v>0</v>
      </c>
    </row>
    <row r="332" spans="4:18" x14ac:dyDescent="0.25">
      <c r="D332" s="34"/>
      <c r="F332" s="30"/>
      <c r="K332" s="30"/>
      <c r="Q332">
        <f t="shared" si="7"/>
        <v>46111</v>
      </c>
      <c r="R332">
        <f>_xlfn.XLOOKUP(P332,'Painel Fertilizers'!$B:$B,'Painel Fertilizers'!$B:$B,0)</f>
        <v>0</v>
      </c>
    </row>
    <row r="333" spans="4:18" x14ac:dyDescent="0.25">
      <c r="D333" s="34"/>
      <c r="F333" s="30"/>
      <c r="K333" s="30"/>
      <c r="Q333">
        <f t="shared" si="7"/>
        <v>46111</v>
      </c>
      <c r="R333">
        <f>_xlfn.XLOOKUP(P333,'Painel Fertilizers'!$B:$B,'Painel Fertilizers'!$B:$B,0)</f>
        <v>0</v>
      </c>
    </row>
    <row r="334" spans="4:18" x14ac:dyDescent="0.25">
      <c r="D334" s="34"/>
      <c r="F334" s="30"/>
      <c r="K334" s="30"/>
      <c r="Q334">
        <f t="shared" si="7"/>
        <v>46111</v>
      </c>
      <c r="R334">
        <f>_xlfn.XLOOKUP(P334,'Painel Fertilizers'!$B:$B,'Painel Fertilizers'!$B:$B,0)</f>
        <v>0</v>
      </c>
    </row>
    <row r="335" spans="4:18" x14ac:dyDescent="0.25">
      <c r="D335" s="34"/>
      <c r="F335" s="30"/>
      <c r="K335" s="30"/>
      <c r="Q335">
        <f t="shared" si="7"/>
        <v>46111</v>
      </c>
      <c r="R335">
        <f>_xlfn.XLOOKUP(P335,'Painel Fertilizers'!$B:$B,'Painel Fertilizers'!$B:$B,0)</f>
        <v>0</v>
      </c>
    </row>
    <row r="336" spans="4:18" x14ac:dyDescent="0.25">
      <c r="D336" s="34"/>
      <c r="F336" s="30"/>
      <c r="K336" s="30"/>
      <c r="Q336">
        <f t="shared" si="7"/>
        <v>46111</v>
      </c>
      <c r="R336">
        <f>_xlfn.XLOOKUP(P336,'Painel Fertilizers'!$B:$B,'Painel Fertilizers'!$B:$B,0)</f>
        <v>0</v>
      </c>
    </row>
    <row r="337" spans="4:18" x14ac:dyDescent="0.25">
      <c r="D337" s="34"/>
      <c r="F337" s="30"/>
      <c r="G337" s="30"/>
      <c r="K337" s="30"/>
      <c r="Q337">
        <f t="shared" si="7"/>
        <v>46111</v>
      </c>
      <c r="R337">
        <f>_xlfn.XLOOKUP(P337,'Painel Fertilizers'!$B:$B,'Painel Fertilizers'!$B:$B,0)</f>
        <v>0</v>
      </c>
    </row>
    <row r="338" spans="4:18" x14ac:dyDescent="0.25">
      <c r="D338" s="34"/>
      <c r="F338" s="30"/>
      <c r="G338" s="30"/>
      <c r="K338" s="30"/>
      <c r="Q338">
        <f t="shared" si="7"/>
        <v>46111</v>
      </c>
      <c r="R338">
        <f>_xlfn.XLOOKUP(P338,'Painel Fertilizers'!$B:$B,'Painel Fertilizers'!$B:$B,0)</f>
        <v>0</v>
      </c>
    </row>
    <row r="339" spans="4:18" x14ac:dyDescent="0.25">
      <c r="D339" s="34"/>
      <c r="F339" s="30"/>
      <c r="G339" s="30"/>
      <c r="K339" s="30"/>
      <c r="Q339">
        <f t="shared" si="7"/>
        <v>46111</v>
      </c>
      <c r="R339">
        <f>_xlfn.XLOOKUP(P339,'Painel Fertilizers'!$B:$B,'Painel Fertilizers'!$B:$B,0)</f>
        <v>0</v>
      </c>
    </row>
    <row r="340" spans="4:18" x14ac:dyDescent="0.25">
      <c r="D340" s="34"/>
      <c r="F340" s="30"/>
      <c r="G340" s="30"/>
      <c r="K340" s="30"/>
      <c r="Q340">
        <f t="shared" si="7"/>
        <v>46111</v>
      </c>
      <c r="R340">
        <f>_xlfn.XLOOKUP(P340,'Painel Fertilizers'!$B:$B,'Painel Fertilizers'!$B:$B,0)</f>
        <v>0</v>
      </c>
    </row>
    <row r="341" spans="4:18" x14ac:dyDescent="0.25">
      <c r="D341" s="34"/>
      <c r="F341" s="30"/>
      <c r="G341" s="30"/>
      <c r="K341" s="30"/>
      <c r="Q341">
        <f t="shared" si="7"/>
        <v>46111</v>
      </c>
      <c r="R341">
        <f>_xlfn.XLOOKUP(P341,'Painel Fertilizers'!$B:$B,'Painel Fertilizers'!$B:$B,0)</f>
        <v>0</v>
      </c>
    </row>
    <row r="342" spans="4:18" x14ac:dyDescent="0.25">
      <c r="D342" s="34"/>
      <c r="F342" s="30"/>
      <c r="G342" s="30"/>
      <c r="K342" s="30"/>
      <c r="Q342">
        <f t="shared" si="7"/>
        <v>46111</v>
      </c>
      <c r="R342">
        <f>_xlfn.XLOOKUP(P342,'Painel Fertilizers'!$B:$B,'Painel Fertilizers'!$B:$B,0)</f>
        <v>0</v>
      </c>
    </row>
    <row r="343" spans="4:18" x14ac:dyDescent="0.25">
      <c r="D343" s="34"/>
      <c r="F343" s="30"/>
      <c r="G343" s="30"/>
      <c r="K343" s="30"/>
      <c r="Q343">
        <f t="shared" si="7"/>
        <v>46111</v>
      </c>
      <c r="R343">
        <f>_xlfn.XLOOKUP(P343,'Painel Fertilizers'!$B:$B,'Painel Fertilizers'!$B:$B,0)</f>
        <v>0</v>
      </c>
    </row>
    <row r="344" spans="4:18" x14ac:dyDescent="0.25">
      <c r="D344" s="34"/>
      <c r="F344" s="30"/>
      <c r="G344" s="30"/>
      <c r="K344" s="30"/>
      <c r="Q344">
        <f t="shared" si="7"/>
        <v>46111</v>
      </c>
      <c r="R344">
        <f>_xlfn.XLOOKUP(P344,'Painel Fertilizers'!$B:$B,'Painel Fertilizers'!$B:$B,0)</f>
        <v>0</v>
      </c>
    </row>
    <row r="345" spans="4:18" x14ac:dyDescent="0.25">
      <c r="D345" s="34"/>
      <c r="F345" s="30"/>
      <c r="G345" s="30"/>
      <c r="K345" s="30"/>
      <c r="Q345">
        <f t="shared" si="7"/>
        <v>46111</v>
      </c>
      <c r="R345">
        <f>_xlfn.XLOOKUP(P345,'Painel Fertilizers'!$B:$B,'Painel Fertilizers'!$B:$B,0)</f>
        <v>0</v>
      </c>
    </row>
    <row r="346" spans="4:18" x14ac:dyDescent="0.25">
      <c r="D346" s="34"/>
      <c r="F346" s="30"/>
      <c r="G346" s="30"/>
      <c r="K346" s="30"/>
      <c r="Q346">
        <f t="shared" si="7"/>
        <v>46111</v>
      </c>
      <c r="R346">
        <f>_xlfn.XLOOKUP(P346,'Painel Fertilizers'!$B:$B,'Painel Fertilizers'!$B:$B,0)</f>
        <v>0</v>
      </c>
    </row>
    <row r="347" spans="4:18" x14ac:dyDescent="0.25">
      <c r="D347" s="34"/>
      <c r="F347" s="30"/>
      <c r="G347" s="30"/>
      <c r="K347" s="30"/>
      <c r="Q347">
        <f t="shared" si="7"/>
        <v>46111</v>
      </c>
      <c r="R347">
        <f>_xlfn.XLOOKUP(P347,'Painel Fertilizers'!$B:$B,'Painel Fertilizers'!$B:$B,0)</f>
        <v>0</v>
      </c>
    </row>
    <row r="348" spans="4:18" x14ac:dyDescent="0.25">
      <c r="D348" s="34"/>
      <c r="F348" s="30"/>
      <c r="G348" s="30"/>
      <c r="K348" s="30"/>
      <c r="Q348">
        <f t="shared" si="7"/>
        <v>46111</v>
      </c>
      <c r="R348">
        <f>_xlfn.XLOOKUP(P348,'Painel Fertilizers'!$B:$B,'Painel Fertilizers'!$B:$B,0)</f>
        <v>0</v>
      </c>
    </row>
    <row r="349" spans="4:18" x14ac:dyDescent="0.25">
      <c r="D349" s="34"/>
      <c r="F349" s="30"/>
      <c r="G349" s="30"/>
      <c r="K349" s="30"/>
      <c r="Q349">
        <f t="shared" si="7"/>
        <v>46111</v>
      </c>
      <c r="R349">
        <f>_xlfn.XLOOKUP(P349,'Painel Fertilizers'!$B:$B,'Painel Fertilizers'!$B:$B,0)</f>
        <v>0</v>
      </c>
    </row>
    <row r="350" spans="4:18" x14ac:dyDescent="0.25">
      <c r="D350" s="34"/>
      <c r="F350" s="30"/>
      <c r="G350" s="30"/>
      <c r="K350" s="30"/>
      <c r="Q350">
        <f t="shared" si="7"/>
        <v>46111</v>
      </c>
      <c r="R350">
        <f>_xlfn.XLOOKUP(P350,'Painel Fertilizers'!$B:$B,'Painel Fertilizers'!$B:$B,0)</f>
        <v>0</v>
      </c>
    </row>
    <row r="351" spans="4:18" x14ac:dyDescent="0.25">
      <c r="D351" s="34"/>
      <c r="F351" s="30"/>
      <c r="G351" s="30"/>
      <c r="K351" s="30"/>
      <c r="Q351">
        <f t="shared" si="7"/>
        <v>46111</v>
      </c>
      <c r="R351">
        <f>_xlfn.XLOOKUP(P351,'Painel Fertilizers'!$B:$B,'Painel Fertilizers'!$B:$B,0)</f>
        <v>0</v>
      </c>
    </row>
    <row r="352" spans="4:18" x14ac:dyDescent="0.25">
      <c r="D352" s="34"/>
      <c r="F352" s="30"/>
      <c r="G352" s="30"/>
      <c r="K352" s="30"/>
      <c r="Q352">
        <f t="shared" si="7"/>
        <v>46111</v>
      </c>
      <c r="R352">
        <f>_xlfn.XLOOKUP(P352,'Painel Fertilizers'!$B:$B,'Painel Fertilizers'!$B:$B,0)</f>
        <v>0</v>
      </c>
    </row>
    <row r="353" spans="4:18" x14ac:dyDescent="0.25">
      <c r="D353" s="34"/>
      <c r="F353" s="30"/>
      <c r="G353" s="30"/>
      <c r="K353" s="30"/>
      <c r="Q353">
        <f t="shared" si="7"/>
        <v>46111</v>
      </c>
      <c r="R353">
        <f>_xlfn.XLOOKUP(P353,'Painel Fertilizers'!$B:$B,'Painel Fertilizers'!$B:$B,0)</f>
        <v>0</v>
      </c>
    </row>
    <row r="354" spans="4:18" x14ac:dyDescent="0.25">
      <c r="D354" s="34"/>
      <c r="F354" s="30"/>
      <c r="G354" s="30"/>
      <c r="K354" s="30"/>
      <c r="Q354">
        <f t="shared" si="7"/>
        <v>46111</v>
      </c>
      <c r="R354">
        <f>_xlfn.XLOOKUP(P354,'Painel Fertilizers'!$B:$B,'Painel Fertilizers'!$B:$B,0)</f>
        <v>0</v>
      </c>
    </row>
    <row r="355" spans="4:18" x14ac:dyDescent="0.25">
      <c r="D355" s="34"/>
      <c r="F355" s="30"/>
      <c r="G355" s="30"/>
      <c r="K355" s="30"/>
      <c r="Q355">
        <f t="shared" si="7"/>
        <v>46111</v>
      </c>
      <c r="R355">
        <f>_xlfn.XLOOKUP(P355,'Painel Fertilizers'!$B:$B,'Painel Fertilizers'!$B:$B,0)</f>
        <v>0</v>
      </c>
    </row>
    <row r="356" spans="4:18" x14ac:dyDescent="0.25">
      <c r="D356" s="34"/>
      <c r="F356" s="30"/>
      <c r="G356" s="30"/>
      <c r="K356" s="30"/>
      <c r="Q356">
        <f t="shared" si="7"/>
        <v>46111</v>
      </c>
      <c r="R356">
        <f>_xlfn.XLOOKUP(P356,'Painel Fertilizers'!$B:$B,'Painel Fertilizers'!$B:$B,0)</f>
        <v>0</v>
      </c>
    </row>
    <row r="357" spans="4:18" x14ac:dyDescent="0.25">
      <c r="D357" s="34"/>
      <c r="F357" s="30"/>
      <c r="G357" s="30"/>
      <c r="K357" s="30"/>
      <c r="Q357">
        <f t="shared" si="7"/>
        <v>46111</v>
      </c>
      <c r="R357">
        <f>_xlfn.XLOOKUP(P357,'Painel Fertilizers'!$B:$B,'Painel Fertilizers'!$B:$B,0)</f>
        <v>0</v>
      </c>
    </row>
    <row r="358" spans="4:18" x14ac:dyDescent="0.25">
      <c r="D358" s="34"/>
      <c r="F358" s="30"/>
      <c r="G358" s="30"/>
      <c r="K358" s="30"/>
      <c r="Q358">
        <f t="shared" si="7"/>
        <v>46111</v>
      </c>
      <c r="R358">
        <f>_xlfn.XLOOKUP(P358,'Painel Fertilizers'!$B:$B,'Painel Fertilizers'!$B:$B,0)</f>
        <v>0</v>
      </c>
    </row>
    <row r="359" spans="4:18" x14ac:dyDescent="0.25">
      <c r="D359" s="34"/>
      <c r="F359" s="30"/>
      <c r="G359" s="30"/>
      <c r="K359" s="30"/>
      <c r="Q359">
        <f t="shared" si="7"/>
        <v>46111</v>
      </c>
      <c r="R359">
        <f>_xlfn.XLOOKUP(P359,'Painel Fertilizers'!$B:$B,'Painel Fertilizers'!$B:$B,0)</f>
        <v>0</v>
      </c>
    </row>
    <row r="360" spans="4:18" x14ac:dyDescent="0.25">
      <c r="D360" s="34"/>
      <c r="F360" s="30"/>
      <c r="G360" s="30"/>
      <c r="K360" s="30"/>
      <c r="Q360">
        <f t="shared" si="7"/>
        <v>46111</v>
      </c>
      <c r="R360">
        <f>_xlfn.XLOOKUP(P360,'Painel Fertilizers'!$B:$B,'Painel Fertilizers'!$B:$B,0)</f>
        <v>0</v>
      </c>
    </row>
    <row r="361" spans="4:18" x14ac:dyDescent="0.25">
      <c r="D361" s="34"/>
      <c r="F361" s="30"/>
      <c r="G361" s="30"/>
      <c r="K361" s="30"/>
      <c r="Q361">
        <f t="shared" si="7"/>
        <v>46111</v>
      </c>
      <c r="R361">
        <f>_xlfn.XLOOKUP(P361,'Painel Fertilizers'!$B:$B,'Painel Fertilizers'!$B:$B,0)</f>
        <v>0</v>
      </c>
    </row>
    <row r="362" spans="4:18" x14ac:dyDescent="0.25">
      <c r="D362" s="34"/>
      <c r="F362" s="30"/>
      <c r="G362" s="30"/>
      <c r="K362" s="30"/>
      <c r="Q362">
        <f t="shared" si="7"/>
        <v>46111</v>
      </c>
      <c r="R362">
        <f>_xlfn.XLOOKUP(P362,'Painel Fertilizers'!$B:$B,'Painel Fertilizers'!$B:$B,0)</f>
        <v>0</v>
      </c>
    </row>
    <row r="363" spans="4:18" x14ac:dyDescent="0.25">
      <c r="D363" s="34"/>
      <c r="F363" s="30"/>
      <c r="G363" s="30"/>
      <c r="K363" s="30"/>
      <c r="Q363">
        <f t="shared" si="7"/>
        <v>46111</v>
      </c>
      <c r="R363">
        <f>_xlfn.XLOOKUP(P363,'Painel Fertilizers'!$B:$B,'Painel Fertilizers'!$B:$B,0)</f>
        <v>0</v>
      </c>
    </row>
    <row r="364" spans="4:18" x14ac:dyDescent="0.25">
      <c r="D364" s="34"/>
      <c r="F364" s="30"/>
      <c r="G364" s="30"/>
      <c r="K364" s="30"/>
      <c r="Q364">
        <f t="shared" si="7"/>
        <v>46111</v>
      </c>
      <c r="R364">
        <f>_xlfn.XLOOKUP(P364,'Painel Fertilizers'!$B:$B,'Painel Fertilizers'!$B:$B,0)</f>
        <v>0</v>
      </c>
    </row>
    <row r="365" spans="4:18" x14ac:dyDescent="0.25">
      <c r="D365" s="34"/>
      <c r="F365" s="30"/>
      <c r="G365" s="30"/>
      <c r="K365" s="30"/>
      <c r="Q365">
        <f t="shared" si="7"/>
        <v>46111</v>
      </c>
      <c r="R365">
        <f>_xlfn.XLOOKUP(P365,'Painel Fertilizers'!$B:$B,'Painel Fertilizers'!$B:$B,0)</f>
        <v>0</v>
      </c>
    </row>
    <row r="366" spans="4:18" x14ac:dyDescent="0.25">
      <c r="D366" s="34"/>
      <c r="F366" s="30"/>
      <c r="K366" s="30"/>
      <c r="Q366">
        <f t="shared" si="7"/>
        <v>46111</v>
      </c>
      <c r="R366">
        <f>_xlfn.XLOOKUP(P366,'Painel Fertilizers'!$B:$B,'Painel Fertilizers'!$B:$B,0)</f>
        <v>0</v>
      </c>
    </row>
    <row r="367" spans="4:18" x14ac:dyDescent="0.25">
      <c r="D367" s="34"/>
      <c r="F367" s="30"/>
      <c r="K367" s="30"/>
      <c r="Q367">
        <f t="shared" si="7"/>
        <v>46111</v>
      </c>
      <c r="R367">
        <f>_xlfn.XLOOKUP(P367,'Painel Fertilizers'!$B:$B,'Painel Fertilizers'!$B:$B,0)</f>
        <v>0</v>
      </c>
    </row>
    <row r="368" spans="4:18" x14ac:dyDescent="0.25">
      <c r="D368" s="34"/>
      <c r="F368" s="30"/>
      <c r="K368" s="30"/>
      <c r="Q368">
        <f t="shared" si="7"/>
        <v>46111</v>
      </c>
      <c r="R368">
        <f>_xlfn.XLOOKUP(P368,'Painel Fertilizers'!$B:$B,'Painel Fertilizers'!$B:$B,0)</f>
        <v>0</v>
      </c>
    </row>
    <row r="369" spans="4:18" x14ac:dyDescent="0.25">
      <c r="D369" s="34"/>
      <c r="F369" s="30"/>
      <c r="K369" s="30"/>
      <c r="Q369">
        <f t="shared" si="7"/>
        <v>46111</v>
      </c>
      <c r="R369">
        <f>_xlfn.XLOOKUP(P369,'Painel Fertilizers'!$B:$B,'Painel Fertilizers'!$B:$B,0)</f>
        <v>0</v>
      </c>
    </row>
    <row r="370" spans="4:18" x14ac:dyDescent="0.25">
      <c r="D370" s="34"/>
      <c r="F370" s="30"/>
      <c r="K370" s="30"/>
      <c r="Q370">
        <f t="shared" si="7"/>
        <v>46111</v>
      </c>
      <c r="R370">
        <f>_xlfn.XLOOKUP(P370,'Painel Fertilizers'!$B:$B,'Painel Fertilizers'!$B:$B,0)</f>
        <v>0</v>
      </c>
    </row>
    <row r="371" spans="4:18" x14ac:dyDescent="0.25">
      <c r="D371" s="34"/>
      <c r="F371" s="30"/>
      <c r="K371" s="30"/>
      <c r="Q371">
        <f t="shared" si="7"/>
        <v>46111</v>
      </c>
      <c r="R371">
        <f>_xlfn.XLOOKUP(P371,'Painel Fertilizers'!$B:$B,'Painel Fertilizers'!$B:$B,0)</f>
        <v>0</v>
      </c>
    </row>
    <row r="372" spans="4:18" x14ac:dyDescent="0.25">
      <c r="D372" s="34"/>
      <c r="F372" s="30"/>
      <c r="K372" s="30"/>
      <c r="Q372">
        <f t="shared" si="7"/>
        <v>46111</v>
      </c>
      <c r="R372">
        <f>_xlfn.XLOOKUP(P372,'Painel Fertilizers'!$B:$B,'Painel Fertilizers'!$B:$B,0)</f>
        <v>0</v>
      </c>
    </row>
    <row r="373" spans="4:18" x14ac:dyDescent="0.25">
      <c r="D373" s="34"/>
      <c r="F373" s="30"/>
      <c r="K373" s="30"/>
      <c r="Q373">
        <f t="shared" si="7"/>
        <v>46111</v>
      </c>
      <c r="R373">
        <f>_xlfn.XLOOKUP(P373,'Painel Fertilizers'!$B:$B,'Painel Fertilizers'!$B:$B,0)</f>
        <v>0</v>
      </c>
    </row>
    <row r="374" spans="4:18" x14ac:dyDescent="0.25">
      <c r="D374" s="34"/>
      <c r="F374" s="30"/>
      <c r="K374" s="30"/>
      <c r="Q374">
        <f t="shared" si="7"/>
        <v>46111</v>
      </c>
      <c r="R374">
        <f>_xlfn.XLOOKUP(P374,'Painel Fertilizers'!$B:$B,'Painel Fertilizers'!$B:$B,0)</f>
        <v>0</v>
      </c>
    </row>
    <row r="375" spans="4:18" x14ac:dyDescent="0.25">
      <c r="D375" s="34"/>
      <c r="F375" s="30"/>
      <c r="K375" s="30"/>
      <c r="Q375">
        <f t="shared" ref="Q375:Q392" si="8">$R$1-F375</f>
        <v>46111</v>
      </c>
      <c r="R375">
        <f>_xlfn.XLOOKUP(P375,'Painel Fertilizers'!$B:$B,'Painel Fertilizers'!$B:$B,0)</f>
        <v>0</v>
      </c>
    </row>
    <row r="376" spans="4:18" x14ac:dyDescent="0.25">
      <c r="D376" s="34"/>
      <c r="F376" s="30"/>
      <c r="K376" s="30"/>
      <c r="Q376">
        <f t="shared" si="8"/>
        <v>46111</v>
      </c>
      <c r="R376">
        <f>_xlfn.XLOOKUP(P376,'Painel Fertilizers'!$B:$B,'Painel Fertilizers'!$B:$B,0)</f>
        <v>0</v>
      </c>
    </row>
    <row r="377" spans="4:18" x14ac:dyDescent="0.25">
      <c r="D377" s="34"/>
      <c r="F377" s="30"/>
      <c r="G377" s="30"/>
      <c r="K377" s="30"/>
      <c r="Q377">
        <f t="shared" si="8"/>
        <v>46111</v>
      </c>
      <c r="R377">
        <f>_xlfn.XLOOKUP(P377,'Painel Fertilizers'!$B:$B,'Painel Fertilizers'!$B:$B,0)</f>
        <v>0</v>
      </c>
    </row>
    <row r="378" spans="4:18" x14ac:dyDescent="0.25">
      <c r="D378" s="34"/>
      <c r="F378" s="30"/>
      <c r="G378" s="30"/>
      <c r="K378" s="30"/>
      <c r="Q378">
        <f t="shared" si="8"/>
        <v>46111</v>
      </c>
      <c r="R378">
        <f>_xlfn.XLOOKUP(P378,'Painel Fertilizers'!$B:$B,'Painel Fertilizers'!$B:$B,0)</f>
        <v>0</v>
      </c>
    </row>
    <row r="379" spans="4:18" x14ac:dyDescent="0.25">
      <c r="D379" s="34"/>
      <c r="F379" s="30"/>
      <c r="G379" s="30"/>
      <c r="K379" s="30"/>
      <c r="Q379">
        <f t="shared" si="8"/>
        <v>46111</v>
      </c>
      <c r="R379">
        <f>_xlfn.XLOOKUP(P379,'Painel Fertilizers'!$B:$B,'Painel Fertilizers'!$B:$B,0)</f>
        <v>0</v>
      </c>
    </row>
    <row r="380" spans="4:18" x14ac:dyDescent="0.25">
      <c r="D380" s="34"/>
      <c r="F380" s="30"/>
      <c r="G380" s="30"/>
      <c r="K380" s="30"/>
      <c r="Q380">
        <f t="shared" si="8"/>
        <v>46111</v>
      </c>
      <c r="R380">
        <f>_xlfn.XLOOKUP(P380,'Painel Fertilizers'!$B:$B,'Painel Fertilizers'!$B:$B,0)</f>
        <v>0</v>
      </c>
    </row>
    <row r="381" spans="4:18" x14ac:dyDescent="0.25">
      <c r="D381" s="34"/>
      <c r="F381" s="30"/>
      <c r="G381" s="30"/>
      <c r="K381" s="30"/>
      <c r="Q381">
        <f t="shared" si="8"/>
        <v>46111</v>
      </c>
      <c r="R381">
        <f>_xlfn.XLOOKUP(P381,'Painel Fertilizers'!$B:$B,'Painel Fertilizers'!$B:$B,0)</f>
        <v>0</v>
      </c>
    </row>
    <row r="382" spans="4:18" x14ac:dyDescent="0.25">
      <c r="D382" s="34"/>
      <c r="F382" s="30"/>
      <c r="G382" s="30"/>
      <c r="K382" s="30"/>
      <c r="Q382">
        <f t="shared" si="8"/>
        <v>46111</v>
      </c>
      <c r="R382">
        <f>_xlfn.XLOOKUP(P382,'Painel Fertilizers'!$B:$B,'Painel Fertilizers'!$B:$B,0)</f>
        <v>0</v>
      </c>
    </row>
    <row r="383" spans="4:18" x14ac:dyDescent="0.25">
      <c r="D383" s="34"/>
      <c r="F383" s="30"/>
      <c r="G383" s="30"/>
      <c r="K383" s="30"/>
      <c r="Q383">
        <f t="shared" si="8"/>
        <v>46111</v>
      </c>
      <c r="R383">
        <f>_xlfn.XLOOKUP(P383,'Painel Fertilizers'!$B:$B,'Painel Fertilizers'!$B:$B,0)</f>
        <v>0</v>
      </c>
    </row>
    <row r="384" spans="4:18" x14ac:dyDescent="0.25">
      <c r="D384" s="34"/>
      <c r="F384" s="30"/>
      <c r="G384" s="30"/>
      <c r="K384" s="30"/>
      <c r="Q384">
        <f t="shared" si="8"/>
        <v>46111</v>
      </c>
      <c r="R384">
        <f>_xlfn.XLOOKUP(P384,'Painel Fertilizers'!$B:$B,'Painel Fertilizers'!$B:$B,0)</f>
        <v>0</v>
      </c>
    </row>
    <row r="385" spans="4:18" x14ac:dyDescent="0.25">
      <c r="D385" s="34"/>
      <c r="F385" s="30"/>
      <c r="G385" s="30"/>
      <c r="K385" s="30"/>
      <c r="Q385">
        <f t="shared" si="8"/>
        <v>46111</v>
      </c>
      <c r="R385">
        <f>_xlfn.XLOOKUP(P385,'Painel Fertilizers'!$B:$B,'Painel Fertilizers'!$B:$B,0)</f>
        <v>0</v>
      </c>
    </row>
    <row r="386" spans="4:18" x14ac:dyDescent="0.25">
      <c r="D386" s="34"/>
      <c r="F386" s="30"/>
      <c r="G386" s="30"/>
      <c r="K386" s="30"/>
      <c r="Q386">
        <f t="shared" si="8"/>
        <v>46111</v>
      </c>
      <c r="R386">
        <f>_xlfn.XLOOKUP(P386,'Painel Fertilizers'!$B:$B,'Painel Fertilizers'!$B:$B,0)</f>
        <v>0</v>
      </c>
    </row>
    <row r="387" spans="4:18" x14ac:dyDescent="0.25">
      <c r="D387" s="34"/>
      <c r="F387" s="30"/>
      <c r="G387" s="30"/>
      <c r="K387" s="30"/>
      <c r="Q387">
        <f t="shared" si="8"/>
        <v>46111</v>
      </c>
      <c r="R387">
        <f>_xlfn.XLOOKUP(P387,'Painel Fertilizers'!$B:$B,'Painel Fertilizers'!$B:$B,0)</f>
        <v>0</v>
      </c>
    </row>
    <row r="388" spans="4:18" x14ac:dyDescent="0.25">
      <c r="D388" s="34"/>
      <c r="F388" s="30"/>
      <c r="G388" s="30"/>
      <c r="K388" s="30"/>
      <c r="Q388">
        <f t="shared" si="8"/>
        <v>46111</v>
      </c>
      <c r="R388">
        <f>_xlfn.XLOOKUP(P388,'Painel Fertilizers'!$B:$B,'Painel Fertilizers'!$B:$B,0)</f>
        <v>0</v>
      </c>
    </row>
    <row r="389" spans="4:18" x14ac:dyDescent="0.25">
      <c r="D389" s="34"/>
      <c r="F389" s="30"/>
      <c r="G389" s="30"/>
      <c r="K389" s="30"/>
      <c r="Q389">
        <f t="shared" si="8"/>
        <v>46111</v>
      </c>
      <c r="R389">
        <f>_xlfn.XLOOKUP(P389,'Painel Fertilizers'!$B:$B,'Painel Fertilizers'!$B:$B,0)</f>
        <v>0</v>
      </c>
    </row>
    <row r="390" spans="4:18" x14ac:dyDescent="0.25">
      <c r="D390" s="34"/>
      <c r="F390" s="30"/>
      <c r="K390" s="30"/>
      <c r="Q390">
        <f t="shared" si="8"/>
        <v>46111</v>
      </c>
      <c r="R390">
        <f>_xlfn.XLOOKUP(P390,'Painel Fertilizers'!$B:$B,'Painel Fertilizers'!$B:$B,0)</f>
        <v>0</v>
      </c>
    </row>
    <row r="391" spans="4:18" x14ac:dyDescent="0.25">
      <c r="D391" s="34"/>
      <c r="F391" s="30"/>
      <c r="K391" s="30"/>
      <c r="Q391">
        <f t="shared" si="8"/>
        <v>46111</v>
      </c>
      <c r="R391">
        <f>_xlfn.XLOOKUP(P391,'Painel Fertilizers'!$B:$B,'Painel Fertilizers'!$B:$B,0)</f>
        <v>0</v>
      </c>
    </row>
    <row r="392" spans="4:18" x14ac:dyDescent="0.25">
      <c r="Q392">
        <f t="shared" si="8"/>
        <v>46111</v>
      </c>
      <c r="R392">
        <f>_xlfn.XLOOKUP(P392,'Painel Fertilizers'!$B:$B,'Painel Fertilizers'!$B:$B,0)</f>
        <v>0</v>
      </c>
    </row>
  </sheetData>
  <autoFilter ref="A2:S391" xr:uid="{44BAA583-B199-4777-8608-3512A75541B2}"/>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R96"/>
  <sheetViews>
    <sheetView showGridLines="0" tabSelected="1"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AH4" sqref="AH4:AH96"/>
    </sheetView>
  </sheetViews>
  <sheetFormatPr defaultColWidth="8.88671875" defaultRowHeight="13.2" outlineLevelCol="2" x14ac:dyDescent="0.25"/>
  <cols>
    <col min="1" max="1" width="3.109375" style="255" customWidth="1"/>
    <col min="2" max="2" width="19.109375" style="276" customWidth="1"/>
    <col min="3" max="3" width="49.109375" style="253" customWidth="1"/>
    <col min="4" max="4" width="13.88671875" style="253" hidden="1" customWidth="1"/>
    <col min="5" max="5" width="5.88671875" style="253" hidden="1" customWidth="1"/>
    <col min="6" max="6" width="17.6640625" style="253" bestFit="1" customWidth="1"/>
    <col min="7" max="7" width="18.109375" style="253" customWidth="1" outlineLevel="1"/>
    <col min="8" max="8" width="17.33203125" style="253" customWidth="1" outlineLevel="1"/>
    <col min="9" max="9" width="18" style="253" hidden="1" customWidth="1" outlineLevel="2"/>
    <col min="10" max="11" width="17.6640625" style="253" hidden="1" customWidth="1" outlineLevel="2"/>
    <col min="12" max="12" width="18.88671875" style="253" hidden="1" customWidth="1" outlineLevel="2"/>
    <col min="13" max="14" width="20.33203125" style="253" hidden="1" customWidth="1" outlineLevel="2"/>
    <col min="15" max="15" width="21.33203125" style="253" hidden="1" customWidth="1" outlineLevel="2"/>
    <col min="16" max="16" width="14.109375" style="253" customWidth="1" outlineLevel="1" collapsed="1"/>
    <col min="17" max="17" width="14.88671875" style="253" customWidth="1" outlineLevel="1"/>
    <col min="18" max="18" width="16.6640625" style="253" hidden="1" customWidth="1" outlineLevel="2"/>
    <col min="19" max="19" width="17.88671875" style="253" hidden="1" customWidth="1" outlineLevel="2"/>
    <col min="20" max="20" width="17.6640625" style="253" hidden="1" customWidth="1" outlineLevel="2"/>
    <col min="21" max="21" width="12.109375" style="253" hidden="1" customWidth="1" outlineLevel="2"/>
    <col min="22" max="22" width="13.33203125" style="253" hidden="1" customWidth="1" outlineLevel="2"/>
    <col min="23" max="23" width="13.88671875" style="253" hidden="1" customWidth="1" outlineLevel="2"/>
    <col min="24" max="24" width="22.44140625" style="253" hidden="1" customWidth="1" outlineLevel="2"/>
    <col min="25" max="25" width="13.44140625" style="253" hidden="1" customWidth="1" outlineLevel="2"/>
    <col min="26" max="26" width="2.6640625" style="253" customWidth="1" outlineLevel="1" collapsed="1"/>
    <col min="27" max="27" width="2.6640625" style="253" customWidth="1" outlineLevel="1"/>
    <col min="28" max="28" width="17.109375" style="253" bestFit="1" customWidth="1"/>
    <col min="29" max="29" width="15.109375" style="253" hidden="1" customWidth="1"/>
    <col min="30" max="30" width="9.44140625" style="253" hidden="1" customWidth="1"/>
    <col min="31" max="31" width="9.44140625" style="299" hidden="1" customWidth="1"/>
    <col min="32" max="32" width="8.6640625" style="300" hidden="1" customWidth="1"/>
    <col min="33" max="33" width="0.5546875" style="253" customWidth="1"/>
    <col min="34" max="34" width="22" style="301" customWidth="1"/>
    <col min="35" max="35" width="7.44140625" style="255" bestFit="1" customWidth="1"/>
    <col min="36" max="36" width="22" style="256" customWidth="1"/>
    <col min="37" max="37" width="14.5546875" style="256" customWidth="1"/>
    <col min="38" max="38" width="13.109375" style="256" customWidth="1"/>
    <col min="39" max="39" width="11.88671875" style="255" bestFit="1" customWidth="1"/>
    <col min="40" max="40" width="14" style="255" bestFit="1" customWidth="1"/>
    <col min="41" max="43" width="8.88671875" style="255"/>
    <col min="44" max="44" width="11.109375" style="255" customWidth="1"/>
    <col min="45" max="16384" width="8.88671875" style="255"/>
  </cols>
  <sheetData>
    <row r="1" spans="1:44" s="9" customFormat="1" x14ac:dyDescent="0.25">
      <c r="A1" s="165"/>
      <c r="B1" s="190"/>
      <c r="C1" s="167">
        <v>46112</v>
      </c>
      <c r="D1" s="190"/>
      <c r="E1" s="190"/>
      <c r="F1" s="190"/>
      <c r="G1" s="190"/>
      <c r="H1" s="398">
        <f t="shared" ref="H1:Y1" si="0">SUBTOTAL(9,H4:H1048576)</f>
        <v>61223249.939999998</v>
      </c>
      <c r="I1" s="189">
        <f t="shared" si="0"/>
        <v>72190.8</v>
      </c>
      <c r="J1" s="189">
        <f t="shared" si="0"/>
        <v>303.01</v>
      </c>
      <c r="K1" s="189">
        <f t="shared" si="0"/>
        <v>14548.35</v>
      </c>
      <c r="L1" s="189">
        <f t="shared" si="0"/>
        <v>0</v>
      </c>
      <c r="M1" s="189">
        <f t="shared" si="0"/>
        <v>255619.12</v>
      </c>
      <c r="N1" s="189">
        <f t="shared" si="0"/>
        <v>1186379.29</v>
      </c>
      <c r="O1" s="189">
        <f t="shared" si="0"/>
        <v>21350076.989999998</v>
      </c>
      <c r="P1" s="189">
        <f t="shared" si="0"/>
        <v>22879117.560000006</v>
      </c>
      <c r="Q1" s="189">
        <f t="shared" si="0"/>
        <v>38344132.379999995</v>
      </c>
      <c r="R1" s="189">
        <f t="shared" si="0"/>
        <v>16896761.819999997</v>
      </c>
      <c r="S1" s="189">
        <f t="shared" si="0"/>
        <v>11340556.190000003</v>
      </c>
      <c r="T1" s="189">
        <f t="shared" si="0"/>
        <v>8013182.7699999986</v>
      </c>
      <c r="U1" s="189">
        <f t="shared" si="0"/>
        <v>530955.9</v>
      </c>
      <c r="V1" s="189">
        <f t="shared" si="0"/>
        <v>1062167.56</v>
      </c>
      <c r="W1" s="189">
        <f t="shared" si="0"/>
        <v>403738.13</v>
      </c>
      <c r="X1" s="189">
        <f t="shared" si="0"/>
        <v>96770.01</v>
      </c>
      <c r="Y1" s="189">
        <f t="shared" si="0"/>
        <v>10608862.462299997</v>
      </c>
      <c r="Z1" s="191"/>
      <c r="AA1" s="191"/>
      <c r="AB1" s="189">
        <f>SUBTOTAL(9,AB4:AB1048576)</f>
        <v>91597500</v>
      </c>
      <c r="AC1" s="229"/>
      <c r="AD1" s="189"/>
      <c r="AE1" s="189"/>
      <c r="AF1" s="189"/>
      <c r="AH1" s="325">
        <f>SUBTOTAL(9,AH4:AH1048576)</f>
        <v>33026571.300000001</v>
      </c>
      <c r="AI1" s="10"/>
      <c r="AJ1" s="327">
        <f>P1/H1</f>
        <v>0.37369982126760659</v>
      </c>
      <c r="AK1" s="115"/>
      <c r="AL1" s="115"/>
      <c r="AN1" s="231"/>
    </row>
    <row r="2" spans="1:44" s="192" customFormat="1" ht="12.6" customHeight="1" thickBot="1" x14ac:dyDescent="0.3">
      <c r="B2" s="95"/>
      <c r="C2" s="95"/>
      <c r="D2" s="95"/>
      <c r="E2" s="95"/>
      <c r="F2" s="290"/>
      <c r="G2" s="290"/>
      <c r="H2" s="118"/>
      <c r="I2" s="266" t="s">
        <v>26</v>
      </c>
      <c r="J2" s="266"/>
      <c r="K2" s="266"/>
      <c r="L2" s="266"/>
      <c r="M2" s="266"/>
      <c r="N2" s="266"/>
      <c r="O2" s="266"/>
      <c r="P2" s="289"/>
      <c r="Q2" s="289"/>
      <c r="R2" s="33" t="s">
        <v>16</v>
      </c>
      <c r="S2" s="33"/>
      <c r="T2" s="33"/>
      <c r="U2" s="33"/>
      <c r="V2" s="33"/>
      <c r="W2" s="33"/>
      <c r="X2" s="33"/>
      <c r="Y2" s="116"/>
      <c r="Z2" s="288"/>
      <c r="AA2" s="288"/>
      <c r="AB2" s="118"/>
      <c r="AC2" s="118"/>
      <c r="AD2" s="225"/>
      <c r="AE2" s="225"/>
      <c r="AF2" s="225"/>
      <c r="AG2" s="288"/>
      <c r="AH2" s="326"/>
      <c r="AI2" s="6"/>
      <c r="AJ2" s="117" t="s">
        <v>482</v>
      </c>
      <c r="AK2" s="117"/>
      <c r="AL2" s="117"/>
      <c r="AN2" s="230"/>
    </row>
    <row r="3" spans="1:44" s="192" customFormat="1" ht="28.8" thickTop="1" thickBot="1" x14ac:dyDescent="0.3">
      <c r="A3" s="192" t="s">
        <v>225</v>
      </c>
      <c r="B3" s="293" t="s">
        <v>339</v>
      </c>
      <c r="C3" s="292" t="s">
        <v>22</v>
      </c>
      <c r="D3" s="95" t="s">
        <v>436</v>
      </c>
      <c r="E3" s="95"/>
      <c r="F3" s="291" t="s">
        <v>478</v>
      </c>
      <c r="G3" s="291" t="s">
        <v>479</v>
      </c>
      <c r="H3" s="284" t="s">
        <v>17</v>
      </c>
      <c r="I3" s="267" t="s">
        <v>9</v>
      </c>
      <c r="J3" s="267" t="s">
        <v>10</v>
      </c>
      <c r="K3" s="267" t="s">
        <v>11</v>
      </c>
      <c r="L3" s="267" t="s">
        <v>12</v>
      </c>
      <c r="M3" s="267" t="s">
        <v>13</v>
      </c>
      <c r="N3" s="267" t="s">
        <v>14</v>
      </c>
      <c r="O3" s="268" t="s">
        <v>15</v>
      </c>
      <c r="P3" s="285" t="s">
        <v>27</v>
      </c>
      <c r="Q3" s="285" t="s">
        <v>8</v>
      </c>
      <c r="R3" s="12" t="s">
        <v>9</v>
      </c>
      <c r="S3" s="12" t="s">
        <v>10</v>
      </c>
      <c r="T3" s="12" t="s">
        <v>11</v>
      </c>
      <c r="U3" s="12" t="s">
        <v>12</v>
      </c>
      <c r="V3" s="12" t="s">
        <v>13</v>
      </c>
      <c r="W3" s="12" t="s">
        <v>14</v>
      </c>
      <c r="X3" s="265" t="s">
        <v>15</v>
      </c>
      <c r="Y3" s="116" t="s">
        <v>298</v>
      </c>
      <c r="Z3" s="288" t="s">
        <v>225</v>
      </c>
      <c r="AA3" s="288" t="s">
        <v>225</v>
      </c>
      <c r="AB3" s="284" t="s">
        <v>480</v>
      </c>
      <c r="AC3" s="118" t="s">
        <v>486</v>
      </c>
      <c r="AD3" s="170" t="s">
        <v>20</v>
      </c>
      <c r="AE3" s="170" t="s">
        <v>554</v>
      </c>
      <c r="AF3" s="170" t="s">
        <v>23</v>
      </c>
      <c r="AG3" s="288" t="s">
        <v>225</v>
      </c>
      <c r="AH3" s="298" t="s">
        <v>715</v>
      </c>
      <c r="AI3" s="6" t="s">
        <v>225</v>
      </c>
      <c r="AJ3" s="286" t="s">
        <v>483</v>
      </c>
      <c r="AK3" s="287" t="s">
        <v>484</v>
      </c>
      <c r="AL3" s="287" t="s">
        <v>485</v>
      </c>
    </row>
    <row r="4" spans="1:44" s="252" customFormat="1" ht="13.8" thickTop="1" x14ac:dyDescent="0.25">
      <c r="A4" s="255"/>
      <c r="B4" s="251" t="s">
        <v>689</v>
      </c>
      <c r="C4" s="120" t="s">
        <v>177</v>
      </c>
      <c r="D4" s="330">
        <v>0</v>
      </c>
      <c r="E4" s="362"/>
      <c r="F4" s="121">
        <v>0</v>
      </c>
      <c r="G4" s="121">
        <v>-7560727.799999997</v>
      </c>
      <c r="H4" s="121">
        <v>7560727.799999997</v>
      </c>
      <c r="I4" s="182">
        <v>0</v>
      </c>
      <c r="J4" s="182">
        <v>0</v>
      </c>
      <c r="K4" s="182">
        <v>0</v>
      </c>
      <c r="L4" s="182">
        <v>0</v>
      </c>
      <c r="M4" s="182">
        <v>0</v>
      </c>
      <c r="N4" s="182">
        <v>0</v>
      </c>
      <c r="O4" s="187">
        <v>7560727.799999997</v>
      </c>
      <c r="P4" s="122">
        <v>7560727.799999997</v>
      </c>
      <c r="Q4" s="122">
        <v>0</v>
      </c>
      <c r="R4" s="182">
        <v>0</v>
      </c>
      <c r="S4" s="182">
        <v>0</v>
      </c>
      <c r="T4" s="182">
        <v>0</v>
      </c>
      <c r="U4" s="182">
        <v>0</v>
      </c>
      <c r="V4" s="182">
        <v>0</v>
      </c>
      <c r="W4" s="182">
        <v>0</v>
      </c>
      <c r="X4" s="187">
        <v>0</v>
      </c>
      <c r="Y4" s="182">
        <v>0</v>
      </c>
      <c r="Z4" s="124"/>
      <c r="AA4" s="124"/>
      <c r="AB4" s="122">
        <v>0</v>
      </c>
      <c r="AC4" s="392"/>
      <c r="AD4" s="392"/>
      <c r="AE4" s="393"/>
      <c r="AF4" s="394"/>
      <c r="AG4" s="253"/>
      <c r="AH4" s="385">
        <f>MAX(H4-AB4,0)</f>
        <v>7560727.799999997</v>
      </c>
      <c r="AI4" s="255"/>
      <c r="AJ4" s="256"/>
      <c r="AK4" s="256"/>
      <c r="AL4" s="256"/>
    </row>
    <row r="5" spans="1:44" s="251" customFormat="1" x14ac:dyDescent="0.25">
      <c r="A5" s="255"/>
      <c r="B5" s="252" t="s">
        <v>547</v>
      </c>
      <c r="C5" s="168" t="s">
        <v>531</v>
      </c>
      <c r="D5" s="330" t="s">
        <v>455</v>
      </c>
      <c r="E5" s="362"/>
      <c r="F5" s="181">
        <v>10000000</v>
      </c>
      <c r="G5" s="181">
        <v>4392219.7</v>
      </c>
      <c r="H5" s="181">
        <v>5607780.2999999998</v>
      </c>
      <c r="I5" s="182">
        <v>0</v>
      </c>
      <c r="J5" s="182">
        <v>0</v>
      </c>
      <c r="K5" s="182">
        <v>0</v>
      </c>
      <c r="L5" s="182">
        <v>0</v>
      </c>
      <c r="M5" s="182">
        <v>0</v>
      </c>
      <c r="N5" s="182">
        <v>0</v>
      </c>
      <c r="O5" s="187">
        <v>0</v>
      </c>
      <c r="P5" s="182">
        <v>0</v>
      </c>
      <c r="Q5" s="182">
        <v>5607780.2999999998</v>
      </c>
      <c r="R5" s="182">
        <v>909427.19999999995</v>
      </c>
      <c r="S5" s="182">
        <v>1601211.3</v>
      </c>
      <c r="T5" s="182">
        <v>2751225.8999999994</v>
      </c>
      <c r="U5" s="182">
        <v>345915.9</v>
      </c>
      <c r="V5" s="182">
        <v>0</v>
      </c>
      <c r="W5" s="182">
        <v>0</v>
      </c>
      <c r="X5" s="187">
        <v>0</v>
      </c>
      <c r="Y5" s="182">
        <v>16500</v>
      </c>
      <c r="Z5" s="183"/>
      <c r="AA5" s="183"/>
      <c r="AB5" s="182">
        <v>10000000</v>
      </c>
      <c r="AC5" s="392"/>
      <c r="AD5" s="392"/>
      <c r="AE5" s="393"/>
      <c r="AF5" s="394"/>
      <c r="AG5" s="253"/>
      <c r="AH5" s="385">
        <f t="shared" ref="AH5:AH68" si="1">MAX(H5-AB5,0)</f>
        <v>0</v>
      </c>
      <c r="AI5" s="255"/>
      <c r="AJ5" s="256"/>
      <c r="AK5" s="256"/>
      <c r="AL5" s="256"/>
      <c r="AN5" s="252" t="s">
        <v>920</v>
      </c>
    </row>
    <row r="6" spans="1:44" s="252" customFormat="1" x14ac:dyDescent="0.25">
      <c r="A6" s="255"/>
      <c r="B6" s="252" t="s">
        <v>547</v>
      </c>
      <c r="C6" s="168" t="s">
        <v>500</v>
      </c>
      <c r="D6" s="330">
        <v>0</v>
      </c>
      <c r="E6" s="362"/>
      <c r="F6" s="181">
        <v>20000000</v>
      </c>
      <c r="G6" s="181">
        <v>14503485.33</v>
      </c>
      <c r="H6" s="181">
        <v>5496514.6699999999</v>
      </c>
      <c r="I6" s="182">
        <v>0</v>
      </c>
      <c r="J6" s="182">
        <v>0</v>
      </c>
      <c r="K6" s="182">
        <v>0</v>
      </c>
      <c r="L6" s="182">
        <v>0</v>
      </c>
      <c r="M6" s="182">
        <v>0</v>
      </c>
      <c r="N6" s="182">
        <v>64.2</v>
      </c>
      <c r="O6" s="187">
        <v>16754.72</v>
      </c>
      <c r="P6" s="182">
        <v>16818.920000000002</v>
      </c>
      <c r="Q6" s="182">
        <v>5479695.75</v>
      </c>
      <c r="R6" s="182">
        <v>2323797.5300000003</v>
      </c>
      <c r="S6" s="182">
        <v>2605110.92</v>
      </c>
      <c r="T6" s="182">
        <v>550787.30000000005</v>
      </c>
      <c r="U6" s="182">
        <v>0</v>
      </c>
      <c r="V6" s="182">
        <v>0</v>
      </c>
      <c r="W6" s="182">
        <v>0</v>
      </c>
      <c r="X6" s="187">
        <v>0</v>
      </c>
      <c r="Y6" s="182">
        <v>84763.766000000003</v>
      </c>
      <c r="Z6" s="183"/>
      <c r="AA6" s="183"/>
      <c r="AB6" s="182">
        <v>15000000</v>
      </c>
      <c r="AC6" s="392"/>
      <c r="AD6" s="392"/>
      <c r="AE6" s="393"/>
      <c r="AF6" s="394"/>
      <c r="AG6" s="253"/>
      <c r="AH6" s="385">
        <f t="shared" si="1"/>
        <v>0</v>
      </c>
      <c r="AI6" s="255"/>
      <c r="AJ6" s="256"/>
      <c r="AK6" s="256"/>
      <c r="AL6" s="256"/>
      <c r="AN6" s="252" t="s">
        <v>547</v>
      </c>
    </row>
    <row r="7" spans="1:44" s="251" customFormat="1" x14ac:dyDescent="0.25">
      <c r="A7" s="255"/>
      <c r="B7" s="252" t="s">
        <v>920</v>
      </c>
      <c r="C7" s="168" t="s">
        <v>337</v>
      </c>
      <c r="D7" s="330">
        <v>0</v>
      </c>
      <c r="E7" s="362"/>
      <c r="F7" s="181">
        <v>0</v>
      </c>
      <c r="G7" s="181">
        <v>-3280155.1799999997</v>
      </c>
      <c r="H7" s="181">
        <v>3280155.1799999997</v>
      </c>
      <c r="I7" s="182">
        <v>0</v>
      </c>
      <c r="J7" s="182">
        <v>0</v>
      </c>
      <c r="K7" s="182">
        <v>0</v>
      </c>
      <c r="L7" s="182">
        <v>0</v>
      </c>
      <c r="M7" s="182">
        <v>0</v>
      </c>
      <c r="N7" s="182">
        <v>0</v>
      </c>
      <c r="O7" s="187">
        <v>0</v>
      </c>
      <c r="P7" s="182">
        <v>0</v>
      </c>
      <c r="Q7" s="182">
        <v>3280155.1799999997</v>
      </c>
      <c r="R7" s="182">
        <v>0</v>
      </c>
      <c r="S7" s="182">
        <v>0</v>
      </c>
      <c r="T7" s="182">
        <v>3280155.1799999997</v>
      </c>
      <c r="U7" s="182">
        <v>0</v>
      </c>
      <c r="V7" s="182">
        <v>0</v>
      </c>
      <c r="W7" s="182">
        <v>0</v>
      </c>
      <c r="X7" s="187">
        <v>0</v>
      </c>
      <c r="Y7" s="182">
        <v>0</v>
      </c>
      <c r="Z7" s="183"/>
      <c r="AA7" s="183"/>
      <c r="AB7" s="182">
        <v>0</v>
      </c>
      <c r="AC7" s="392"/>
      <c r="AD7" s="392"/>
      <c r="AE7" s="393"/>
      <c r="AF7" s="394"/>
      <c r="AG7" s="253"/>
      <c r="AH7" s="385">
        <f t="shared" si="1"/>
        <v>3280155.1799999997</v>
      </c>
      <c r="AI7" s="255"/>
      <c r="AJ7" s="256"/>
      <c r="AK7" s="256"/>
      <c r="AL7" s="256"/>
      <c r="AN7" s="252" t="s">
        <v>342</v>
      </c>
    </row>
    <row r="8" spans="1:44" s="251" customFormat="1" x14ac:dyDescent="0.25">
      <c r="A8" s="255"/>
      <c r="B8" s="252" t="s">
        <v>547</v>
      </c>
      <c r="C8" s="168" t="s">
        <v>420</v>
      </c>
      <c r="D8" s="330" t="s">
        <v>455</v>
      </c>
      <c r="E8" s="362"/>
      <c r="F8" s="181">
        <v>6000000</v>
      </c>
      <c r="G8" s="181">
        <v>2910281.48</v>
      </c>
      <c r="H8" s="181">
        <v>3089718.52</v>
      </c>
      <c r="I8" s="182">
        <v>10800</v>
      </c>
      <c r="J8" s="182">
        <v>0</v>
      </c>
      <c r="K8" s="182">
        <v>0</v>
      </c>
      <c r="L8" s="182">
        <v>0</v>
      </c>
      <c r="M8" s="182">
        <v>0</v>
      </c>
      <c r="N8" s="182">
        <v>0</v>
      </c>
      <c r="O8" s="187">
        <v>5626.32</v>
      </c>
      <c r="P8" s="182">
        <v>16426.32</v>
      </c>
      <c r="Q8" s="182">
        <v>3073292.2</v>
      </c>
      <c r="R8" s="331">
        <v>1988602.43</v>
      </c>
      <c r="S8" s="182">
        <v>1084689.77</v>
      </c>
      <c r="T8" s="182">
        <v>0</v>
      </c>
      <c r="U8" s="182">
        <v>0</v>
      </c>
      <c r="V8" s="182">
        <v>0</v>
      </c>
      <c r="W8" s="182">
        <v>0</v>
      </c>
      <c r="X8" s="187">
        <v>0</v>
      </c>
      <c r="Y8" s="182">
        <v>63226.319999999992</v>
      </c>
      <c r="Z8" s="183"/>
      <c r="AA8" s="183"/>
      <c r="AB8" s="182">
        <v>6000000</v>
      </c>
      <c r="AC8" s="392"/>
      <c r="AD8" s="392"/>
      <c r="AE8" s="393"/>
      <c r="AF8" s="394"/>
      <c r="AG8" s="253"/>
      <c r="AH8" s="385">
        <f t="shared" si="1"/>
        <v>0</v>
      </c>
      <c r="AI8" s="255"/>
      <c r="AJ8" s="256"/>
      <c r="AK8" s="256"/>
      <c r="AL8" s="256"/>
      <c r="AN8" s="252"/>
      <c r="AR8" s="391"/>
    </row>
    <row r="9" spans="1:44" s="251" customFormat="1" x14ac:dyDescent="0.25">
      <c r="A9" s="255"/>
      <c r="B9" s="251" t="s">
        <v>689</v>
      </c>
      <c r="C9" s="120" t="s">
        <v>429</v>
      </c>
      <c r="D9" s="330">
        <v>0</v>
      </c>
      <c r="E9" s="362"/>
      <c r="F9" s="121">
        <v>0</v>
      </c>
      <c r="G9" s="121">
        <v>-3088531.0700000008</v>
      </c>
      <c r="H9" s="121">
        <v>3088531.0700000008</v>
      </c>
      <c r="I9" s="182">
        <v>0</v>
      </c>
      <c r="J9" s="182">
        <v>0</v>
      </c>
      <c r="K9" s="182">
        <v>0</v>
      </c>
      <c r="L9" s="182">
        <v>0</v>
      </c>
      <c r="M9" s="182">
        <v>0</v>
      </c>
      <c r="N9" s="182">
        <v>0</v>
      </c>
      <c r="O9" s="187">
        <v>3088531.0700000008</v>
      </c>
      <c r="P9" s="122">
        <v>3088531.0700000008</v>
      </c>
      <c r="Q9" s="122">
        <v>0</v>
      </c>
      <c r="R9" s="182">
        <v>0</v>
      </c>
      <c r="S9" s="182">
        <v>0</v>
      </c>
      <c r="T9" s="182">
        <v>0</v>
      </c>
      <c r="U9" s="182">
        <v>0</v>
      </c>
      <c r="V9" s="182">
        <v>0</v>
      </c>
      <c r="W9" s="182">
        <v>0</v>
      </c>
      <c r="X9" s="187">
        <v>0</v>
      </c>
      <c r="Y9" s="182">
        <v>3088531.0700000008</v>
      </c>
      <c r="Z9" s="124"/>
      <c r="AA9" s="124"/>
      <c r="AB9" s="121">
        <v>0</v>
      </c>
      <c r="AC9" s="392"/>
      <c r="AD9" s="392"/>
      <c r="AE9" s="393"/>
      <c r="AF9" s="394"/>
      <c r="AG9" s="253"/>
      <c r="AH9" s="385">
        <f t="shared" si="1"/>
        <v>3088531.0700000008</v>
      </c>
      <c r="AI9" s="255"/>
      <c r="AJ9" s="256"/>
      <c r="AK9" s="256"/>
      <c r="AL9" s="256"/>
      <c r="AN9" s="251" t="s">
        <v>689</v>
      </c>
    </row>
    <row r="10" spans="1:44" s="251" customFormat="1" x14ac:dyDescent="0.25">
      <c r="A10" s="255"/>
      <c r="B10" s="251" t="s">
        <v>689</v>
      </c>
      <c r="C10" s="120" t="s">
        <v>210</v>
      </c>
      <c r="D10" s="330">
        <v>0</v>
      </c>
      <c r="E10" s="362"/>
      <c r="F10" s="121">
        <v>0</v>
      </c>
      <c r="G10" s="121">
        <v>-3044850.9199999995</v>
      </c>
      <c r="H10" s="121">
        <v>3044850.9199999995</v>
      </c>
      <c r="I10" s="182">
        <v>0</v>
      </c>
      <c r="J10" s="182">
        <v>0</v>
      </c>
      <c r="K10" s="182">
        <v>0</v>
      </c>
      <c r="L10" s="182">
        <v>0</v>
      </c>
      <c r="M10" s="182">
        <v>0</v>
      </c>
      <c r="N10" s="182">
        <v>0</v>
      </c>
      <c r="O10" s="187">
        <v>3044850.9199999995</v>
      </c>
      <c r="P10" s="125">
        <v>3044850.9199999995</v>
      </c>
      <c r="Q10" s="125">
        <v>0</v>
      </c>
      <c r="R10" s="182">
        <v>0</v>
      </c>
      <c r="S10" s="182">
        <v>0</v>
      </c>
      <c r="T10" s="182">
        <v>0</v>
      </c>
      <c r="U10" s="182">
        <v>0</v>
      </c>
      <c r="V10" s="182">
        <v>0</v>
      </c>
      <c r="W10" s="182">
        <v>0</v>
      </c>
      <c r="X10" s="187">
        <v>0</v>
      </c>
      <c r="Y10" s="182">
        <v>3044850.9199999995</v>
      </c>
      <c r="Z10" s="124"/>
      <c r="AA10" s="124"/>
      <c r="AB10" s="122">
        <v>0</v>
      </c>
      <c r="AC10" s="392"/>
      <c r="AD10" s="392"/>
      <c r="AE10" s="393"/>
      <c r="AF10" s="394"/>
      <c r="AG10" s="253"/>
      <c r="AH10" s="385">
        <f t="shared" si="1"/>
        <v>3044850.9199999995</v>
      </c>
      <c r="AI10" s="255"/>
      <c r="AJ10" s="256"/>
      <c r="AK10" s="256"/>
      <c r="AL10" s="256"/>
    </row>
    <row r="11" spans="1:44" s="251" customFormat="1" x14ac:dyDescent="0.25">
      <c r="A11" s="255"/>
      <c r="B11" s="251" t="s">
        <v>689</v>
      </c>
      <c r="C11" s="120" t="s">
        <v>187</v>
      </c>
      <c r="D11" s="330">
        <v>0</v>
      </c>
      <c r="E11" s="362"/>
      <c r="F11" s="121">
        <v>0</v>
      </c>
      <c r="G11" s="121">
        <v>-2492842.0500000007</v>
      </c>
      <c r="H11" s="121">
        <v>2492842.0500000007</v>
      </c>
      <c r="I11" s="182">
        <v>0</v>
      </c>
      <c r="J11" s="182">
        <v>0</v>
      </c>
      <c r="K11" s="182">
        <v>0</v>
      </c>
      <c r="L11" s="182">
        <v>0</v>
      </c>
      <c r="M11" s="182">
        <v>0</v>
      </c>
      <c r="N11" s="182">
        <v>0</v>
      </c>
      <c r="O11" s="187">
        <v>2492842.0500000007</v>
      </c>
      <c r="P11" s="122">
        <v>2492842.0500000007</v>
      </c>
      <c r="Q11" s="122">
        <v>0</v>
      </c>
      <c r="R11" s="182">
        <v>0</v>
      </c>
      <c r="S11" s="182">
        <v>0</v>
      </c>
      <c r="T11" s="182">
        <v>0</v>
      </c>
      <c r="U11" s="182">
        <v>0</v>
      </c>
      <c r="V11" s="182">
        <v>0</v>
      </c>
      <c r="W11" s="182">
        <v>0</v>
      </c>
      <c r="X11" s="187">
        <v>0</v>
      </c>
      <c r="Y11" s="182">
        <v>0</v>
      </c>
      <c r="Z11" s="124"/>
      <c r="AA11" s="124"/>
      <c r="AB11" s="121">
        <v>0</v>
      </c>
      <c r="AC11" s="392"/>
      <c r="AD11" s="392"/>
      <c r="AE11" s="393"/>
      <c r="AF11" s="394"/>
      <c r="AG11" s="253"/>
      <c r="AH11" s="385">
        <f t="shared" si="1"/>
        <v>2492842.0500000007</v>
      </c>
      <c r="AI11" s="255"/>
      <c r="AJ11" s="256"/>
      <c r="AK11" s="256"/>
      <c r="AL11" s="256"/>
      <c r="AR11" s="264"/>
    </row>
    <row r="12" spans="1:44" s="253" customFormat="1" x14ac:dyDescent="0.25">
      <c r="A12" s="255"/>
      <c r="B12" s="252" t="s">
        <v>342</v>
      </c>
      <c r="C12" s="168" t="s">
        <v>553</v>
      </c>
      <c r="D12" s="330" t="s">
        <v>455</v>
      </c>
      <c r="E12" s="362">
        <v>180</v>
      </c>
      <c r="F12" s="181">
        <v>4000000</v>
      </c>
      <c r="G12" s="181">
        <v>1966426.38</v>
      </c>
      <c r="H12" s="181">
        <v>2033573.62</v>
      </c>
      <c r="I12" s="182">
        <v>0</v>
      </c>
      <c r="J12" s="182">
        <v>0</v>
      </c>
      <c r="K12" s="182">
        <v>0</v>
      </c>
      <c r="L12" s="182">
        <v>0</v>
      </c>
      <c r="M12" s="182">
        <v>0</v>
      </c>
      <c r="N12" s="182">
        <v>0</v>
      </c>
      <c r="O12" s="187">
        <v>0</v>
      </c>
      <c r="P12" s="182">
        <v>0</v>
      </c>
      <c r="Q12" s="182">
        <v>2033573.62</v>
      </c>
      <c r="R12" s="182">
        <v>185774.02</v>
      </c>
      <c r="S12" s="182">
        <v>1847799.6</v>
      </c>
      <c r="T12" s="182">
        <v>0</v>
      </c>
      <c r="U12" s="182">
        <v>0</v>
      </c>
      <c r="V12" s="182">
        <v>0</v>
      </c>
      <c r="W12" s="182">
        <v>0</v>
      </c>
      <c r="X12" s="187">
        <v>0</v>
      </c>
      <c r="Y12" s="182">
        <v>0</v>
      </c>
      <c r="Z12" s="183"/>
      <c r="AA12" s="183"/>
      <c r="AB12" s="182">
        <v>1000000</v>
      </c>
      <c r="AC12" s="392"/>
      <c r="AD12" s="392"/>
      <c r="AE12" s="393"/>
      <c r="AF12" s="394"/>
      <c r="AH12" s="385">
        <f t="shared" si="1"/>
        <v>1033573.6200000001</v>
      </c>
      <c r="AI12" s="255"/>
      <c r="AJ12" s="256"/>
      <c r="AK12" s="256"/>
      <c r="AL12" s="256"/>
    </row>
    <row r="13" spans="1:44" s="254" customFormat="1" ht="13.95" customHeight="1" x14ac:dyDescent="0.25">
      <c r="A13" s="255"/>
      <c r="B13" s="251" t="s">
        <v>689</v>
      </c>
      <c r="C13" s="120" t="s">
        <v>195</v>
      </c>
      <c r="D13" s="330">
        <v>0</v>
      </c>
      <c r="E13" s="362"/>
      <c r="F13" s="121">
        <v>0</v>
      </c>
      <c r="G13" s="121">
        <v>-1863200.9</v>
      </c>
      <c r="H13" s="121">
        <v>1863200.9</v>
      </c>
      <c r="I13" s="182">
        <v>0</v>
      </c>
      <c r="J13" s="182">
        <v>0</v>
      </c>
      <c r="K13" s="182">
        <v>0</v>
      </c>
      <c r="L13" s="182">
        <v>0</v>
      </c>
      <c r="M13" s="182">
        <v>0</v>
      </c>
      <c r="N13" s="182">
        <v>0</v>
      </c>
      <c r="O13" s="187">
        <v>1863200.9</v>
      </c>
      <c r="P13" s="122">
        <v>1863200.9</v>
      </c>
      <c r="Q13" s="122">
        <v>0</v>
      </c>
      <c r="R13" s="182">
        <v>0</v>
      </c>
      <c r="S13" s="182">
        <v>0</v>
      </c>
      <c r="T13" s="182">
        <v>0</v>
      </c>
      <c r="U13" s="182">
        <v>0</v>
      </c>
      <c r="V13" s="182">
        <v>0</v>
      </c>
      <c r="W13" s="182">
        <v>0</v>
      </c>
      <c r="X13" s="187">
        <v>0</v>
      </c>
      <c r="Y13" s="182">
        <v>1863200.9</v>
      </c>
      <c r="Z13" s="124"/>
      <c r="AA13" s="124"/>
      <c r="AB13" s="122">
        <v>0</v>
      </c>
      <c r="AC13" s="392"/>
      <c r="AD13" s="392"/>
      <c r="AE13" s="393"/>
      <c r="AF13" s="394"/>
      <c r="AG13" s="253"/>
      <c r="AH13" s="385">
        <f t="shared" si="1"/>
        <v>1863200.9</v>
      </c>
      <c r="AI13" s="255"/>
      <c r="AJ13" s="256"/>
      <c r="AK13" s="256"/>
      <c r="AL13" s="256"/>
    </row>
    <row r="14" spans="1:44" s="254" customFormat="1" ht="13.95" customHeight="1" x14ac:dyDescent="0.25">
      <c r="A14" s="255"/>
      <c r="B14" s="251" t="s">
        <v>689</v>
      </c>
      <c r="C14" s="120" t="s">
        <v>199</v>
      </c>
      <c r="D14" s="330">
        <v>0</v>
      </c>
      <c r="E14" s="362"/>
      <c r="F14" s="121">
        <v>0</v>
      </c>
      <c r="G14" s="121">
        <v>-1702848.7400000002</v>
      </c>
      <c r="H14" s="121">
        <v>1702848.7400000002</v>
      </c>
      <c r="I14" s="182">
        <v>0</v>
      </c>
      <c r="J14" s="182">
        <v>0</v>
      </c>
      <c r="K14" s="182">
        <v>0</v>
      </c>
      <c r="L14" s="182">
        <v>0</v>
      </c>
      <c r="M14" s="182">
        <v>0</v>
      </c>
      <c r="N14" s="182">
        <v>0</v>
      </c>
      <c r="O14" s="187">
        <v>1702848.7400000002</v>
      </c>
      <c r="P14" s="122">
        <v>1702848.7400000002</v>
      </c>
      <c r="Q14" s="122">
        <v>0</v>
      </c>
      <c r="R14" s="182">
        <v>0</v>
      </c>
      <c r="S14" s="182">
        <v>0</v>
      </c>
      <c r="T14" s="182">
        <v>0</v>
      </c>
      <c r="U14" s="182">
        <v>0</v>
      </c>
      <c r="V14" s="182">
        <v>0</v>
      </c>
      <c r="W14" s="182">
        <v>0</v>
      </c>
      <c r="X14" s="187">
        <v>0</v>
      </c>
      <c r="Y14" s="182">
        <v>1702848.7400000002</v>
      </c>
      <c r="Z14" s="124"/>
      <c r="AA14" s="124"/>
      <c r="AB14" s="122">
        <v>0</v>
      </c>
      <c r="AC14" s="392"/>
      <c r="AD14" s="392"/>
      <c r="AE14" s="393"/>
      <c r="AF14" s="394"/>
      <c r="AG14" s="253"/>
      <c r="AH14" s="385">
        <f t="shared" si="1"/>
        <v>1702848.7400000002</v>
      </c>
      <c r="AI14" s="255"/>
      <c r="AJ14" s="256"/>
      <c r="AK14" s="256"/>
      <c r="AL14" s="256"/>
    </row>
    <row r="15" spans="1:44" x14ac:dyDescent="0.25">
      <c r="B15" s="252" t="s">
        <v>342</v>
      </c>
      <c r="C15" s="168" t="s">
        <v>182</v>
      </c>
      <c r="D15" s="330" t="s">
        <v>455</v>
      </c>
      <c r="E15" s="362"/>
      <c r="F15" s="181">
        <v>1800000</v>
      </c>
      <c r="G15" s="181">
        <v>599809.58000000007</v>
      </c>
      <c r="H15" s="181">
        <v>1200190.42</v>
      </c>
      <c r="I15" s="182">
        <v>0</v>
      </c>
      <c r="J15" s="182">
        <v>0</v>
      </c>
      <c r="K15" s="182">
        <v>0</v>
      </c>
      <c r="L15" s="182">
        <v>0</v>
      </c>
      <c r="M15" s="182">
        <v>0</v>
      </c>
      <c r="N15" s="182">
        <v>0</v>
      </c>
      <c r="O15" s="187">
        <v>0</v>
      </c>
      <c r="P15" s="182">
        <v>0</v>
      </c>
      <c r="Q15" s="182">
        <v>1200190.42</v>
      </c>
      <c r="R15" s="331">
        <v>0</v>
      </c>
      <c r="S15" s="182">
        <v>274733.36</v>
      </c>
      <c r="T15" s="182">
        <v>0</v>
      </c>
      <c r="U15" s="182">
        <v>0</v>
      </c>
      <c r="V15" s="182">
        <v>925457.05999999994</v>
      </c>
      <c r="W15" s="182">
        <v>0</v>
      </c>
      <c r="X15" s="187">
        <v>0</v>
      </c>
      <c r="Y15" s="182">
        <v>0</v>
      </c>
      <c r="Z15" s="183"/>
      <c r="AA15" s="183"/>
      <c r="AB15" s="182">
        <v>500000</v>
      </c>
      <c r="AC15" s="392"/>
      <c r="AD15" s="392"/>
      <c r="AE15" s="393"/>
      <c r="AF15" s="394"/>
      <c r="AH15" s="385">
        <f t="shared" si="1"/>
        <v>700190.41999999993</v>
      </c>
    </row>
    <row r="16" spans="1:44" x14ac:dyDescent="0.25">
      <c r="B16" s="252" t="s">
        <v>342</v>
      </c>
      <c r="C16" s="168" t="s">
        <v>270</v>
      </c>
      <c r="D16" s="330">
        <v>0</v>
      </c>
      <c r="E16" s="362"/>
      <c r="F16" s="181">
        <v>0</v>
      </c>
      <c r="G16" s="181">
        <v>-988506.24</v>
      </c>
      <c r="H16" s="181">
        <v>988506.24</v>
      </c>
      <c r="I16" s="182">
        <v>0</v>
      </c>
      <c r="J16" s="182">
        <v>0</v>
      </c>
      <c r="K16" s="182">
        <v>0</v>
      </c>
      <c r="L16" s="182">
        <v>0</v>
      </c>
      <c r="M16" s="182">
        <v>0</v>
      </c>
      <c r="N16" s="182">
        <v>988506.24</v>
      </c>
      <c r="O16" s="187">
        <v>0</v>
      </c>
      <c r="P16" s="182">
        <v>988506.24</v>
      </c>
      <c r="Q16" s="182">
        <v>0</v>
      </c>
      <c r="R16" s="182">
        <v>0</v>
      </c>
      <c r="S16" s="182">
        <v>0</v>
      </c>
      <c r="T16" s="182">
        <v>0</v>
      </c>
      <c r="U16" s="182">
        <v>0</v>
      </c>
      <c r="V16" s="182">
        <v>0</v>
      </c>
      <c r="W16" s="182">
        <v>0</v>
      </c>
      <c r="X16" s="187">
        <v>0</v>
      </c>
      <c r="Y16" s="182">
        <v>29655.1872</v>
      </c>
      <c r="Z16" s="183"/>
      <c r="AA16" s="183"/>
      <c r="AB16" s="182">
        <v>0</v>
      </c>
      <c r="AC16" s="392"/>
      <c r="AD16" s="392"/>
      <c r="AE16" s="393"/>
      <c r="AF16" s="394"/>
      <c r="AH16" s="385">
        <f t="shared" si="1"/>
        <v>988506.24</v>
      </c>
    </row>
    <row r="17" spans="1:38" x14ac:dyDescent="0.25">
      <c r="B17" s="252" t="s">
        <v>547</v>
      </c>
      <c r="C17" s="168" t="s">
        <v>577</v>
      </c>
      <c r="D17" s="330" t="s">
        <v>455</v>
      </c>
      <c r="E17" s="362"/>
      <c r="F17" s="181">
        <v>3000000</v>
      </c>
      <c r="G17" s="181">
        <v>2026793.17</v>
      </c>
      <c r="H17" s="181">
        <v>973206.83000000007</v>
      </c>
      <c r="I17" s="182">
        <v>0</v>
      </c>
      <c r="J17" s="182">
        <v>0</v>
      </c>
      <c r="K17" s="182">
        <v>0</v>
      </c>
      <c r="L17" s="182">
        <v>0</v>
      </c>
      <c r="M17" s="182">
        <v>0</v>
      </c>
      <c r="N17" s="182">
        <v>0</v>
      </c>
      <c r="O17" s="187">
        <v>0</v>
      </c>
      <c r="P17" s="182">
        <v>0</v>
      </c>
      <c r="Q17" s="182">
        <v>973206.83000000007</v>
      </c>
      <c r="R17" s="182">
        <v>973206.83000000007</v>
      </c>
      <c r="S17" s="182">
        <v>0</v>
      </c>
      <c r="T17" s="182">
        <v>0</v>
      </c>
      <c r="U17" s="182">
        <v>0</v>
      </c>
      <c r="V17" s="182">
        <v>0</v>
      </c>
      <c r="W17" s="182">
        <v>0</v>
      </c>
      <c r="X17" s="187">
        <v>0</v>
      </c>
      <c r="Y17" s="182">
        <v>0</v>
      </c>
      <c r="Z17" s="183"/>
      <c r="AA17" s="183"/>
      <c r="AB17" s="182">
        <v>3000000</v>
      </c>
      <c r="AC17" s="392"/>
      <c r="AD17" s="392"/>
      <c r="AE17" s="393"/>
      <c r="AF17" s="394"/>
      <c r="AH17" s="385">
        <f t="shared" si="1"/>
        <v>0</v>
      </c>
    </row>
    <row r="18" spans="1:38" x14ac:dyDescent="0.25">
      <c r="B18" s="251" t="s">
        <v>689</v>
      </c>
      <c r="C18" s="120" t="s">
        <v>207</v>
      </c>
      <c r="D18" s="330">
        <v>0</v>
      </c>
      <c r="E18" s="362"/>
      <c r="F18" s="121">
        <v>0</v>
      </c>
      <c r="G18" s="121">
        <v>-876011.75</v>
      </c>
      <c r="H18" s="121">
        <v>876011.75</v>
      </c>
      <c r="I18" s="182">
        <v>0</v>
      </c>
      <c r="J18" s="182">
        <v>0</v>
      </c>
      <c r="K18" s="182">
        <v>0</v>
      </c>
      <c r="L18" s="182">
        <v>0</v>
      </c>
      <c r="M18" s="182">
        <v>0</v>
      </c>
      <c r="N18" s="182">
        <v>0</v>
      </c>
      <c r="O18" s="187">
        <v>876011.75</v>
      </c>
      <c r="P18" s="122">
        <v>876011.75</v>
      </c>
      <c r="Q18" s="122">
        <v>0</v>
      </c>
      <c r="R18" s="182">
        <v>0</v>
      </c>
      <c r="S18" s="182">
        <v>0</v>
      </c>
      <c r="T18" s="182">
        <v>0</v>
      </c>
      <c r="U18" s="182">
        <v>0</v>
      </c>
      <c r="V18" s="182">
        <v>0</v>
      </c>
      <c r="W18" s="182">
        <v>0</v>
      </c>
      <c r="X18" s="187">
        <v>0</v>
      </c>
      <c r="Y18" s="182">
        <v>0</v>
      </c>
      <c r="Z18" s="124"/>
      <c r="AA18" s="124"/>
      <c r="AB18" s="122">
        <v>0</v>
      </c>
      <c r="AC18" s="392"/>
      <c r="AD18" s="392"/>
      <c r="AE18" s="393"/>
      <c r="AF18" s="394"/>
      <c r="AH18" s="385">
        <f t="shared" si="1"/>
        <v>876011.75</v>
      </c>
    </row>
    <row r="19" spans="1:38" x14ac:dyDescent="0.25">
      <c r="B19" s="252" t="s">
        <v>547</v>
      </c>
      <c r="C19" s="168" t="s">
        <v>83</v>
      </c>
      <c r="D19" s="330" t="s">
        <v>455</v>
      </c>
      <c r="E19" s="362"/>
      <c r="F19" s="181">
        <v>3000000</v>
      </c>
      <c r="G19" s="181">
        <v>2168982.87</v>
      </c>
      <c r="H19" s="181">
        <v>831017.13</v>
      </c>
      <c r="I19" s="182">
        <v>0</v>
      </c>
      <c r="J19" s="182">
        <v>0</v>
      </c>
      <c r="K19" s="182">
        <v>0</v>
      </c>
      <c r="L19" s="182">
        <v>0</v>
      </c>
      <c r="M19" s="182">
        <v>0</v>
      </c>
      <c r="N19" s="182">
        <v>0</v>
      </c>
      <c r="O19" s="187">
        <v>0</v>
      </c>
      <c r="P19" s="182">
        <v>0</v>
      </c>
      <c r="Q19" s="182">
        <v>831017.13</v>
      </c>
      <c r="R19" s="331">
        <v>420160.61</v>
      </c>
      <c r="S19" s="182">
        <v>0</v>
      </c>
      <c r="T19" s="182">
        <v>410856.52</v>
      </c>
      <c r="U19" s="182">
        <v>0</v>
      </c>
      <c r="V19" s="182">
        <v>0</v>
      </c>
      <c r="W19" s="182">
        <v>0</v>
      </c>
      <c r="X19" s="187">
        <v>0</v>
      </c>
      <c r="Y19" s="182">
        <v>0</v>
      </c>
      <c r="Z19" s="183"/>
      <c r="AA19" s="183"/>
      <c r="AB19" s="182">
        <v>3000000</v>
      </c>
      <c r="AC19" s="392"/>
      <c r="AD19" s="392"/>
      <c r="AE19" s="393"/>
      <c r="AF19" s="394"/>
      <c r="AH19" s="385">
        <f t="shared" si="1"/>
        <v>0</v>
      </c>
    </row>
    <row r="20" spans="1:38" x14ac:dyDescent="0.25">
      <c r="B20" s="252" t="s">
        <v>342</v>
      </c>
      <c r="C20" s="168" t="s">
        <v>335</v>
      </c>
      <c r="D20" s="330" t="s">
        <v>463</v>
      </c>
      <c r="E20" s="362"/>
      <c r="F20" s="181">
        <v>500000</v>
      </c>
      <c r="G20" s="181">
        <v>-315729</v>
      </c>
      <c r="H20" s="181">
        <v>815729</v>
      </c>
      <c r="I20" s="182">
        <v>0</v>
      </c>
      <c r="J20" s="182">
        <v>0</v>
      </c>
      <c r="K20" s="182">
        <v>0</v>
      </c>
      <c r="L20" s="182">
        <v>0</v>
      </c>
      <c r="M20" s="182">
        <v>0</v>
      </c>
      <c r="N20" s="182">
        <v>0</v>
      </c>
      <c r="O20" s="187">
        <v>0</v>
      </c>
      <c r="P20" s="182">
        <v>0</v>
      </c>
      <c r="Q20" s="182">
        <v>815729</v>
      </c>
      <c r="R20" s="182">
        <v>91336</v>
      </c>
      <c r="S20" s="182">
        <v>724393</v>
      </c>
      <c r="T20" s="182">
        <v>0</v>
      </c>
      <c r="U20" s="182">
        <v>0</v>
      </c>
      <c r="V20" s="182">
        <v>0</v>
      </c>
      <c r="W20" s="182">
        <v>0</v>
      </c>
      <c r="X20" s="187">
        <v>0</v>
      </c>
      <c r="Y20" s="182">
        <v>0</v>
      </c>
      <c r="Z20" s="183"/>
      <c r="AA20" s="183"/>
      <c r="AB20" s="182">
        <v>500000</v>
      </c>
      <c r="AC20" s="392"/>
      <c r="AD20" s="392"/>
      <c r="AE20" s="393"/>
      <c r="AF20" s="394"/>
      <c r="AH20" s="385">
        <f t="shared" si="1"/>
        <v>315729</v>
      </c>
    </row>
    <row r="21" spans="1:38" ht="13.95" customHeight="1" x14ac:dyDescent="0.25">
      <c r="B21" s="252" t="s">
        <v>547</v>
      </c>
      <c r="C21" s="168" t="s">
        <v>120</v>
      </c>
      <c r="D21" s="330">
        <v>0</v>
      </c>
      <c r="E21" s="362"/>
      <c r="F21" s="181">
        <v>2500000</v>
      </c>
      <c r="G21" s="181">
        <v>1701844.3</v>
      </c>
      <c r="H21" s="181">
        <v>798155.7</v>
      </c>
      <c r="I21" s="182">
        <v>0</v>
      </c>
      <c r="J21" s="182">
        <v>0</v>
      </c>
      <c r="K21" s="182">
        <v>0</v>
      </c>
      <c r="L21" s="182">
        <v>0</v>
      </c>
      <c r="M21" s="182">
        <v>0</v>
      </c>
      <c r="N21" s="182">
        <v>0</v>
      </c>
      <c r="O21" s="187">
        <v>0</v>
      </c>
      <c r="P21" s="182">
        <v>0</v>
      </c>
      <c r="Q21" s="182">
        <v>798155.7</v>
      </c>
      <c r="R21" s="182">
        <v>798155.7</v>
      </c>
      <c r="S21" s="182">
        <v>0</v>
      </c>
      <c r="T21" s="182">
        <v>0</v>
      </c>
      <c r="U21" s="182">
        <v>0</v>
      </c>
      <c r="V21" s="182">
        <v>0</v>
      </c>
      <c r="W21" s="182">
        <v>0</v>
      </c>
      <c r="X21" s="187">
        <v>0</v>
      </c>
      <c r="Y21" s="182">
        <v>0</v>
      </c>
      <c r="Z21" s="183"/>
      <c r="AA21" s="183"/>
      <c r="AB21" s="181">
        <v>0</v>
      </c>
      <c r="AC21" s="392"/>
      <c r="AD21" s="392"/>
      <c r="AE21" s="393"/>
      <c r="AF21" s="394"/>
      <c r="AH21" s="385">
        <f t="shared" si="1"/>
        <v>798155.7</v>
      </c>
    </row>
    <row r="22" spans="1:38" x14ac:dyDescent="0.25">
      <c r="B22" s="252" t="s">
        <v>547</v>
      </c>
      <c r="C22" s="168" t="s">
        <v>417</v>
      </c>
      <c r="D22" s="330" t="s">
        <v>455</v>
      </c>
      <c r="E22" s="362"/>
      <c r="F22" s="181">
        <v>3500000</v>
      </c>
      <c r="G22" s="181">
        <v>2702861.9</v>
      </c>
      <c r="H22" s="181">
        <v>797138.1</v>
      </c>
      <c r="I22" s="182">
        <v>0</v>
      </c>
      <c r="J22" s="182">
        <v>0</v>
      </c>
      <c r="K22" s="182">
        <v>0</v>
      </c>
      <c r="L22" s="182">
        <v>0</v>
      </c>
      <c r="M22" s="182">
        <v>0</v>
      </c>
      <c r="N22" s="182">
        <v>0</v>
      </c>
      <c r="O22" s="187">
        <v>0</v>
      </c>
      <c r="P22" s="182">
        <v>0</v>
      </c>
      <c r="Q22" s="182">
        <v>797138.1</v>
      </c>
      <c r="R22" s="182">
        <v>797138.1</v>
      </c>
      <c r="S22" s="182">
        <v>0</v>
      </c>
      <c r="T22" s="182">
        <v>0</v>
      </c>
      <c r="U22" s="182">
        <v>0</v>
      </c>
      <c r="V22" s="182">
        <v>0</v>
      </c>
      <c r="W22" s="182">
        <v>0</v>
      </c>
      <c r="X22" s="187">
        <v>0</v>
      </c>
      <c r="Y22" s="182">
        <v>0</v>
      </c>
      <c r="Z22" s="183"/>
      <c r="AA22" s="183"/>
      <c r="AB22" s="182">
        <v>3500000</v>
      </c>
      <c r="AC22" s="392"/>
      <c r="AD22" s="392"/>
      <c r="AE22" s="393"/>
      <c r="AF22" s="394"/>
      <c r="AH22" s="385">
        <f t="shared" si="1"/>
        <v>0</v>
      </c>
    </row>
    <row r="23" spans="1:38" x14ac:dyDescent="0.25">
      <c r="B23" s="252" t="s">
        <v>547</v>
      </c>
      <c r="C23" s="168" t="s">
        <v>793</v>
      </c>
      <c r="D23" s="330" t="s">
        <v>469</v>
      </c>
      <c r="E23" s="362"/>
      <c r="F23" s="181">
        <v>1500000</v>
      </c>
      <c r="G23" s="181">
        <v>717150.2</v>
      </c>
      <c r="H23" s="181">
        <v>782849.8</v>
      </c>
      <c r="I23" s="182">
        <v>0</v>
      </c>
      <c r="J23" s="182">
        <v>0</v>
      </c>
      <c r="K23" s="182">
        <v>0</v>
      </c>
      <c r="L23" s="182">
        <v>0</v>
      </c>
      <c r="M23" s="182">
        <v>0</v>
      </c>
      <c r="N23" s="182">
        <v>0</v>
      </c>
      <c r="O23" s="187">
        <v>0</v>
      </c>
      <c r="P23" s="182">
        <v>0</v>
      </c>
      <c r="Q23" s="182">
        <v>782849.8</v>
      </c>
      <c r="R23" s="331">
        <v>357153</v>
      </c>
      <c r="S23" s="182">
        <v>284096.80000000005</v>
      </c>
      <c r="T23" s="182">
        <v>141600</v>
      </c>
      <c r="U23" s="182">
        <v>0</v>
      </c>
      <c r="V23" s="182">
        <v>0</v>
      </c>
      <c r="W23" s="182">
        <v>0</v>
      </c>
      <c r="X23" s="187">
        <v>0</v>
      </c>
      <c r="Y23" s="182">
        <v>1800</v>
      </c>
      <c r="Z23" s="183"/>
      <c r="AA23" s="183"/>
      <c r="AB23" s="182">
        <v>1500000</v>
      </c>
      <c r="AC23" s="392"/>
      <c r="AD23" s="392"/>
      <c r="AE23" s="393"/>
      <c r="AF23" s="394"/>
      <c r="AH23" s="385">
        <f t="shared" si="1"/>
        <v>0</v>
      </c>
    </row>
    <row r="24" spans="1:38" s="251" customFormat="1" x14ac:dyDescent="0.25">
      <c r="A24" s="255"/>
      <c r="B24" s="252" t="s">
        <v>342</v>
      </c>
      <c r="C24" s="168" t="s">
        <v>432</v>
      </c>
      <c r="D24" s="330" t="s">
        <v>455</v>
      </c>
      <c r="E24" s="362">
        <v>270</v>
      </c>
      <c r="F24" s="181">
        <v>1500000</v>
      </c>
      <c r="G24" s="181">
        <v>729145.28</v>
      </c>
      <c r="H24" s="181">
        <v>770854.72</v>
      </c>
      <c r="I24" s="182">
        <v>0</v>
      </c>
      <c r="J24" s="182">
        <v>0</v>
      </c>
      <c r="K24" s="182">
        <v>0</v>
      </c>
      <c r="L24" s="182">
        <v>0</v>
      </c>
      <c r="M24" s="182">
        <v>0</v>
      </c>
      <c r="N24" s="182">
        <v>0</v>
      </c>
      <c r="O24" s="187">
        <v>0</v>
      </c>
      <c r="P24" s="184">
        <v>0</v>
      </c>
      <c r="Q24" s="184">
        <v>770854.72</v>
      </c>
      <c r="R24" s="182">
        <v>464127.6</v>
      </c>
      <c r="S24" s="182">
        <v>306727.12</v>
      </c>
      <c r="T24" s="182">
        <v>0</v>
      </c>
      <c r="U24" s="182">
        <v>0</v>
      </c>
      <c r="V24" s="182">
        <v>0</v>
      </c>
      <c r="W24" s="182">
        <v>0</v>
      </c>
      <c r="X24" s="187">
        <v>0</v>
      </c>
      <c r="Y24" s="182">
        <v>0</v>
      </c>
      <c r="Z24" s="183"/>
      <c r="AA24" s="183"/>
      <c r="AB24" s="182">
        <v>1000000</v>
      </c>
      <c r="AC24" s="392"/>
      <c r="AD24" s="392"/>
      <c r="AE24" s="393"/>
      <c r="AF24" s="394"/>
      <c r="AG24" s="253"/>
      <c r="AH24" s="385">
        <f t="shared" si="1"/>
        <v>0</v>
      </c>
      <c r="AI24" s="255"/>
      <c r="AJ24" s="256"/>
      <c r="AK24" s="256"/>
      <c r="AL24" s="256"/>
    </row>
    <row r="25" spans="1:38" x14ac:dyDescent="0.25">
      <c r="B25" s="252" t="s">
        <v>342</v>
      </c>
      <c r="C25" s="168" t="s">
        <v>581</v>
      </c>
      <c r="D25" s="330">
        <v>0</v>
      </c>
      <c r="E25" s="362">
        <v>180</v>
      </c>
      <c r="F25" s="181">
        <v>0</v>
      </c>
      <c r="G25" s="181">
        <v>-739540.06</v>
      </c>
      <c r="H25" s="181">
        <v>739540.06</v>
      </c>
      <c r="I25" s="182">
        <v>0</v>
      </c>
      <c r="J25" s="182">
        <v>0</v>
      </c>
      <c r="K25" s="182">
        <v>0</v>
      </c>
      <c r="L25" s="182">
        <v>0</v>
      </c>
      <c r="M25" s="182">
        <v>0</v>
      </c>
      <c r="N25" s="182">
        <v>0</v>
      </c>
      <c r="O25" s="187">
        <v>0</v>
      </c>
      <c r="P25" s="182">
        <v>0</v>
      </c>
      <c r="Q25" s="182">
        <v>739540.06</v>
      </c>
      <c r="R25" s="331">
        <v>0</v>
      </c>
      <c r="S25" s="182">
        <v>739540.06</v>
      </c>
      <c r="T25" s="182">
        <v>0</v>
      </c>
      <c r="U25" s="182">
        <v>0</v>
      </c>
      <c r="V25" s="182">
        <v>0</v>
      </c>
      <c r="W25" s="182">
        <v>0</v>
      </c>
      <c r="X25" s="187">
        <v>0</v>
      </c>
      <c r="Y25" s="182">
        <v>0</v>
      </c>
      <c r="Z25" s="183"/>
      <c r="AA25" s="183"/>
      <c r="AB25" s="182">
        <v>0</v>
      </c>
      <c r="AC25" s="392"/>
      <c r="AD25" s="392"/>
      <c r="AE25" s="393"/>
      <c r="AF25" s="394"/>
      <c r="AH25" s="385">
        <f t="shared" si="1"/>
        <v>739540.06</v>
      </c>
    </row>
    <row r="26" spans="1:38" x14ac:dyDescent="0.25">
      <c r="B26" s="252" t="s">
        <v>342</v>
      </c>
      <c r="C26" s="168" t="s">
        <v>83</v>
      </c>
      <c r="D26" s="330" t="s">
        <v>455</v>
      </c>
      <c r="E26" s="362">
        <v>180</v>
      </c>
      <c r="F26" s="181">
        <v>3000000</v>
      </c>
      <c r="G26" s="181">
        <v>2337634.3199999998</v>
      </c>
      <c r="H26" s="181">
        <v>662365.68000000005</v>
      </c>
      <c r="I26" s="182">
        <v>0</v>
      </c>
      <c r="J26" s="182">
        <v>0</v>
      </c>
      <c r="K26" s="182">
        <v>0</v>
      </c>
      <c r="L26" s="182">
        <v>0</v>
      </c>
      <c r="M26" s="182">
        <v>0</v>
      </c>
      <c r="N26" s="182">
        <v>0</v>
      </c>
      <c r="O26" s="187">
        <v>0</v>
      </c>
      <c r="P26" s="182">
        <v>0</v>
      </c>
      <c r="Q26" s="182">
        <v>662365.68000000005</v>
      </c>
      <c r="R26" s="182">
        <v>0</v>
      </c>
      <c r="S26" s="182">
        <v>0</v>
      </c>
      <c r="T26" s="182">
        <v>662365.68000000005</v>
      </c>
      <c r="U26" s="182">
        <v>0</v>
      </c>
      <c r="V26" s="182">
        <v>0</v>
      </c>
      <c r="W26" s="182">
        <v>0</v>
      </c>
      <c r="X26" s="187">
        <v>0</v>
      </c>
      <c r="Y26" s="182">
        <v>0</v>
      </c>
      <c r="Z26" s="183"/>
      <c r="AA26" s="183"/>
      <c r="AB26" s="182">
        <v>3000000</v>
      </c>
      <c r="AC26" s="392"/>
      <c r="AD26" s="392"/>
      <c r="AE26" s="393"/>
      <c r="AF26" s="394"/>
      <c r="AH26" s="385">
        <f t="shared" si="1"/>
        <v>0</v>
      </c>
    </row>
    <row r="27" spans="1:38" x14ac:dyDescent="0.25">
      <c r="B27" s="252" t="s">
        <v>342</v>
      </c>
      <c r="C27" s="168" t="s">
        <v>452</v>
      </c>
      <c r="D27" s="330">
        <v>0</v>
      </c>
      <c r="E27" s="362">
        <v>180</v>
      </c>
      <c r="F27" s="181">
        <v>700000</v>
      </c>
      <c r="G27" s="181">
        <v>59526.959999999963</v>
      </c>
      <c r="H27" s="181">
        <v>640473.04</v>
      </c>
      <c r="I27" s="182">
        <v>0</v>
      </c>
      <c r="J27" s="182">
        <v>0</v>
      </c>
      <c r="K27" s="182">
        <v>0</v>
      </c>
      <c r="L27" s="182">
        <v>0</v>
      </c>
      <c r="M27" s="182">
        <v>0</v>
      </c>
      <c r="N27" s="182">
        <v>0</v>
      </c>
      <c r="O27" s="187">
        <v>0</v>
      </c>
      <c r="P27" s="182">
        <v>0</v>
      </c>
      <c r="Q27" s="182">
        <v>640473.04</v>
      </c>
      <c r="R27" s="182">
        <v>640473.04</v>
      </c>
      <c r="S27" s="182">
        <v>0</v>
      </c>
      <c r="T27" s="182">
        <v>0</v>
      </c>
      <c r="U27" s="182">
        <v>0</v>
      </c>
      <c r="V27" s="182">
        <v>0</v>
      </c>
      <c r="W27" s="182">
        <v>0</v>
      </c>
      <c r="X27" s="187">
        <v>0</v>
      </c>
      <c r="Y27" s="182">
        <v>0</v>
      </c>
      <c r="Z27" s="183"/>
      <c r="AA27" s="183"/>
      <c r="AB27" s="182">
        <v>0</v>
      </c>
      <c r="AC27" s="392"/>
      <c r="AD27" s="392"/>
      <c r="AE27" s="393"/>
      <c r="AF27" s="394"/>
      <c r="AH27" s="385">
        <f t="shared" si="1"/>
        <v>640473.04</v>
      </c>
    </row>
    <row r="28" spans="1:38" x14ac:dyDescent="0.25">
      <c r="B28" s="252" t="s">
        <v>547</v>
      </c>
      <c r="C28" s="168" t="s">
        <v>428</v>
      </c>
      <c r="D28" s="330">
        <v>0</v>
      </c>
      <c r="E28" s="362"/>
      <c r="F28" s="181">
        <v>0</v>
      </c>
      <c r="G28" s="181">
        <v>-631958.30000000005</v>
      </c>
      <c r="H28" s="181">
        <v>631958.30000000005</v>
      </c>
      <c r="I28" s="182">
        <v>0</v>
      </c>
      <c r="J28" s="182">
        <v>0</v>
      </c>
      <c r="K28" s="182">
        <v>0</v>
      </c>
      <c r="L28" s="182">
        <v>0</v>
      </c>
      <c r="M28" s="182">
        <v>0</v>
      </c>
      <c r="N28" s="182">
        <v>0</v>
      </c>
      <c r="O28" s="187">
        <v>0</v>
      </c>
      <c r="P28" s="182">
        <v>0</v>
      </c>
      <c r="Q28" s="182">
        <v>631958.30000000005</v>
      </c>
      <c r="R28" s="182">
        <v>350834.30000000005</v>
      </c>
      <c r="S28" s="182">
        <v>281124</v>
      </c>
      <c r="T28" s="182">
        <v>0</v>
      </c>
      <c r="U28" s="182">
        <v>0</v>
      </c>
      <c r="V28" s="182">
        <v>0</v>
      </c>
      <c r="W28" s="182">
        <v>0</v>
      </c>
      <c r="X28" s="187">
        <v>0</v>
      </c>
      <c r="Y28" s="182">
        <v>0</v>
      </c>
      <c r="Z28" s="183"/>
      <c r="AA28" s="183"/>
      <c r="AB28" s="181">
        <v>0</v>
      </c>
      <c r="AC28" s="392"/>
      <c r="AD28" s="392"/>
      <c r="AE28" s="393"/>
      <c r="AF28" s="394"/>
      <c r="AH28" s="385">
        <f t="shared" si="1"/>
        <v>631958.30000000005</v>
      </c>
    </row>
    <row r="29" spans="1:38" x14ac:dyDescent="0.25">
      <c r="B29" s="252" t="s">
        <v>547</v>
      </c>
      <c r="C29" s="168" t="s">
        <v>576</v>
      </c>
      <c r="D29" s="330" t="s">
        <v>455</v>
      </c>
      <c r="E29" s="362"/>
      <c r="F29" s="181">
        <v>1500000</v>
      </c>
      <c r="G29" s="181">
        <v>888356.40000000014</v>
      </c>
      <c r="H29" s="181">
        <v>611643.59999999986</v>
      </c>
      <c r="I29" s="182">
        <v>0</v>
      </c>
      <c r="J29" s="182">
        <v>0</v>
      </c>
      <c r="K29" s="182">
        <v>0</v>
      </c>
      <c r="L29" s="182">
        <v>0</v>
      </c>
      <c r="M29" s="182">
        <v>0</v>
      </c>
      <c r="N29" s="182">
        <v>0</v>
      </c>
      <c r="O29" s="187">
        <v>0</v>
      </c>
      <c r="P29" s="182">
        <v>0</v>
      </c>
      <c r="Q29" s="182">
        <v>611643.59999999986</v>
      </c>
      <c r="R29" s="182">
        <v>611643.59999999986</v>
      </c>
      <c r="S29" s="182">
        <v>0</v>
      </c>
      <c r="T29" s="182">
        <v>0</v>
      </c>
      <c r="U29" s="182">
        <v>0</v>
      </c>
      <c r="V29" s="182">
        <v>0</v>
      </c>
      <c r="W29" s="182">
        <v>0</v>
      </c>
      <c r="X29" s="187">
        <v>0</v>
      </c>
      <c r="Y29" s="182">
        <v>0</v>
      </c>
      <c r="Z29" s="183"/>
      <c r="AA29" s="183"/>
      <c r="AB29" s="182">
        <v>1500000</v>
      </c>
      <c r="AC29" s="392"/>
      <c r="AD29" s="392"/>
      <c r="AE29" s="393"/>
      <c r="AF29" s="394"/>
      <c r="AH29" s="385">
        <f t="shared" si="1"/>
        <v>0</v>
      </c>
    </row>
    <row r="30" spans="1:38" x14ac:dyDescent="0.25">
      <c r="B30" s="252" t="s">
        <v>342</v>
      </c>
      <c r="C30" s="168" t="s">
        <v>380</v>
      </c>
      <c r="D30" s="330">
        <v>0</v>
      </c>
      <c r="E30" s="362">
        <v>180</v>
      </c>
      <c r="F30" s="181">
        <v>0</v>
      </c>
      <c r="G30" s="181">
        <v>-566412.34000000008</v>
      </c>
      <c r="H30" s="181">
        <v>566412.34000000008</v>
      </c>
      <c r="I30" s="182">
        <v>0</v>
      </c>
      <c r="J30" s="182">
        <v>0</v>
      </c>
      <c r="K30" s="182">
        <v>0</v>
      </c>
      <c r="L30" s="182">
        <v>0</v>
      </c>
      <c r="M30" s="182">
        <v>0</v>
      </c>
      <c r="N30" s="182">
        <v>0</v>
      </c>
      <c r="O30" s="187">
        <v>0</v>
      </c>
      <c r="P30" s="182">
        <v>0</v>
      </c>
      <c r="Q30" s="182">
        <v>566412.34000000008</v>
      </c>
      <c r="R30" s="182">
        <v>566412.34000000008</v>
      </c>
      <c r="S30" s="182">
        <v>0</v>
      </c>
      <c r="T30" s="182">
        <v>0</v>
      </c>
      <c r="U30" s="182">
        <v>0</v>
      </c>
      <c r="V30" s="182">
        <v>0</v>
      </c>
      <c r="W30" s="182">
        <v>0</v>
      </c>
      <c r="X30" s="187">
        <v>0</v>
      </c>
      <c r="Y30" s="182">
        <v>0</v>
      </c>
      <c r="Z30" s="183"/>
      <c r="AA30" s="183"/>
      <c r="AB30" s="182">
        <v>0</v>
      </c>
      <c r="AC30" s="392"/>
      <c r="AD30" s="392"/>
      <c r="AE30" s="393"/>
      <c r="AF30" s="394"/>
      <c r="AH30" s="385">
        <f t="shared" si="1"/>
        <v>566412.34000000008</v>
      </c>
    </row>
    <row r="31" spans="1:38" x14ac:dyDescent="0.25">
      <c r="B31" s="252" t="s">
        <v>547</v>
      </c>
      <c r="C31" s="168" t="s">
        <v>430</v>
      </c>
      <c r="D31" s="330" t="s">
        <v>455</v>
      </c>
      <c r="E31" s="362"/>
      <c r="F31" s="181">
        <v>1000000</v>
      </c>
      <c r="G31" s="181">
        <v>479896</v>
      </c>
      <c r="H31" s="181">
        <v>520104</v>
      </c>
      <c r="I31" s="182">
        <v>0</v>
      </c>
      <c r="J31" s="182">
        <v>0</v>
      </c>
      <c r="K31" s="182">
        <v>0</v>
      </c>
      <c r="L31" s="182">
        <v>0</v>
      </c>
      <c r="M31" s="182">
        <v>0</v>
      </c>
      <c r="N31" s="182">
        <v>0</v>
      </c>
      <c r="O31" s="187">
        <v>0</v>
      </c>
      <c r="P31" s="182">
        <v>0</v>
      </c>
      <c r="Q31" s="182">
        <v>520104</v>
      </c>
      <c r="R31" s="182">
        <v>335064</v>
      </c>
      <c r="S31" s="182">
        <v>0</v>
      </c>
      <c r="T31" s="182">
        <v>0</v>
      </c>
      <c r="U31" s="182">
        <v>185040</v>
      </c>
      <c r="V31" s="182">
        <v>0</v>
      </c>
      <c r="W31" s="182">
        <v>0</v>
      </c>
      <c r="X31" s="187">
        <v>0</v>
      </c>
      <c r="Y31" s="182">
        <v>0</v>
      </c>
      <c r="Z31" s="183"/>
      <c r="AA31" s="183"/>
      <c r="AB31" s="182">
        <v>1000000</v>
      </c>
      <c r="AC31" s="392"/>
      <c r="AD31" s="392"/>
      <c r="AE31" s="393"/>
      <c r="AF31" s="394"/>
      <c r="AH31" s="385">
        <f t="shared" si="1"/>
        <v>0</v>
      </c>
    </row>
    <row r="32" spans="1:38" x14ac:dyDescent="0.25">
      <c r="B32" s="252" t="s">
        <v>920</v>
      </c>
      <c r="C32" s="168" t="s">
        <v>295</v>
      </c>
      <c r="D32" s="330" t="s">
        <v>455</v>
      </c>
      <c r="E32" s="362"/>
      <c r="F32" s="181">
        <v>550000</v>
      </c>
      <c r="G32" s="181">
        <v>39608.780000000028</v>
      </c>
      <c r="H32" s="181">
        <v>510391.22</v>
      </c>
      <c r="I32" s="182">
        <v>0</v>
      </c>
      <c r="J32" s="182">
        <v>0</v>
      </c>
      <c r="K32" s="182">
        <v>0</v>
      </c>
      <c r="L32" s="182">
        <v>0</v>
      </c>
      <c r="M32" s="182">
        <v>0</v>
      </c>
      <c r="N32" s="182">
        <v>0</v>
      </c>
      <c r="O32" s="187">
        <v>0</v>
      </c>
      <c r="P32" s="182">
        <v>0</v>
      </c>
      <c r="Q32" s="182">
        <v>510391.22</v>
      </c>
      <c r="R32" s="182">
        <v>510391.22</v>
      </c>
      <c r="S32" s="182">
        <v>0</v>
      </c>
      <c r="T32" s="182">
        <v>0</v>
      </c>
      <c r="U32" s="182">
        <v>0</v>
      </c>
      <c r="V32" s="182">
        <v>0</v>
      </c>
      <c r="W32" s="182">
        <v>0</v>
      </c>
      <c r="X32" s="187">
        <v>0</v>
      </c>
      <c r="Y32" s="182">
        <v>0</v>
      </c>
      <c r="Z32" s="183"/>
      <c r="AA32" s="183"/>
      <c r="AB32" s="182">
        <v>550000</v>
      </c>
      <c r="AC32" s="392"/>
      <c r="AD32" s="392"/>
      <c r="AE32" s="393"/>
      <c r="AF32" s="394"/>
      <c r="AH32" s="385">
        <f t="shared" si="1"/>
        <v>0</v>
      </c>
    </row>
    <row r="33" spans="2:39" x14ac:dyDescent="0.25">
      <c r="B33" s="252" t="s">
        <v>547</v>
      </c>
      <c r="C33" s="168" t="s">
        <v>618</v>
      </c>
      <c r="D33" s="330" t="s">
        <v>455</v>
      </c>
      <c r="E33" s="362"/>
      <c r="F33" s="181">
        <v>700000</v>
      </c>
      <c r="G33" s="181">
        <v>199110</v>
      </c>
      <c r="H33" s="181">
        <v>500890</v>
      </c>
      <c r="I33" s="182">
        <v>0</v>
      </c>
      <c r="J33" s="182">
        <v>0</v>
      </c>
      <c r="K33" s="182">
        <v>0</v>
      </c>
      <c r="L33" s="182">
        <v>0</v>
      </c>
      <c r="M33" s="182">
        <v>0</v>
      </c>
      <c r="N33" s="182">
        <v>0</v>
      </c>
      <c r="O33" s="187">
        <v>0</v>
      </c>
      <c r="P33" s="182">
        <v>0</v>
      </c>
      <c r="Q33" s="182">
        <v>500890</v>
      </c>
      <c r="R33" s="182">
        <v>288975</v>
      </c>
      <c r="S33" s="182">
        <v>134855</v>
      </c>
      <c r="T33" s="182">
        <v>77060</v>
      </c>
      <c r="U33" s="182">
        <v>0</v>
      </c>
      <c r="V33" s="182">
        <v>0</v>
      </c>
      <c r="W33" s="182">
        <v>0</v>
      </c>
      <c r="X33" s="187">
        <v>0</v>
      </c>
      <c r="Y33" s="182">
        <v>0</v>
      </c>
      <c r="Z33" s="183"/>
      <c r="AA33" s="183"/>
      <c r="AB33" s="182">
        <v>700000</v>
      </c>
      <c r="AC33" s="392"/>
      <c r="AD33" s="392"/>
      <c r="AE33" s="393"/>
      <c r="AF33" s="394"/>
      <c r="AH33" s="385">
        <f t="shared" si="1"/>
        <v>0</v>
      </c>
    </row>
    <row r="34" spans="2:39" x14ac:dyDescent="0.25">
      <c r="B34" s="252" t="s">
        <v>547</v>
      </c>
      <c r="C34" s="168" t="s">
        <v>416</v>
      </c>
      <c r="D34" s="330">
        <v>0</v>
      </c>
      <c r="E34" s="362"/>
      <c r="F34" s="181">
        <v>6900000</v>
      </c>
      <c r="G34" s="181">
        <v>6417791.9000000004</v>
      </c>
      <c r="H34" s="181">
        <v>482208.1</v>
      </c>
      <c r="I34" s="182">
        <v>0</v>
      </c>
      <c r="J34" s="182">
        <v>0</v>
      </c>
      <c r="K34" s="182">
        <v>0</v>
      </c>
      <c r="L34" s="182">
        <v>0</v>
      </c>
      <c r="M34" s="182">
        <v>0</v>
      </c>
      <c r="N34" s="182">
        <v>0</v>
      </c>
      <c r="O34" s="187">
        <v>0</v>
      </c>
      <c r="P34" s="182">
        <v>0</v>
      </c>
      <c r="Q34" s="182">
        <v>482208.1</v>
      </c>
      <c r="R34" s="182">
        <v>482208.1</v>
      </c>
      <c r="S34" s="182">
        <v>0</v>
      </c>
      <c r="T34" s="182">
        <v>0</v>
      </c>
      <c r="U34" s="182">
        <v>0</v>
      </c>
      <c r="V34" s="182">
        <v>0</v>
      </c>
      <c r="W34" s="182">
        <v>0</v>
      </c>
      <c r="X34" s="187">
        <v>0</v>
      </c>
      <c r="Y34" s="182">
        <v>1200</v>
      </c>
      <c r="Z34" s="183"/>
      <c r="AA34" s="183"/>
      <c r="AB34" s="181">
        <v>2315000</v>
      </c>
      <c r="AC34" s="392"/>
      <c r="AD34" s="392"/>
      <c r="AE34" s="393"/>
      <c r="AF34" s="394"/>
      <c r="AH34" s="385">
        <f t="shared" si="1"/>
        <v>0</v>
      </c>
    </row>
    <row r="35" spans="2:39" x14ac:dyDescent="0.25">
      <c r="B35" s="252" t="s">
        <v>920</v>
      </c>
      <c r="C35" s="168" t="s">
        <v>128</v>
      </c>
      <c r="D35" s="330">
        <v>0</v>
      </c>
      <c r="E35" s="362"/>
      <c r="F35" s="181">
        <v>0</v>
      </c>
      <c r="G35" s="181">
        <v>-449507.68999999994</v>
      </c>
      <c r="H35" s="181">
        <v>449507.68999999994</v>
      </c>
      <c r="I35" s="182">
        <v>0</v>
      </c>
      <c r="J35" s="182">
        <v>0</v>
      </c>
      <c r="K35" s="182">
        <v>0</v>
      </c>
      <c r="L35" s="182">
        <v>0</v>
      </c>
      <c r="M35" s="182">
        <v>252226.12</v>
      </c>
      <c r="N35" s="182">
        <v>197281.56999999998</v>
      </c>
      <c r="O35" s="187">
        <v>0</v>
      </c>
      <c r="P35" s="182">
        <v>449507.68999999994</v>
      </c>
      <c r="Q35" s="182">
        <v>0</v>
      </c>
      <c r="R35" s="331">
        <v>0</v>
      </c>
      <c r="S35" s="182">
        <v>0</v>
      </c>
      <c r="T35" s="182">
        <v>0</v>
      </c>
      <c r="U35" s="182">
        <v>0</v>
      </c>
      <c r="V35" s="182">
        <v>0</v>
      </c>
      <c r="W35" s="182">
        <v>0</v>
      </c>
      <c r="X35" s="187">
        <v>0</v>
      </c>
      <c r="Y35" s="182">
        <v>13485.2307</v>
      </c>
      <c r="Z35" s="183"/>
      <c r="AA35" s="183"/>
      <c r="AB35" s="182">
        <v>0</v>
      </c>
      <c r="AC35" s="392"/>
      <c r="AD35" s="392"/>
      <c r="AE35" s="393"/>
      <c r="AF35" s="394"/>
      <c r="AH35" s="385">
        <f t="shared" si="1"/>
        <v>449507.68999999994</v>
      </c>
    </row>
    <row r="36" spans="2:39" x14ac:dyDescent="0.25">
      <c r="B36" s="252" t="s">
        <v>547</v>
      </c>
      <c r="C36" s="168" t="s">
        <v>532</v>
      </c>
      <c r="D36" s="330">
        <v>0</v>
      </c>
      <c r="E36" s="362"/>
      <c r="F36" s="181">
        <v>10000000</v>
      </c>
      <c r="G36" s="181">
        <v>9591951.8000000007</v>
      </c>
      <c r="H36" s="181">
        <v>408048.2</v>
      </c>
      <c r="I36" s="182">
        <v>0</v>
      </c>
      <c r="J36" s="182">
        <v>0</v>
      </c>
      <c r="K36" s="182">
        <v>0</v>
      </c>
      <c r="L36" s="182">
        <v>0</v>
      </c>
      <c r="M36" s="182">
        <v>0</v>
      </c>
      <c r="N36" s="182">
        <v>0</v>
      </c>
      <c r="O36" s="187">
        <v>0</v>
      </c>
      <c r="P36" s="184">
        <v>0</v>
      </c>
      <c r="Q36" s="184">
        <v>408048.2</v>
      </c>
      <c r="R36" s="182">
        <v>408048.2</v>
      </c>
      <c r="S36" s="182">
        <v>0</v>
      </c>
      <c r="T36" s="182">
        <v>0</v>
      </c>
      <c r="U36" s="182">
        <v>0</v>
      </c>
      <c r="V36" s="182">
        <v>0</v>
      </c>
      <c r="W36" s="182">
        <v>0</v>
      </c>
      <c r="X36" s="187">
        <v>0</v>
      </c>
      <c r="Y36" s="182">
        <v>0</v>
      </c>
      <c r="Z36" s="183"/>
      <c r="AA36" s="183"/>
      <c r="AB36" s="182">
        <v>0</v>
      </c>
      <c r="AC36" s="392"/>
      <c r="AD36" s="392"/>
      <c r="AE36" s="393"/>
      <c r="AF36" s="394"/>
      <c r="AH36" s="385">
        <f t="shared" si="1"/>
        <v>408048.2</v>
      </c>
    </row>
    <row r="37" spans="2:39" x14ac:dyDescent="0.25">
      <c r="B37" s="252" t="s">
        <v>547</v>
      </c>
      <c r="C37" s="168" t="s">
        <v>40</v>
      </c>
      <c r="D37" s="330" t="s">
        <v>455</v>
      </c>
      <c r="E37" s="362"/>
      <c r="F37" s="181">
        <v>3000000</v>
      </c>
      <c r="G37" s="181">
        <v>2608920</v>
      </c>
      <c r="H37" s="181">
        <v>391080</v>
      </c>
      <c r="I37" s="182">
        <v>0</v>
      </c>
      <c r="J37" s="182">
        <v>0</v>
      </c>
      <c r="K37" s="182">
        <v>0</v>
      </c>
      <c r="L37" s="182">
        <v>0</v>
      </c>
      <c r="M37" s="182">
        <v>0</v>
      </c>
      <c r="N37" s="182">
        <v>0</v>
      </c>
      <c r="O37" s="187">
        <v>0</v>
      </c>
      <c r="P37" s="182">
        <v>0</v>
      </c>
      <c r="Q37" s="182">
        <v>391080</v>
      </c>
      <c r="R37" s="331">
        <v>391080</v>
      </c>
      <c r="S37" s="182">
        <v>0</v>
      </c>
      <c r="T37" s="182">
        <v>0</v>
      </c>
      <c r="U37" s="182">
        <v>0</v>
      </c>
      <c r="V37" s="182">
        <v>0</v>
      </c>
      <c r="W37" s="182">
        <v>0</v>
      </c>
      <c r="X37" s="187">
        <v>0</v>
      </c>
      <c r="Y37" s="182">
        <v>0</v>
      </c>
      <c r="Z37" s="183"/>
      <c r="AA37" s="183"/>
      <c r="AB37" s="182">
        <v>3000000</v>
      </c>
      <c r="AC37" s="392"/>
      <c r="AD37" s="392"/>
      <c r="AE37" s="393"/>
      <c r="AF37" s="394"/>
      <c r="AH37" s="385">
        <f t="shared" si="1"/>
        <v>0</v>
      </c>
    </row>
    <row r="38" spans="2:39" x14ac:dyDescent="0.25">
      <c r="B38" s="252" t="s">
        <v>547</v>
      </c>
      <c r="C38" s="168" t="s">
        <v>30</v>
      </c>
      <c r="D38" s="330" t="s">
        <v>455</v>
      </c>
      <c r="E38" s="362"/>
      <c r="F38" s="181">
        <v>2600000</v>
      </c>
      <c r="G38" s="181">
        <v>2249010.9</v>
      </c>
      <c r="H38" s="181">
        <v>350989.1</v>
      </c>
      <c r="I38" s="182">
        <v>0</v>
      </c>
      <c r="J38" s="182">
        <v>0</v>
      </c>
      <c r="K38" s="182">
        <v>0</v>
      </c>
      <c r="L38" s="182">
        <v>0</v>
      </c>
      <c r="M38" s="182">
        <v>0</v>
      </c>
      <c r="N38" s="182">
        <v>0</v>
      </c>
      <c r="O38" s="187">
        <v>0</v>
      </c>
      <c r="P38" s="182">
        <v>0</v>
      </c>
      <c r="Q38" s="182">
        <v>350989.1</v>
      </c>
      <c r="R38" s="182">
        <v>350989.1</v>
      </c>
      <c r="S38" s="182">
        <v>0</v>
      </c>
      <c r="T38" s="182">
        <v>0</v>
      </c>
      <c r="U38" s="182">
        <v>0</v>
      </c>
      <c r="V38" s="182">
        <v>0</v>
      </c>
      <c r="W38" s="182">
        <v>0</v>
      </c>
      <c r="X38" s="187">
        <v>0</v>
      </c>
      <c r="Y38" s="182">
        <v>0</v>
      </c>
      <c r="Z38" s="183"/>
      <c r="AA38" s="183"/>
      <c r="AB38" s="182">
        <v>2600000</v>
      </c>
      <c r="AC38" s="392"/>
      <c r="AD38" s="392"/>
      <c r="AE38" s="393"/>
      <c r="AF38" s="394"/>
      <c r="AH38" s="385">
        <f t="shared" si="1"/>
        <v>0</v>
      </c>
    </row>
    <row r="39" spans="2:39" x14ac:dyDescent="0.25">
      <c r="B39" s="252" t="s">
        <v>342</v>
      </c>
      <c r="C39" s="168" t="s">
        <v>377</v>
      </c>
      <c r="D39" s="330">
        <v>0</v>
      </c>
      <c r="E39" s="362"/>
      <c r="F39" s="181">
        <v>350000</v>
      </c>
      <c r="G39" s="181">
        <v>20672.090000000026</v>
      </c>
      <c r="H39" s="181">
        <v>329327.90999999997</v>
      </c>
      <c r="I39" s="182">
        <v>0</v>
      </c>
      <c r="J39" s="182">
        <v>0</v>
      </c>
      <c r="K39" s="182">
        <v>0</v>
      </c>
      <c r="L39" s="182">
        <v>0</v>
      </c>
      <c r="M39" s="182">
        <v>0</v>
      </c>
      <c r="N39" s="182">
        <v>0</v>
      </c>
      <c r="O39" s="187">
        <v>0</v>
      </c>
      <c r="P39" s="182">
        <v>0</v>
      </c>
      <c r="Q39" s="182">
        <v>329327.90999999997</v>
      </c>
      <c r="R39" s="182">
        <v>0</v>
      </c>
      <c r="S39" s="182">
        <v>329327.90999999997</v>
      </c>
      <c r="T39" s="182">
        <v>0</v>
      </c>
      <c r="U39" s="182">
        <v>0</v>
      </c>
      <c r="V39" s="182">
        <v>0</v>
      </c>
      <c r="W39" s="182">
        <v>0</v>
      </c>
      <c r="X39" s="187">
        <v>0</v>
      </c>
      <c r="Y39" s="182">
        <v>0</v>
      </c>
      <c r="Z39" s="183"/>
      <c r="AA39" s="183"/>
      <c r="AB39" s="182">
        <v>0</v>
      </c>
      <c r="AC39" s="392"/>
      <c r="AD39" s="392"/>
      <c r="AE39" s="393"/>
      <c r="AF39" s="394"/>
      <c r="AH39" s="385">
        <f t="shared" si="1"/>
        <v>329327.90999999997</v>
      </c>
    </row>
    <row r="40" spans="2:39" x14ac:dyDescent="0.25">
      <c r="B40" s="252" t="s">
        <v>547</v>
      </c>
      <c r="C40" s="168" t="s">
        <v>683</v>
      </c>
      <c r="D40" s="330" t="s">
        <v>455</v>
      </c>
      <c r="E40" s="362"/>
      <c r="F40" s="181">
        <v>1500000</v>
      </c>
      <c r="G40" s="181">
        <v>1172742.1000000001</v>
      </c>
      <c r="H40" s="181">
        <v>327257.90000000002</v>
      </c>
      <c r="I40" s="182">
        <v>0</v>
      </c>
      <c r="J40" s="182">
        <v>0</v>
      </c>
      <c r="K40" s="182">
        <v>0</v>
      </c>
      <c r="L40" s="182">
        <v>0</v>
      </c>
      <c r="M40" s="182">
        <v>0</v>
      </c>
      <c r="N40" s="182">
        <v>0</v>
      </c>
      <c r="O40" s="187">
        <v>0</v>
      </c>
      <c r="P40" s="182">
        <v>0</v>
      </c>
      <c r="Q40" s="182">
        <v>327257.90000000002</v>
      </c>
      <c r="R40" s="182">
        <v>0</v>
      </c>
      <c r="S40" s="182">
        <v>0</v>
      </c>
      <c r="T40" s="182">
        <v>0</v>
      </c>
      <c r="U40" s="182">
        <v>0</v>
      </c>
      <c r="V40" s="182">
        <v>0</v>
      </c>
      <c r="W40" s="182">
        <v>327257.90000000002</v>
      </c>
      <c r="X40" s="187">
        <v>0</v>
      </c>
      <c r="Y40" s="182">
        <v>0</v>
      </c>
      <c r="Z40" s="183"/>
      <c r="AA40" s="183"/>
      <c r="AB40" s="182">
        <v>1500000</v>
      </c>
      <c r="AC40" s="392"/>
      <c r="AD40" s="392"/>
      <c r="AE40" s="393"/>
      <c r="AF40" s="394"/>
      <c r="AH40" s="385">
        <f t="shared" si="1"/>
        <v>0</v>
      </c>
    </row>
    <row r="41" spans="2:39" x14ac:dyDescent="0.25">
      <c r="B41" s="252" t="s">
        <v>342</v>
      </c>
      <c r="C41" s="168" t="s">
        <v>197</v>
      </c>
      <c r="D41" s="330">
        <v>0</v>
      </c>
      <c r="E41" s="362">
        <v>360</v>
      </c>
      <c r="F41" s="181">
        <v>1500000</v>
      </c>
      <c r="G41" s="181">
        <v>1230944</v>
      </c>
      <c r="H41" s="181">
        <v>269056</v>
      </c>
      <c r="I41" s="182">
        <v>0</v>
      </c>
      <c r="J41" s="182">
        <v>0</v>
      </c>
      <c r="K41" s="182">
        <v>0</v>
      </c>
      <c r="L41" s="182">
        <v>0</v>
      </c>
      <c r="M41" s="182">
        <v>0</v>
      </c>
      <c r="N41" s="182">
        <v>0</v>
      </c>
      <c r="O41" s="187">
        <v>0</v>
      </c>
      <c r="P41" s="182">
        <v>0</v>
      </c>
      <c r="Q41" s="182">
        <v>269056</v>
      </c>
      <c r="R41" s="182">
        <v>0</v>
      </c>
      <c r="S41" s="182">
        <v>137376</v>
      </c>
      <c r="T41" s="182">
        <v>0</v>
      </c>
      <c r="U41" s="182">
        <v>0</v>
      </c>
      <c r="V41" s="182">
        <v>131680</v>
      </c>
      <c r="W41" s="182">
        <v>0</v>
      </c>
      <c r="X41" s="187">
        <v>0</v>
      </c>
      <c r="Y41" s="182">
        <v>0</v>
      </c>
      <c r="Z41" s="183"/>
      <c r="AA41" s="183"/>
      <c r="AB41" s="182">
        <v>660000</v>
      </c>
      <c r="AC41" s="392"/>
      <c r="AD41" s="392"/>
      <c r="AE41" s="393"/>
      <c r="AF41" s="394"/>
      <c r="AH41" s="385">
        <f t="shared" si="1"/>
        <v>0</v>
      </c>
    </row>
    <row r="42" spans="2:39" x14ac:dyDescent="0.25">
      <c r="B42" s="252" t="s">
        <v>547</v>
      </c>
      <c r="C42" s="168" t="s">
        <v>745</v>
      </c>
      <c r="D42" s="330" t="s">
        <v>455</v>
      </c>
      <c r="E42" s="362"/>
      <c r="F42" s="181">
        <v>850000</v>
      </c>
      <c r="G42" s="181">
        <v>605230</v>
      </c>
      <c r="H42" s="181">
        <v>244770</v>
      </c>
      <c r="I42" s="182">
        <v>0</v>
      </c>
      <c r="J42" s="182">
        <v>0</v>
      </c>
      <c r="K42" s="182">
        <v>0</v>
      </c>
      <c r="L42" s="182">
        <v>0</v>
      </c>
      <c r="M42" s="182">
        <v>0</v>
      </c>
      <c r="N42" s="182">
        <v>0</v>
      </c>
      <c r="O42" s="187">
        <v>0</v>
      </c>
      <c r="P42" s="182">
        <v>0</v>
      </c>
      <c r="Q42" s="182">
        <v>244770</v>
      </c>
      <c r="R42" s="182">
        <v>122918</v>
      </c>
      <c r="S42" s="182">
        <v>121852</v>
      </c>
      <c r="T42" s="182">
        <v>0</v>
      </c>
      <c r="U42" s="182">
        <v>0</v>
      </c>
      <c r="V42" s="182">
        <v>0</v>
      </c>
      <c r="W42" s="182">
        <v>0</v>
      </c>
      <c r="X42" s="187">
        <v>0</v>
      </c>
      <c r="Y42" s="182">
        <v>0</v>
      </c>
      <c r="Z42" s="183"/>
      <c r="AA42" s="183"/>
      <c r="AB42" s="182">
        <v>850000</v>
      </c>
      <c r="AC42" s="392"/>
      <c r="AD42" s="392"/>
      <c r="AE42" s="393"/>
      <c r="AF42" s="394"/>
      <c r="AH42" s="385">
        <f t="shared" si="1"/>
        <v>0</v>
      </c>
    </row>
    <row r="43" spans="2:39" x14ac:dyDescent="0.25">
      <c r="B43" s="251" t="s">
        <v>689</v>
      </c>
      <c r="C43" s="120" t="s">
        <v>427</v>
      </c>
      <c r="D43" s="330">
        <v>0</v>
      </c>
      <c r="E43" s="362"/>
      <c r="F43" s="121">
        <v>0</v>
      </c>
      <c r="G43" s="121">
        <v>-237309.12</v>
      </c>
      <c r="H43" s="121">
        <v>237309.12</v>
      </c>
      <c r="I43" s="182">
        <v>0</v>
      </c>
      <c r="J43" s="182">
        <v>0</v>
      </c>
      <c r="K43" s="182">
        <v>0</v>
      </c>
      <c r="L43" s="182">
        <v>0</v>
      </c>
      <c r="M43" s="182">
        <v>0</v>
      </c>
      <c r="N43" s="182">
        <v>0</v>
      </c>
      <c r="O43" s="187">
        <v>237309.12</v>
      </c>
      <c r="P43" s="122">
        <v>237309.12</v>
      </c>
      <c r="Q43" s="122">
        <v>0</v>
      </c>
      <c r="R43" s="182">
        <v>0</v>
      </c>
      <c r="S43" s="182">
        <v>0</v>
      </c>
      <c r="T43" s="182">
        <v>0</v>
      </c>
      <c r="U43" s="182">
        <v>0</v>
      </c>
      <c r="V43" s="182">
        <v>0</v>
      </c>
      <c r="W43" s="182">
        <v>0</v>
      </c>
      <c r="X43" s="187">
        <v>0</v>
      </c>
      <c r="Y43" s="182">
        <v>237309.12</v>
      </c>
      <c r="Z43" s="124"/>
      <c r="AA43" s="124"/>
      <c r="AB43" s="122">
        <v>0</v>
      </c>
      <c r="AC43" s="392"/>
      <c r="AD43" s="392"/>
      <c r="AE43" s="393"/>
      <c r="AF43" s="394"/>
      <c r="AH43" s="385">
        <f t="shared" si="1"/>
        <v>237309.12</v>
      </c>
    </row>
    <row r="44" spans="2:39" x14ac:dyDescent="0.25">
      <c r="B44" s="252" t="s">
        <v>547</v>
      </c>
      <c r="C44" s="168" t="s">
        <v>53</v>
      </c>
      <c r="D44" s="330">
        <v>0</v>
      </c>
      <c r="E44" s="362"/>
      <c r="F44" s="181">
        <v>0</v>
      </c>
      <c r="G44" s="181">
        <v>-226233.60000000001</v>
      </c>
      <c r="H44" s="181">
        <v>226233.60000000001</v>
      </c>
      <c r="I44" s="182">
        <v>0</v>
      </c>
      <c r="J44" s="182">
        <v>0</v>
      </c>
      <c r="K44" s="182">
        <v>0</v>
      </c>
      <c r="L44" s="182">
        <v>0</v>
      </c>
      <c r="M44" s="182">
        <v>0</v>
      </c>
      <c r="N44" s="182">
        <v>0</v>
      </c>
      <c r="O44" s="187">
        <v>226233.60000000001</v>
      </c>
      <c r="P44" s="182">
        <v>226233.60000000001</v>
      </c>
      <c r="Q44" s="182">
        <v>0</v>
      </c>
      <c r="R44" s="182">
        <v>0</v>
      </c>
      <c r="S44" s="182">
        <v>0</v>
      </c>
      <c r="T44" s="182">
        <v>0</v>
      </c>
      <c r="U44" s="182">
        <v>0</v>
      </c>
      <c r="V44" s="182">
        <v>0</v>
      </c>
      <c r="W44" s="182">
        <v>0</v>
      </c>
      <c r="X44" s="187">
        <v>0</v>
      </c>
      <c r="Y44" s="182">
        <v>226233.60000000001</v>
      </c>
      <c r="Z44" s="183"/>
      <c r="AA44" s="183"/>
      <c r="AB44" s="182">
        <v>0</v>
      </c>
      <c r="AC44" s="392"/>
      <c r="AD44" s="392"/>
      <c r="AE44" s="393"/>
      <c r="AF44" s="394"/>
      <c r="AH44" s="385">
        <f t="shared" si="1"/>
        <v>226233.60000000001</v>
      </c>
    </row>
    <row r="45" spans="2:39" x14ac:dyDescent="0.25">
      <c r="B45" s="252" t="s">
        <v>920</v>
      </c>
      <c r="C45" s="168" t="s">
        <v>355</v>
      </c>
      <c r="D45" s="330" t="s">
        <v>469</v>
      </c>
      <c r="E45" s="362"/>
      <c r="F45" s="181">
        <v>770000</v>
      </c>
      <c r="G45" s="181">
        <v>545187.39</v>
      </c>
      <c r="H45" s="181">
        <v>224812.61</v>
      </c>
      <c r="I45" s="182">
        <v>0</v>
      </c>
      <c r="J45" s="182">
        <v>0</v>
      </c>
      <c r="K45" s="182">
        <v>0</v>
      </c>
      <c r="L45" s="182">
        <v>0</v>
      </c>
      <c r="M45" s="182">
        <v>0</v>
      </c>
      <c r="N45" s="182">
        <v>0</v>
      </c>
      <c r="O45" s="187">
        <v>0</v>
      </c>
      <c r="P45" s="182">
        <v>0</v>
      </c>
      <c r="Q45" s="182">
        <v>224812.61</v>
      </c>
      <c r="R45" s="331">
        <v>224812.61</v>
      </c>
      <c r="S45" s="182">
        <v>0</v>
      </c>
      <c r="T45" s="182">
        <v>0</v>
      </c>
      <c r="U45" s="182">
        <v>0</v>
      </c>
      <c r="V45" s="182">
        <v>0</v>
      </c>
      <c r="W45" s="182">
        <v>0</v>
      </c>
      <c r="X45" s="187">
        <v>0</v>
      </c>
      <c r="Y45" s="182">
        <v>0</v>
      </c>
      <c r="Z45" s="183"/>
      <c r="AA45" s="183"/>
      <c r="AB45" s="182">
        <v>770000</v>
      </c>
      <c r="AC45" s="392"/>
      <c r="AD45" s="392"/>
      <c r="AE45" s="393"/>
      <c r="AF45" s="394"/>
      <c r="AH45" s="385">
        <f t="shared" si="1"/>
        <v>0</v>
      </c>
    </row>
    <row r="46" spans="2:39" x14ac:dyDescent="0.25">
      <c r="B46" s="252" t="s">
        <v>342</v>
      </c>
      <c r="C46" s="168" t="s">
        <v>378</v>
      </c>
      <c r="D46" s="330" t="s">
        <v>455</v>
      </c>
      <c r="E46" s="362">
        <v>180</v>
      </c>
      <c r="F46" s="181">
        <v>500000</v>
      </c>
      <c r="G46" s="181">
        <v>277191.82999999996</v>
      </c>
      <c r="H46" s="181">
        <v>222808.17</v>
      </c>
      <c r="I46" s="182">
        <v>0</v>
      </c>
      <c r="J46" s="182">
        <v>0</v>
      </c>
      <c r="K46" s="182">
        <v>0</v>
      </c>
      <c r="L46" s="182">
        <v>0</v>
      </c>
      <c r="M46" s="182">
        <v>0</v>
      </c>
      <c r="N46" s="182">
        <v>0</v>
      </c>
      <c r="O46" s="187">
        <v>0</v>
      </c>
      <c r="P46" s="182">
        <v>0</v>
      </c>
      <c r="Q46" s="182">
        <v>222808.17</v>
      </c>
      <c r="R46" s="331">
        <v>0</v>
      </c>
      <c r="S46" s="182">
        <v>222808.17</v>
      </c>
      <c r="T46" s="182">
        <v>0</v>
      </c>
      <c r="U46" s="182">
        <v>0</v>
      </c>
      <c r="V46" s="182">
        <v>0</v>
      </c>
      <c r="W46" s="182">
        <v>0</v>
      </c>
      <c r="X46" s="187">
        <v>0</v>
      </c>
      <c r="Y46" s="182">
        <v>0</v>
      </c>
      <c r="Z46" s="183"/>
      <c r="AA46" s="183"/>
      <c r="AB46" s="182">
        <v>300000</v>
      </c>
      <c r="AC46" s="392"/>
      <c r="AD46" s="392"/>
      <c r="AE46" s="393"/>
      <c r="AF46" s="394"/>
      <c r="AH46" s="385">
        <f t="shared" si="1"/>
        <v>0</v>
      </c>
      <c r="AM46" s="257"/>
    </row>
    <row r="47" spans="2:39" x14ac:dyDescent="0.25">
      <c r="B47" s="252" t="s">
        <v>547</v>
      </c>
      <c r="C47" s="168" t="s">
        <v>735</v>
      </c>
      <c r="D47" s="330">
        <v>0</v>
      </c>
      <c r="E47" s="362"/>
      <c r="F47" s="181">
        <v>0</v>
      </c>
      <c r="G47" s="181">
        <v>-218160</v>
      </c>
      <c r="H47" s="181">
        <v>218160</v>
      </c>
      <c r="I47" s="182">
        <v>0</v>
      </c>
      <c r="J47" s="182">
        <v>0</v>
      </c>
      <c r="K47" s="182">
        <v>0</v>
      </c>
      <c r="L47" s="182">
        <v>0</v>
      </c>
      <c r="M47" s="182">
        <v>0</v>
      </c>
      <c r="N47" s="182">
        <v>0</v>
      </c>
      <c r="O47" s="187">
        <v>0</v>
      </c>
      <c r="P47" s="182">
        <v>0</v>
      </c>
      <c r="Q47" s="182">
        <v>218160</v>
      </c>
      <c r="R47" s="182">
        <v>218160</v>
      </c>
      <c r="S47" s="182">
        <v>0</v>
      </c>
      <c r="T47" s="182">
        <v>0</v>
      </c>
      <c r="U47" s="182">
        <v>0</v>
      </c>
      <c r="V47" s="182">
        <v>0</v>
      </c>
      <c r="W47" s="182">
        <v>0</v>
      </c>
      <c r="X47" s="187">
        <v>0</v>
      </c>
      <c r="Y47" s="182">
        <v>0</v>
      </c>
      <c r="Z47" s="183"/>
      <c r="AA47" s="183"/>
      <c r="AB47" s="182">
        <v>0</v>
      </c>
      <c r="AC47" s="392"/>
      <c r="AD47" s="392"/>
      <c r="AE47" s="393"/>
      <c r="AF47" s="394"/>
      <c r="AH47" s="385">
        <f t="shared" si="1"/>
        <v>218160</v>
      </c>
    </row>
    <row r="48" spans="2:39" x14ac:dyDescent="0.25">
      <c r="B48" s="252" t="s">
        <v>547</v>
      </c>
      <c r="C48" s="168" t="s">
        <v>294</v>
      </c>
      <c r="D48" s="330">
        <v>0</v>
      </c>
      <c r="E48" s="362"/>
      <c r="F48" s="181">
        <v>0</v>
      </c>
      <c r="G48" s="181">
        <v>-213750</v>
      </c>
      <c r="H48" s="181">
        <v>213750</v>
      </c>
      <c r="I48" s="182">
        <v>0</v>
      </c>
      <c r="J48" s="182">
        <v>0</v>
      </c>
      <c r="K48" s="182">
        <v>0</v>
      </c>
      <c r="L48" s="182">
        <v>0</v>
      </c>
      <c r="M48" s="182">
        <v>0</v>
      </c>
      <c r="N48" s="182">
        <v>0</v>
      </c>
      <c r="O48" s="187">
        <v>213750</v>
      </c>
      <c r="P48" s="182">
        <v>213750</v>
      </c>
      <c r="Q48" s="182">
        <v>0</v>
      </c>
      <c r="R48" s="182">
        <v>0</v>
      </c>
      <c r="S48" s="182">
        <v>0</v>
      </c>
      <c r="T48" s="182">
        <v>0</v>
      </c>
      <c r="U48" s="182">
        <v>0</v>
      </c>
      <c r="V48" s="182">
        <v>0</v>
      </c>
      <c r="W48" s="182">
        <v>0</v>
      </c>
      <c r="X48" s="187">
        <v>0</v>
      </c>
      <c r="Y48" s="182">
        <v>213750</v>
      </c>
      <c r="Z48" s="183"/>
      <c r="AA48" s="183"/>
      <c r="AB48" s="182">
        <v>0</v>
      </c>
      <c r="AC48" s="392"/>
      <c r="AD48" s="392"/>
      <c r="AE48" s="393"/>
      <c r="AF48" s="394"/>
      <c r="AH48" s="385">
        <f t="shared" si="1"/>
        <v>213750</v>
      </c>
    </row>
    <row r="49" spans="2:39" x14ac:dyDescent="0.25">
      <c r="B49" s="252" t="s">
        <v>920</v>
      </c>
      <c r="C49" s="168" t="s">
        <v>131</v>
      </c>
      <c r="D49" s="330" t="s">
        <v>455</v>
      </c>
      <c r="E49" s="362"/>
      <c r="F49" s="181">
        <v>660000</v>
      </c>
      <c r="G49" s="181">
        <v>446282.28</v>
      </c>
      <c r="H49" s="181">
        <v>213717.72</v>
      </c>
      <c r="I49" s="182">
        <v>0</v>
      </c>
      <c r="J49" s="182">
        <v>0</v>
      </c>
      <c r="K49" s="182">
        <v>0</v>
      </c>
      <c r="L49" s="182">
        <v>0</v>
      </c>
      <c r="M49" s="182">
        <v>0</v>
      </c>
      <c r="N49" s="182">
        <v>0</v>
      </c>
      <c r="O49" s="187">
        <v>0</v>
      </c>
      <c r="P49" s="182">
        <v>0</v>
      </c>
      <c r="Q49" s="182">
        <v>213717.72</v>
      </c>
      <c r="R49" s="182">
        <v>94619.53</v>
      </c>
      <c r="S49" s="182">
        <v>119098.19</v>
      </c>
      <c r="T49" s="182">
        <v>0</v>
      </c>
      <c r="U49" s="182">
        <v>0</v>
      </c>
      <c r="V49" s="182">
        <v>0</v>
      </c>
      <c r="W49" s="182">
        <v>0</v>
      </c>
      <c r="X49" s="187">
        <v>0</v>
      </c>
      <c r="Y49" s="182">
        <v>0</v>
      </c>
      <c r="Z49" s="183"/>
      <c r="AA49" s="183"/>
      <c r="AB49" s="182">
        <v>660000</v>
      </c>
      <c r="AC49" s="392"/>
      <c r="AD49" s="392"/>
      <c r="AE49" s="393"/>
      <c r="AF49" s="394"/>
      <c r="AH49" s="385">
        <f t="shared" si="1"/>
        <v>0</v>
      </c>
      <c r="AM49" s="275"/>
    </row>
    <row r="50" spans="2:39" x14ac:dyDescent="0.25">
      <c r="B50" s="252" t="s">
        <v>547</v>
      </c>
      <c r="C50" s="168" t="s">
        <v>530</v>
      </c>
      <c r="D50" s="330" t="s">
        <v>455</v>
      </c>
      <c r="E50" s="362"/>
      <c r="F50" s="181">
        <v>3000000</v>
      </c>
      <c r="G50" s="181">
        <v>2804928.39</v>
      </c>
      <c r="H50" s="181">
        <v>195071.61</v>
      </c>
      <c r="I50" s="182">
        <v>0</v>
      </c>
      <c r="J50" s="182">
        <v>0</v>
      </c>
      <c r="K50" s="182">
        <v>0</v>
      </c>
      <c r="L50" s="182">
        <v>0</v>
      </c>
      <c r="M50" s="182">
        <v>0</v>
      </c>
      <c r="N50" s="182">
        <v>0</v>
      </c>
      <c r="O50" s="187">
        <v>0</v>
      </c>
      <c r="P50" s="182">
        <v>0</v>
      </c>
      <c r="Q50" s="182">
        <v>195071.61</v>
      </c>
      <c r="R50" s="182">
        <v>98301.6</v>
      </c>
      <c r="S50" s="182">
        <v>0</v>
      </c>
      <c r="T50" s="182">
        <v>0</v>
      </c>
      <c r="U50" s="182">
        <v>0</v>
      </c>
      <c r="V50" s="182">
        <v>0</v>
      </c>
      <c r="W50" s="182">
        <v>0</v>
      </c>
      <c r="X50" s="187">
        <v>96770.01</v>
      </c>
      <c r="Y50" s="182">
        <v>0</v>
      </c>
      <c r="Z50" s="183"/>
      <c r="AA50" s="183"/>
      <c r="AB50" s="181">
        <v>0</v>
      </c>
      <c r="AC50" s="392"/>
      <c r="AD50" s="392"/>
      <c r="AE50" s="393"/>
      <c r="AF50" s="394"/>
      <c r="AH50" s="385">
        <f t="shared" si="1"/>
        <v>195071.61</v>
      </c>
    </row>
    <row r="51" spans="2:39" x14ac:dyDescent="0.25">
      <c r="B51" s="252" t="s">
        <v>547</v>
      </c>
      <c r="C51" s="168" t="s">
        <v>425</v>
      </c>
      <c r="D51" s="330" t="s">
        <v>455</v>
      </c>
      <c r="E51" s="362"/>
      <c r="F51" s="181">
        <v>1500000</v>
      </c>
      <c r="G51" s="181">
        <v>1332536</v>
      </c>
      <c r="H51" s="181">
        <v>167464</v>
      </c>
      <c r="I51" s="182">
        <v>0</v>
      </c>
      <c r="J51" s="182">
        <v>0</v>
      </c>
      <c r="K51" s="182">
        <v>0</v>
      </c>
      <c r="L51" s="182">
        <v>0</v>
      </c>
      <c r="M51" s="182">
        <v>0</v>
      </c>
      <c r="N51" s="182">
        <v>0</v>
      </c>
      <c r="O51" s="187">
        <v>0</v>
      </c>
      <c r="P51" s="182">
        <v>0</v>
      </c>
      <c r="Q51" s="182">
        <v>167464</v>
      </c>
      <c r="R51" s="182">
        <v>167464</v>
      </c>
      <c r="S51" s="182">
        <v>0</v>
      </c>
      <c r="T51" s="182">
        <v>0</v>
      </c>
      <c r="U51" s="182">
        <v>0</v>
      </c>
      <c r="V51" s="182">
        <v>0</v>
      </c>
      <c r="W51" s="182">
        <v>0</v>
      </c>
      <c r="X51" s="187">
        <v>0</v>
      </c>
      <c r="Y51" s="182">
        <v>0</v>
      </c>
      <c r="Z51" s="183"/>
      <c r="AA51" s="183"/>
      <c r="AB51" s="181">
        <v>1500000</v>
      </c>
      <c r="AC51" s="392"/>
      <c r="AD51" s="392"/>
      <c r="AE51" s="393"/>
      <c r="AF51" s="394"/>
      <c r="AH51" s="385">
        <f t="shared" si="1"/>
        <v>0</v>
      </c>
    </row>
    <row r="52" spans="2:39" x14ac:dyDescent="0.25">
      <c r="B52" s="252" t="s">
        <v>547</v>
      </c>
      <c r="C52" s="168" t="s">
        <v>726</v>
      </c>
      <c r="D52" s="330" t="s">
        <v>455</v>
      </c>
      <c r="E52" s="362"/>
      <c r="F52" s="181">
        <v>3500000</v>
      </c>
      <c r="G52" s="181">
        <v>3338621</v>
      </c>
      <c r="H52" s="181">
        <v>161379</v>
      </c>
      <c r="I52" s="182">
        <v>0</v>
      </c>
      <c r="J52" s="182">
        <v>0</v>
      </c>
      <c r="K52" s="182">
        <v>0</v>
      </c>
      <c r="L52" s="182">
        <v>0</v>
      </c>
      <c r="M52" s="182">
        <v>0</v>
      </c>
      <c r="N52" s="182">
        <v>0</v>
      </c>
      <c r="O52" s="187">
        <v>0</v>
      </c>
      <c r="P52" s="182">
        <v>0</v>
      </c>
      <c r="Q52" s="182">
        <v>161379</v>
      </c>
      <c r="R52" s="182">
        <v>161379</v>
      </c>
      <c r="S52" s="182">
        <v>0</v>
      </c>
      <c r="T52" s="182">
        <v>0</v>
      </c>
      <c r="U52" s="182">
        <v>0</v>
      </c>
      <c r="V52" s="182">
        <v>0</v>
      </c>
      <c r="W52" s="182">
        <v>0</v>
      </c>
      <c r="X52" s="187">
        <v>0</v>
      </c>
      <c r="Y52" s="182">
        <v>0</v>
      </c>
      <c r="Z52" s="183"/>
      <c r="AA52" s="183"/>
      <c r="AB52" s="182">
        <v>3500000</v>
      </c>
      <c r="AC52" s="392"/>
      <c r="AD52" s="392"/>
      <c r="AE52" s="393"/>
      <c r="AF52" s="394"/>
      <c r="AH52" s="385">
        <f t="shared" si="1"/>
        <v>0</v>
      </c>
    </row>
    <row r="53" spans="2:39" x14ac:dyDescent="0.25">
      <c r="B53" s="252" t="s">
        <v>920</v>
      </c>
      <c r="C53" s="168" t="s">
        <v>126</v>
      </c>
      <c r="D53" s="330" t="s">
        <v>455</v>
      </c>
      <c r="E53" s="362"/>
      <c r="F53" s="181">
        <v>962500</v>
      </c>
      <c r="G53" s="181">
        <v>804892.87</v>
      </c>
      <c r="H53" s="181">
        <v>157607.13</v>
      </c>
      <c r="I53" s="182">
        <v>0</v>
      </c>
      <c r="J53" s="182">
        <v>0</v>
      </c>
      <c r="K53" s="182">
        <v>0</v>
      </c>
      <c r="L53" s="182">
        <v>0</v>
      </c>
      <c r="M53" s="182">
        <v>0</v>
      </c>
      <c r="N53" s="182">
        <v>0</v>
      </c>
      <c r="O53" s="187">
        <v>0</v>
      </c>
      <c r="P53" s="184">
        <v>0</v>
      </c>
      <c r="Q53" s="184">
        <v>157607.13</v>
      </c>
      <c r="R53" s="182">
        <v>157607.13</v>
      </c>
      <c r="S53" s="182">
        <v>0</v>
      </c>
      <c r="T53" s="182">
        <v>0</v>
      </c>
      <c r="U53" s="182">
        <v>0</v>
      </c>
      <c r="V53" s="182">
        <v>0</v>
      </c>
      <c r="W53" s="182">
        <v>0</v>
      </c>
      <c r="X53" s="187">
        <v>0</v>
      </c>
      <c r="Y53" s="182">
        <v>0</v>
      </c>
      <c r="Z53" s="183"/>
      <c r="AA53" s="183"/>
      <c r="AB53" s="182">
        <v>962500</v>
      </c>
      <c r="AC53" s="392"/>
      <c r="AD53" s="392"/>
      <c r="AE53" s="393"/>
      <c r="AF53" s="394"/>
      <c r="AH53" s="385">
        <f t="shared" si="1"/>
        <v>0</v>
      </c>
    </row>
    <row r="54" spans="2:39" x14ac:dyDescent="0.25">
      <c r="B54" s="252" t="s">
        <v>547</v>
      </c>
      <c r="C54" s="168" t="s">
        <v>65</v>
      </c>
      <c r="D54" s="330">
        <v>0</v>
      </c>
      <c r="E54" s="362"/>
      <c r="F54" s="181">
        <v>270000</v>
      </c>
      <c r="G54" s="181">
        <v>119800.20000000001</v>
      </c>
      <c r="H54" s="181">
        <v>150199.79999999999</v>
      </c>
      <c r="I54" s="182">
        <v>0</v>
      </c>
      <c r="J54" s="182">
        <v>0</v>
      </c>
      <c r="K54" s="182">
        <v>0</v>
      </c>
      <c r="L54" s="182">
        <v>0</v>
      </c>
      <c r="M54" s="182">
        <v>0</v>
      </c>
      <c r="N54" s="182">
        <v>0</v>
      </c>
      <c r="O54" s="187">
        <v>0</v>
      </c>
      <c r="P54" s="182">
        <v>0</v>
      </c>
      <c r="Q54" s="182">
        <v>150199.79999999999</v>
      </c>
      <c r="R54" s="182">
        <v>74983</v>
      </c>
      <c r="S54" s="182">
        <v>75216.800000000003</v>
      </c>
      <c r="T54" s="182">
        <v>0</v>
      </c>
      <c r="U54" s="182">
        <v>0</v>
      </c>
      <c r="V54" s="182">
        <v>0</v>
      </c>
      <c r="W54" s="182">
        <v>0</v>
      </c>
      <c r="X54" s="187">
        <v>0</v>
      </c>
      <c r="Y54" s="182">
        <v>0</v>
      </c>
      <c r="Z54" s="183"/>
      <c r="AA54" s="183"/>
      <c r="AB54" s="181">
        <v>0</v>
      </c>
      <c r="AC54" s="392"/>
      <c r="AD54" s="392"/>
      <c r="AE54" s="393"/>
      <c r="AF54" s="394"/>
      <c r="AH54" s="385">
        <f t="shared" si="1"/>
        <v>150199.79999999999</v>
      </c>
    </row>
    <row r="55" spans="2:39" x14ac:dyDescent="0.25">
      <c r="B55" s="252" t="s">
        <v>547</v>
      </c>
      <c r="C55" s="168" t="s">
        <v>550</v>
      </c>
      <c r="D55" s="330" t="s">
        <v>455</v>
      </c>
      <c r="E55" s="362"/>
      <c r="F55" s="181">
        <v>200000</v>
      </c>
      <c r="G55" s="181">
        <v>51461.080000000016</v>
      </c>
      <c r="H55" s="181">
        <v>148538.91999999998</v>
      </c>
      <c r="I55" s="182">
        <v>0</v>
      </c>
      <c r="J55" s="182">
        <v>0</v>
      </c>
      <c r="K55" s="182">
        <v>0</v>
      </c>
      <c r="L55" s="182">
        <v>0</v>
      </c>
      <c r="M55" s="182">
        <v>0</v>
      </c>
      <c r="N55" s="182">
        <v>0</v>
      </c>
      <c r="O55" s="187">
        <v>0</v>
      </c>
      <c r="P55" s="182">
        <v>0</v>
      </c>
      <c r="Q55" s="182">
        <v>148538.91999999998</v>
      </c>
      <c r="R55" s="182">
        <v>49512.97</v>
      </c>
      <c r="S55" s="182">
        <v>49512.97</v>
      </c>
      <c r="T55" s="182">
        <v>49512.979999999996</v>
      </c>
      <c r="U55" s="182">
        <v>0</v>
      </c>
      <c r="V55" s="182">
        <v>0</v>
      </c>
      <c r="W55" s="182">
        <v>0</v>
      </c>
      <c r="X55" s="187">
        <v>0</v>
      </c>
      <c r="Y55" s="182">
        <v>0</v>
      </c>
      <c r="Z55" s="183"/>
      <c r="AA55" s="183"/>
      <c r="AB55" s="182">
        <v>200000</v>
      </c>
      <c r="AC55" s="392"/>
      <c r="AD55" s="392"/>
      <c r="AE55" s="393"/>
      <c r="AF55" s="394"/>
      <c r="AH55" s="385">
        <f t="shared" si="1"/>
        <v>0</v>
      </c>
    </row>
    <row r="56" spans="2:39" x14ac:dyDescent="0.25">
      <c r="B56" s="252" t="s">
        <v>920</v>
      </c>
      <c r="C56" s="168" t="s">
        <v>130</v>
      </c>
      <c r="D56" s="330" t="s">
        <v>469</v>
      </c>
      <c r="E56" s="362"/>
      <c r="F56" s="181">
        <v>687500</v>
      </c>
      <c r="G56" s="181">
        <v>541605</v>
      </c>
      <c r="H56" s="181">
        <v>145895</v>
      </c>
      <c r="I56" s="182">
        <v>0</v>
      </c>
      <c r="J56" s="182">
        <v>0</v>
      </c>
      <c r="K56" s="182">
        <v>0</v>
      </c>
      <c r="L56" s="182">
        <v>0</v>
      </c>
      <c r="M56" s="182">
        <v>0</v>
      </c>
      <c r="N56" s="182">
        <v>0</v>
      </c>
      <c r="O56" s="187">
        <v>0</v>
      </c>
      <c r="P56" s="182">
        <v>0</v>
      </c>
      <c r="Q56" s="182">
        <v>145895</v>
      </c>
      <c r="R56" s="182">
        <v>145895</v>
      </c>
      <c r="S56" s="182">
        <v>0</v>
      </c>
      <c r="T56" s="182">
        <v>0</v>
      </c>
      <c r="U56" s="182">
        <v>0</v>
      </c>
      <c r="V56" s="182">
        <v>0</v>
      </c>
      <c r="W56" s="182">
        <v>0</v>
      </c>
      <c r="X56" s="187">
        <v>0</v>
      </c>
      <c r="Y56" s="182">
        <v>0</v>
      </c>
      <c r="Z56" s="183"/>
      <c r="AA56" s="183"/>
      <c r="AB56" s="181">
        <v>687500</v>
      </c>
      <c r="AC56" s="392"/>
      <c r="AD56" s="392"/>
      <c r="AE56" s="393"/>
      <c r="AF56" s="394"/>
      <c r="AH56" s="385">
        <f t="shared" si="1"/>
        <v>0</v>
      </c>
    </row>
    <row r="57" spans="2:39" x14ac:dyDescent="0.25">
      <c r="B57" s="252" t="s">
        <v>547</v>
      </c>
      <c r="C57" s="168" t="s">
        <v>488</v>
      </c>
      <c r="D57" s="330" t="s">
        <v>455</v>
      </c>
      <c r="E57" s="362"/>
      <c r="F57" s="181">
        <v>2500000</v>
      </c>
      <c r="G57" s="181">
        <v>2362915.9</v>
      </c>
      <c r="H57" s="181">
        <v>137084.1</v>
      </c>
      <c r="I57" s="182">
        <v>0</v>
      </c>
      <c r="J57" s="182">
        <v>0</v>
      </c>
      <c r="K57" s="182">
        <v>0</v>
      </c>
      <c r="L57" s="182">
        <v>0</v>
      </c>
      <c r="M57" s="182">
        <v>0</v>
      </c>
      <c r="N57" s="182">
        <v>0</v>
      </c>
      <c r="O57" s="187">
        <v>0</v>
      </c>
      <c r="P57" s="182">
        <v>0</v>
      </c>
      <c r="Q57" s="182">
        <v>137084.1</v>
      </c>
      <c r="R57" s="331">
        <v>137084.1</v>
      </c>
      <c r="S57" s="182">
        <v>0</v>
      </c>
      <c r="T57" s="182">
        <v>0</v>
      </c>
      <c r="U57" s="182">
        <v>0</v>
      </c>
      <c r="V57" s="182">
        <v>0</v>
      </c>
      <c r="W57" s="182">
        <v>0</v>
      </c>
      <c r="X57" s="187">
        <v>0</v>
      </c>
      <c r="Y57" s="182">
        <v>0</v>
      </c>
      <c r="Z57" s="183"/>
      <c r="AA57" s="183"/>
      <c r="AB57" s="182">
        <v>2500000</v>
      </c>
      <c r="AC57" s="392"/>
      <c r="AD57" s="392"/>
      <c r="AE57" s="393"/>
      <c r="AF57" s="394"/>
      <c r="AH57" s="385">
        <f t="shared" si="1"/>
        <v>0</v>
      </c>
    </row>
    <row r="58" spans="2:39" x14ac:dyDescent="0.25">
      <c r="B58" s="252" t="s">
        <v>342</v>
      </c>
      <c r="C58" s="168" t="s">
        <v>433</v>
      </c>
      <c r="D58" s="330">
        <v>0</v>
      </c>
      <c r="E58" s="362"/>
      <c r="F58" s="181">
        <v>1000000</v>
      </c>
      <c r="G58" s="181">
        <v>866282</v>
      </c>
      <c r="H58" s="181">
        <v>133718</v>
      </c>
      <c r="I58" s="182">
        <v>0</v>
      </c>
      <c r="J58" s="182">
        <v>0</v>
      </c>
      <c r="K58" s="182">
        <v>0</v>
      </c>
      <c r="L58" s="182">
        <v>0</v>
      </c>
      <c r="M58" s="182">
        <v>0</v>
      </c>
      <c r="N58" s="182">
        <v>0</v>
      </c>
      <c r="O58" s="187">
        <v>0</v>
      </c>
      <c r="P58" s="182">
        <v>0</v>
      </c>
      <c r="Q58" s="182">
        <v>133718</v>
      </c>
      <c r="R58" s="182">
        <v>0</v>
      </c>
      <c r="S58" s="182">
        <v>133718</v>
      </c>
      <c r="T58" s="182">
        <v>0</v>
      </c>
      <c r="U58" s="182">
        <v>0</v>
      </c>
      <c r="V58" s="182">
        <v>0</v>
      </c>
      <c r="W58" s="182">
        <v>0</v>
      </c>
      <c r="X58" s="187">
        <v>0</v>
      </c>
      <c r="Y58" s="182">
        <v>0</v>
      </c>
      <c r="Z58" s="183"/>
      <c r="AA58" s="183"/>
      <c r="AB58" s="182">
        <v>1000000</v>
      </c>
      <c r="AC58" s="392"/>
      <c r="AD58" s="392"/>
      <c r="AE58" s="393"/>
      <c r="AF58" s="394"/>
      <c r="AH58" s="385">
        <f t="shared" si="1"/>
        <v>0</v>
      </c>
    </row>
    <row r="59" spans="2:39" x14ac:dyDescent="0.25">
      <c r="B59" s="252" t="s">
        <v>920</v>
      </c>
      <c r="C59" s="168" t="s">
        <v>382</v>
      </c>
      <c r="D59" s="330" t="s">
        <v>455</v>
      </c>
      <c r="E59" s="362"/>
      <c r="F59" s="181">
        <v>990000</v>
      </c>
      <c r="G59" s="181">
        <v>857821.72</v>
      </c>
      <c r="H59" s="181">
        <v>132178.28</v>
      </c>
      <c r="I59" s="182">
        <v>0</v>
      </c>
      <c r="J59" s="182">
        <v>0</v>
      </c>
      <c r="K59" s="182">
        <v>0</v>
      </c>
      <c r="L59" s="182">
        <v>0</v>
      </c>
      <c r="M59" s="182">
        <v>0</v>
      </c>
      <c r="N59" s="182">
        <v>0</v>
      </c>
      <c r="O59" s="187">
        <v>0</v>
      </c>
      <c r="P59" s="182">
        <v>0</v>
      </c>
      <c r="Q59" s="182">
        <v>132178.28</v>
      </c>
      <c r="R59" s="182">
        <v>132178.28</v>
      </c>
      <c r="S59" s="182">
        <v>0</v>
      </c>
      <c r="T59" s="182">
        <v>0</v>
      </c>
      <c r="U59" s="182">
        <v>0</v>
      </c>
      <c r="V59" s="182">
        <v>0</v>
      </c>
      <c r="W59" s="182">
        <v>0</v>
      </c>
      <c r="X59" s="187">
        <v>0</v>
      </c>
      <c r="Y59" s="182">
        <v>0</v>
      </c>
      <c r="Z59" s="183"/>
      <c r="AA59" s="183"/>
      <c r="AB59" s="181">
        <v>990000</v>
      </c>
      <c r="AC59" s="392"/>
      <c r="AD59" s="392"/>
      <c r="AE59" s="393"/>
      <c r="AF59" s="394"/>
      <c r="AH59" s="385">
        <f t="shared" si="1"/>
        <v>0</v>
      </c>
    </row>
    <row r="60" spans="2:39" x14ac:dyDescent="0.25">
      <c r="B60" s="252" t="s">
        <v>920</v>
      </c>
      <c r="C60" s="168" t="s">
        <v>535</v>
      </c>
      <c r="D60" s="330" t="s">
        <v>455</v>
      </c>
      <c r="E60" s="362"/>
      <c r="F60" s="181">
        <v>1100000</v>
      </c>
      <c r="G60" s="181">
        <v>996580.11</v>
      </c>
      <c r="H60" s="181">
        <v>103419.88999999998</v>
      </c>
      <c r="I60" s="182">
        <v>0</v>
      </c>
      <c r="J60" s="182">
        <v>0</v>
      </c>
      <c r="K60" s="182">
        <v>0</v>
      </c>
      <c r="L60" s="182">
        <v>0</v>
      </c>
      <c r="M60" s="182">
        <v>0</v>
      </c>
      <c r="N60" s="182">
        <v>0</v>
      </c>
      <c r="O60" s="187">
        <v>0</v>
      </c>
      <c r="P60" s="182">
        <v>0</v>
      </c>
      <c r="Q60" s="182">
        <v>103419.88999999998</v>
      </c>
      <c r="R60" s="182">
        <v>0</v>
      </c>
      <c r="S60" s="182">
        <v>103419.88999999998</v>
      </c>
      <c r="T60" s="182">
        <v>0</v>
      </c>
      <c r="U60" s="182">
        <v>0</v>
      </c>
      <c r="V60" s="182">
        <v>0</v>
      </c>
      <c r="W60" s="182">
        <v>0</v>
      </c>
      <c r="X60" s="187">
        <v>0</v>
      </c>
      <c r="Y60" s="182">
        <v>0</v>
      </c>
      <c r="Z60" s="183"/>
      <c r="AA60" s="183"/>
      <c r="AB60" s="182">
        <v>550000</v>
      </c>
      <c r="AC60" s="392"/>
      <c r="AD60" s="392"/>
      <c r="AE60" s="393"/>
      <c r="AF60" s="394"/>
      <c r="AH60" s="385">
        <f t="shared" si="1"/>
        <v>0</v>
      </c>
    </row>
    <row r="61" spans="2:39" x14ac:dyDescent="0.25">
      <c r="B61" s="252" t="s">
        <v>547</v>
      </c>
      <c r="C61" s="168" t="s">
        <v>658</v>
      </c>
      <c r="D61" s="330" t="s">
        <v>455</v>
      </c>
      <c r="E61" s="362"/>
      <c r="F61" s="181">
        <v>1000000</v>
      </c>
      <c r="G61" s="181">
        <v>897075</v>
      </c>
      <c r="H61" s="181">
        <v>102925</v>
      </c>
      <c r="I61" s="182">
        <v>0</v>
      </c>
      <c r="J61" s="182">
        <v>0</v>
      </c>
      <c r="K61" s="182">
        <v>0</v>
      </c>
      <c r="L61" s="182">
        <v>0</v>
      </c>
      <c r="M61" s="182">
        <v>3393</v>
      </c>
      <c r="N61" s="182">
        <v>0</v>
      </c>
      <c r="O61" s="187">
        <v>0</v>
      </c>
      <c r="P61" s="182">
        <v>3393</v>
      </c>
      <c r="Q61" s="182">
        <v>99532</v>
      </c>
      <c r="R61" s="331">
        <v>99532</v>
      </c>
      <c r="S61" s="182">
        <v>0</v>
      </c>
      <c r="T61" s="182">
        <v>0</v>
      </c>
      <c r="U61" s="182">
        <v>0</v>
      </c>
      <c r="V61" s="182">
        <v>0</v>
      </c>
      <c r="W61" s="182">
        <v>0</v>
      </c>
      <c r="X61" s="187">
        <v>0</v>
      </c>
      <c r="Y61" s="182">
        <v>101.78999999999999</v>
      </c>
      <c r="Z61" s="183"/>
      <c r="AA61" s="183"/>
      <c r="AB61" s="182">
        <v>1500000</v>
      </c>
      <c r="AC61" s="392"/>
      <c r="AD61" s="392"/>
      <c r="AE61" s="393"/>
      <c r="AF61" s="394"/>
      <c r="AH61" s="385">
        <f t="shared" si="1"/>
        <v>0</v>
      </c>
    </row>
    <row r="62" spans="2:39" x14ac:dyDescent="0.25">
      <c r="B62" s="252" t="s">
        <v>547</v>
      </c>
      <c r="C62" s="168" t="s">
        <v>421</v>
      </c>
      <c r="D62" s="330" t="s">
        <v>455</v>
      </c>
      <c r="E62" s="362"/>
      <c r="F62" s="181">
        <v>1500000</v>
      </c>
      <c r="G62" s="181">
        <v>1400215</v>
      </c>
      <c r="H62" s="181">
        <v>99785</v>
      </c>
      <c r="I62" s="182">
        <v>0</v>
      </c>
      <c r="J62" s="182">
        <v>0</v>
      </c>
      <c r="K62" s="182">
        <v>0</v>
      </c>
      <c r="L62" s="182">
        <v>0</v>
      </c>
      <c r="M62" s="182">
        <v>0</v>
      </c>
      <c r="N62" s="182">
        <v>0</v>
      </c>
      <c r="O62" s="187">
        <v>0</v>
      </c>
      <c r="P62" s="182">
        <v>0</v>
      </c>
      <c r="Q62" s="182">
        <v>99785</v>
      </c>
      <c r="R62" s="331">
        <v>99785</v>
      </c>
      <c r="S62" s="182">
        <v>0</v>
      </c>
      <c r="T62" s="182">
        <v>0</v>
      </c>
      <c r="U62" s="182">
        <v>0</v>
      </c>
      <c r="V62" s="182">
        <v>0</v>
      </c>
      <c r="W62" s="182">
        <v>0</v>
      </c>
      <c r="X62" s="187">
        <v>0</v>
      </c>
      <c r="Y62" s="182">
        <v>0</v>
      </c>
      <c r="Z62" s="183"/>
      <c r="AA62" s="183"/>
      <c r="AB62" s="182">
        <v>750000</v>
      </c>
      <c r="AC62" s="392"/>
      <c r="AD62" s="392"/>
      <c r="AE62" s="393"/>
      <c r="AF62" s="394"/>
      <c r="AH62" s="385">
        <f t="shared" si="1"/>
        <v>0</v>
      </c>
    </row>
    <row r="63" spans="2:39" x14ac:dyDescent="0.25">
      <c r="B63" s="252" t="s">
        <v>547</v>
      </c>
      <c r="C63" s="168" t="s">
        <v>303</v>
      </c>
      <c r="D63" s="330" t="s">
        <v>455</v>
      </c>
      <c r="E63" s="362"/>
      <c r="F63" s="181">
        <v>300000</v>
      </c>
      <c r="G63" s="181">
        <v>212860.5</v>
      </c>
      <c r="H63" s="181">
        <v>87139.5</v>
      </c>
      <c r="I63" s="182">
        <v>0</v>
      </c>
      <c r="J63" s="182">
        <v>0</v>
      </c>
      <c r="K63" s="182">
        <v>0</v>
      </c>
      <c r="L63" s="182">
        <v>0</v>
      </c>
      <c r="M63" s="182">
        <v>0</v>
      </c>
      <c r="N63" s="182">
        <v>0</v>
      </c>
      <c r="O63" s="187">
        <v>0</v>
      </c>
      <c r="P63" s="182">
        <v>0</v>
      </c>
      <c r="Q63" s="182">
        <v>87139.5</v>
      </c>
      <c r="R63" s="182">
        <v>0</v>
      </c>
      <c r="S63" s="182">
        <v>43569.75</v>
      </c>
      <c r="T63" s="182">
        <v>43569.75</v>
      </c>
      <c r="U63" s="182">
        <v>0</v>
      </c>
      <c r="V63" s="182">
        <v>0</v>
      </c>
      <c r="W63" s="182">
        <v>0</v>
      </c>
      <c r="X63" s="187">
        <v>0</v>
      </c>
      <c r="Y63" s="182">
        <v>0</v>
      </c>
      <c r="Z63" s="183"/>
      <c r="AA63" s="183"/>
      <c r="AB63" s="181">
        <v>300000</v>
      </c>
      <c r="AC63" s="392"/>
      <c r="AD63" s="392"/>
      <c r="AE63" s="393"/>
      <c r="AF63" s="394"/>
      <c r="AH63" s="385">
        <f t="shared" si="1"/>
        <v>0</v>
      </c>
    </row>
    <row r="64" spans="2:39" x14ac:dyDescent="0.25">
      <c r="B64" s="252" t="s">
        <v>920</v>
      </c>
      <c r="C64" s="168" t="s">
        <v>305</v>
      </c>
      <c r="D64" s="330" t="s">
        <v>469</v>
      </c>
      <c r="E64" s="362"/>
      <c r="F64" s="181">
        <v>550000</v>
      </c>
      <c r="G64" s="181">
        <v>463310.9</v>
      </c>
      <c r="H64" s="181">
        <v>86689.1</v>
      </c>
      <c r="I64" s="182">
        <v>0</v>
      </c>
      <c r="J64" s="182">
        <v>0</v>
      </c>
      <c r="K64" s="182">
        <v>0</v>
      </c>
      <c r="L64" s="182">
        <v>0</v>
      </c>
      <c r="M64" s="182">
        <v>0</v>
      </c>
      <c r="N64" s="182">
        <v>0</v>
      </c>
      <c r="O64" s="187">
        <v>0</v>
      </c>
      <c r="P64" s="182">
        <v>0</v>
      </c>
      <c r="Q64" s="182">
        <v>86689.1</v>
      </c>
      <c r="R64" s="182">
        <v>86689.1</v>
      </c>
      <c r="S64" s="182">
        <v>0</v>
      </c>
      <c r="T64" s="182">
        <v>0</v>
      </c>
      <c r="U64" s="182">
        <v>0</v>
      </c>
      <c r="V64" s="182">
        <v>0</v>
      </c>
      <c r="W64" s="182">
        <v>0</v>
      </c>
      <c r="X64" s="187">
        <v>0</v>
      </c>
      <c r="Y64" s="182">
        <v>0</v>
      </c>
      <c r="Z64" s="183"/>
      <c r="AA64" s="183"/>
      <c r="AB64" s="182">
        <v>550000</v>
      </c>
      <c r="AC64" s="392"/>
      <c r="AD64" s="392"/>
      <c r="AE64" s="393"/>
      <c r="AF64" s="394"/>
      <c r="AH64" s="385">
        <f t="shared" si="1"/>
        <v>0</v>
      </c>
    </row>
    <row r="65" spans="2:34" x14ac:dyDescent="0.25">
      <c r="B65" s="252" t="s">
        <v>547</v>
      </c>
      <c r="C65" s="168" t="s">
        <v>89</v>
      </c>
      <c r="D65" s="330" t="s">
        <v>455</v>
      </c>
      <c r="E65" s="362"/>
      <c r="F65" s="181">
        <v>200000</v>
      </c>
      <c r="G65" s="181">
        <v>116801.3</v>
      </c>
      <c r="H65" s="181">
        <v>83198.7</v>
      </c>
      <c r="I65" s="182">
        <v>0</v>
      </c>
      <c r="J65" s="182">
        <v>0</v>
      </c>
      <c r="K65" s="182">
        <v>0</v>
      </c>
      <c r="L65" s="182">
        <v>0</v>
      </c>
      <c r="M65" s="182">
        <v>0</v>
      </c>
      <c r="N65" s="182">
        <v>0</v>
      </c>
      <c r="O65" s="187">
        <v>0</v>
      </c>
      <c r="P65" s="182">
        <v>0</v>
      </c>
      <c r="Q65" s="182">
        <v>83198.7</v>
      </c>
      <c r="R65" s="182">
        <v>83198.7</v>
      </c>
      <c r="S65" s="182">
        <v>0</v>
      </c>
      <c r="T65" s="182">
        <v>0</v>
      </c>
      <c r="U65" s="182">
        <v>0</v>
      </c>
      <c r="V65" s="182">
        <v>0</v>
      </c>
      <c r="W65" s="182">
        <v>0</v>
      </c>
      <c r="X65" s="187">
        <v>0</v>
      </c>
      <c r="Y65" s="182">
        <v>0</v>
      </c>
      <c r="Z65" s="183"/>
      <c r="AA65" s="183"/>
      <c r="AB65" s="182">
        <v>200000</v>
      </c>
      <c r="AC65" s="392"/>
      <c r="AD65" s="392"/>
      <c r="AE65" s="393"/>
      <c r="AF65" s="394"/>
      <c r="AH65" s="385">
        <f t="shared" si="1"/>
        <v>0</v>
      </c>
    </row>
    <row r="66" spans="2:34" x14ac:dyDescent="0.25">
      <c r="B66" s="252" t="s">
        <v>547</v>
      </c>
      <c r="C66" s="168" t="s">
        <v>419</v>
      </c>
      <c r="D66" s="330" t="s">
        <v>455</v>
      </c>
      <c r="E66" s="362"/>
      <c r="F66" s="181">
        <v>500000</v>
      </c>
      <c r="G66" s="181">
        <v>419020</v>
      </c>
      <c r="H66" s="181">
        <v>80980</v>
      </c>
      <c r="I66" s="182">
        <v>0</v>
      </c>
      <c r="J66" s="182">
        <v>0</v>
      </c>
      <c r="K66" s="182">
        <v>0</v>
      </c>
      <c r="L66" s="182">
        <v>0</v>
      </c>
      <c r="M66" s="182">
        <v>0</v>
      </c>
      <c r="N66" s="182">
        <v>0</v>
      </c>
      <c r="O66" s="187">
        <v>0</v>
      </c>
      <c r="P66" s="182">
        <v>0</v>
      </c>
      <c r="Q66" s="182">
        <v>80980</v>
      </c>
      <c r="R66" s="331">
        <v>80980</v>
      </c>
      <c r="S66" s="182">
        <v>0</v>
      </c>
      <c r="T66" s="182">
        <v>0</v>
      </c>
      <c r="U66" s="182">
        <v>0</v>
      </c>
      <c r="V66" s="182">
        <v>0</v>
      </c>
      <c r="W66" s="182">
        <v>0</v>
      </c>
      <c r="X66" s="187">
        <v>0</v>
      </c>
      <c r="Y66" s="182">
        <v>0</v>
      </c>
      <c r="Z66" s="183"/>
      <c r="AA66" s="183"/>
      <c r="AB66" s="182">
        <v>500000</v>
      </c>
      <c r="AC66" s="392"/>
      <c r="AD66" s="392"/>
      <c r="AE66" s="393"/>
      <c r="AF66" s="394"/>
      <c r="AH66" s="385">
        <f t="shared" si="1"/>
        <v>0</v>
      </c>
    </row>
    <row r="67" spans="2:34" x14ac:dyDescent="0.25">
      <c r="B67" s="252" t="s">
        <v>920</v>
      </c>
      <c r="C67" s="168" t="s">
        <v>492</v>
      </c>
      <c r="D67" s="330" t="s">
        <v>469</v>
      </c>
      <c r="E67" s="362"/>
      <c r="F67" s="181">
        <v>302500</v>
      </c>
      <c r="G67" s="181">
        <v>226019.77000000002</v>
      </c>
      <c r="H67" s="181">
        <v>76480.23</v>
      </c>
      <c r="I67" s="182">
        <v>0</v>
      </c>
      <c r="J67" s="182">
        <v>0</v>
      </c>
      <c r="K67" s="182">
        <v>0</v>
      </c>
      <c r="L67" s="182">
        <v>0</v>
      </c>
      <c r="M67" s="182">
        <v>0</v>
      </c>
      <c r="N67" s="182">
        <v>0</v>
      </c>
      <c r="O67" s="187">
        <v>0</v>
      </c>
      <c r="P67" s="182">
        <v>0</v>
      </c>
      <c r="Q67" s="182">
        <v>76480.23</v>
      </c>
      <c r="R67" s="182">
        <v>0</v>
      </c>
      <c r="S67" s="182">
        <v>0</v>
      </c>
      <c r="T67" s="182">
        <v>0</v>
      </c>
      <c r="U67" s="182">
        <v>0</v>
      </c>
      <c r="V67" s="182">
        <v>0</v>
      </c>
      <c r="W67" s="182">
        <v>76480.23</v>
      </c>
      <c r="X67" s="187">
        <v>0</v>
      </c>
      <c r="Y67" s="182">
        <v>0</v>
      </c>
      <c r="Z67" s="183"/>
      <c r="AA67" s="183"/>
      <c r="AB67" s="182">
        <v>302500</v>
      </c>
      <c r="AC67" s="392"/>
      <c r="AD67" s="392"/>
      <c r="AE67" s="393"/>
      <c r="AF67" s="394"/>
      <c r="AH67" s="385">
        <f t="shared" si="1"/>
        <v>0</v>
      </c>
    </row>
    <row r="68" spans="2:34" x14ac:dyDescent="0.25">
      <c r="B68" s="252" t="s">
        <v>547</v>
      </c>
      <c r="C68" s="168" t="s">
        <v>296</v>
      </c>
      <c r="D68" s="330" t="s">
        <v>455</v>
      </c>
      <c r="E68" s="362"/>
      <c r="F68" s="181">
        <v>800000</v>
      </c>
      <c r="G68" s="181">
        <v>725978.6</v>
      </c>
      <c r="H68" s="181">
        <v>74021.399999999994</v>
      </c>
      <c r="I68" s="182">
        <v>0</v>
      </c>
      <c r="J68" s="182">
        <v>0</v>
      </c>
      <c r="K68" s="182">
        <v>0</v>
      </c>
      <c r="L68" s="182">
        <v>0</v>
      </c>
      <c r="M68" s="182">
        <v>0</v>
      </c>
      <c r="N68" s="182">
        <v>0</v>
      </c>
      <c r="O68" s="187">
        <v>0</v>
      </c>
      <c r="P68" s="182">
        <v>0</v>
      </c>
      <c r="Q68" s="182">
        <v>74021.399999999994</v>
      </c>
      <c r="R68" s="182">
        <v>74021.399999999994</v>
      </c>
      <c r="S68" s="182">
        <v>0</v>
      </c>
      <c r="T68" s="182">
        <v>0</v>
      </c>
      <c r="U68" s="182">
        <v>0</v>
      </c>
      <c r="V68" s="182">
        <v>0</v>
      </c>
      <c r="W68" s="182">
        <v>0</v>
      </c>
      <c r="X68" s="187">
        <v>0</v>
      </c>
      <c r="Y68" s="182">
        <v>0</v>
      </c>
      <c r="Z68" s="183"/>
      <c r="AA68" s="183"/>
      <c r="AB68" s="181">
        <v>800000</v>
      </c>
      <c r="AC68" s="392"/>
      <c r="AD68" s="392"/>
      <c r="AE68" s="393"/>
      <c r="AF68" s="394"/>
      <c r="AH68" s="385">
        <f t="shared" si="1"/>
        <v>0</v>
      </c>
    </row>
    <row r="69" spans="2:34" x14ac:dyDescent="0.25">
      <c r="B69" s="252" t="s">
        <v>547</v>
      </c>
      <c r="C69" s="168" t="s">
        <v>555</v>
      </c>
      <c r="D69" s="330">
        <v>0</v>
      </c>
      <c r="E69" s="362"/>
      <c r="F69" s="181">
        <v>1000000</v>
      </c>
      <c r="G69" s="181">
        <v>933260</v>
      </c>
      <c r="H69" s="181">
        <v>66740</v>
      </c>
      <c r="I69" s="182">
        <v>0</v>
      </c>
      <c r="J69" s="182">
        <v>0</v>
      </c>
      <c r="K69" s="182">
        <v>0</v>
      </c>
      <c r="L69" s="182">
        <v>0</v>
      </c>
      <c r="M69" s="182">
        <v>0</v>
      </c>
      <c r="N69" s="182">
        <v>0</v>
      </c>
      <c r="O69" s="187">
        <v>0</v>
      </c>
      <c r="P69" s="182">
        <v>0</v>
      </c>
      <c r="Q69" s="182">
        <v>66740</v>
      </c>
      <c r="R69" s="182">
        <v>66740</v>
      </c>
      <c r="S69" s="182">
        <v>0</v>
      </c>
      <c r="T69" s="182">
        <v>0</v>
      </c>
      <c r="U69" s="182">
        <v>0</v>
      </c>
      <c r="V69" s="182">
        <v>0</v>
      </c>
      <c r="W69" s="182">
        <v>0</v>
      </c>
      <c r="X69" s="187">
        <v>0</v>
      </c>
      <c r="Y69" s="182">
        <v>0</v>
      </c>
      <c r="Z69" s="183"/>
      <c r="AA69" s="183"/>
      <c r="AB69" s="182">
        <v>1000000</v>
      </c>
      <c r="AC69" s="392"/>
      <c r="AD69" s="392"/>
      <c r="AE69" s="393"/>
      <c r="AF69" s="394"/>
      <c r="AH69" s="385">
        <f t="shared" ref="AH69:AH96" si="2">MAX(H69-AB69,0)</f>
        <v>0</v>
      </c>
    </row>
    <row r="70" spans="2:34" x14ac:dyDescent="0.25">
      <c r="B70" s="252" t="s">
        <v>547</v>
      </c>
      <c r="C70" s="168" t="s">
        <v>252</v>
      </c>
      <c r="D70" s="330">
        <v>0</v>
      </c>
      <c r="E70" s="362"/>
      <c r="F70" s="181">
        <v>0</v>
      </c>
      <c r="G70" s="181">
        <v>-66308</v>
      </c>
      <c r="H70" s="181">
        <v>66308</v>
      </c>
      <c r="I70" s="182">
        <v>0</v>
      </c>
      <c r="J70" s="182">
        <v>0</v>
      </c>
      <c r="K70" s="182">
        <v>0</v>
      </c>
      <c r="L70" s="182">
        <v>0</v>
      </c>
      <c r="M70" s="182">
        <v>0</v>
      </c>
      <c r="N70" s="182">
        <v>0</v>
      </c>
      <c r="O70" s="187">
        <v>0</v>
      </c>
      <c r="P70" s="184">
        <v>0</v>
      </c>
      <c r="Q70" s="184">
        <v>66308</v>
      </c>
      <c r="R70" s="182">
        <v>66308</v>
      </c>
      <c r="S70" s="182">
        <v>0</v>
      </c>
      <c r="T70" s="182">
        <v>0</v>
      </c>
      <c r="U70" s="182">
        <v>0</v>
      </c>
      <c r="V70" s="182">
        <v>0</v>
      </c>
      <c r="W70" s="182">
        <v>0</v>
      </c>
      <c r="X70" s="187">
        <v>0</v>
      </c>
      <c r="Y70" s="182">
        <v>0</v>
      </c>
      <c r="Z70" s="183"/>
      <c r="AA70" s="183"/>
      <c r="AB70" s="182">
        <v>0</v>
      </c>
      <c r="AC70" s="392"/>
      <c r="AD70" s="392"/>
      <c r="AE70" s="393"/>
      <c r="AF70" s="394"/>
      <c r="AH70" s="385">
        <f t="shared" si="2"/>
        <v>66308</v>
      </c>
    </row>
    <row r="71" spans="2:34" x14ac:dyDescent="0.25">
      <c r="B71" s="252" t="s">
        <v>547</v>
      </c>
      <c r="C71" s="168" t="s">
        <v>414</v>
      </c>
      <c r="D71" s="330" t="s">
        <v>455</v>
      </c>
      <c r="E71" s="362"/>
      <c r="F71" s="181">
        <v>4000000</v>
      </c>
      <c r="G71" s="181">
        <v>3939882.2</v>
      </c>
      <c r="H71" s="181">
        <v>60117.8</v>
      </c>
      <c r="I71" s="182">
        <v>0</v>
      </c>
      <c r="J71" s="182">
        <v>0</v>
      </c>
      <c r="K71" s="182">
        <v>0</v>
      </c>
      <c r="L71" s="182">
        <v>0</v>
      </c>
      <c r="M71" s="182">
        <v>0</v>
      </c>
      <c r="N71" s="182">
        <v>0</v>
      </c>
      <c r="O71" s="187">
        <v>0</v>
      </c>
      <c r="P71" s="182">
        <v>0</v>
      </c>
      <c r="Q71" s="182">
        <v>60117.8</v>
      </c>
      <c r="R71" s="182">
        <v>1200</v>
      </c>
      <c r="S71" s="182">
        <v>58917.8</v>
      </c>
      <c r="T71" s="182">
        <v>0</v>
      </c>
      <c r="U71" s="182">
        <v>0</v>
      </c>
      <c r="V71" s="182">
        <v>0</v>
      </c>
      <c r="W71" s="182">
        <v>0</v>
      </c>
      <c r="X71" s="187">
        <v>0</v>
      </c>
      <c r="Y71" s="182">
        <v>0</v>
      </c>
      <c r="Z71" s="183"/>
      <c r="AA71" s="183"/>
      <c r="AB71" s="181">
        <v>4000000</v>
      </c>
      <c r="AC71" s="392"/>
      <c r="AD71" s="392"/>
      <c r="AE71" s="393"/>
      <c r="AF71" s="394"/>
      <c r="AH71" s="385">
        <f t="shared" si="2"/>
        <v>0</v>
      </c>
    </row>
    <row r="72" spans="2:34" x14ac:dyDescent="0.25">
      <c r="B72" s="252" t="s">
        <v>920</v>
      </c>
      <c r="C72" s="168" t="s">
        <v>907</v>
      </c>
      <c r="D72" s="330">
        <v>0</v>
      </c>
      <c r="E72" s="362"/>
      <c r="F72" s="181">
        <v>0</v>
      </c>
      <c r="G72" s="181">
        <v>-58715.6</v>
      </c>
      <c r="H72" s="181">
        <v>58715.6</v>
      </c>
      <c r="I72" s="182">
        <v>0</v>
      </c>
      <c r="J72" s="182">
        <v>0</v>
      </c>
      <c r="K72" s="182">
        <v>0</v>
      </c>
      <c r="L72" s="182">
        <v>0</v>
      </c>
      <c r="M72" s="182">
        <v>0</v>
      </c>
      <c r="N72" s="182">
        <v>0</v>
      </c>
      <c r="O72" s="187">
        <v>0</v>
      </c>
      <c r="P72" s="182">
        <v>0</v>
      </c>
      <c r="Q72" s="182">
        <v>58715.6</v>
      </c>
      <c r="R72" s="182">
        <v>58715.6</v>
      </c>
      <c r="S72" s="182">
        <v>0</v>
      </c>
      <c r="T72" s="182">
        <v>0</v>
      </c>
      <c r="U72" s="182">
        <v>0</v>
      </c>
      <c r="V72" s="182">
        <v>0</v>
      </c>
      <c r="W72" s="182">
        <v>0</v>
      </c>
      <c r="X72" s="187">
        <v>0</v>
      </c>
      <c r="Y72" s="182">
        <v>0</v>
      </c>
      <c r="Z72" s="183"/>
      <c r="AA72" s="183"/>
      <c r="AB72" s="182">
        <v>0</v>
      </c>
      <c r="AC72" s="392"/>
      <c r="AD72" s="392"/>
      <c r="AE72" s="393"/>
      <c r="AF72" s="394"/>
      <c r="AH72" s="385">
        <f t="shared" si="2"/>
        <v>58715.6</v>
      </c>
    </row>
    <row r="73" spans="2:34" x14ac:dyDescent="0.25">
      <c r="B73" s="252" t="s">
        <v>547</v>
      </c>
      <c r="C73" s="168" t="s">
        <v>95</v>
      </c>
      <c r="D73" s="330">
        <v>0</v>
      </c>
      <c r="E73" s="362"/>
      <c r="F73" s="181">
        <v>0</v>
      </c>
      <c r="G73" s="181">
        <v>-52840</v>
      </c>
      <c r="H73" s="181">
        <v>52840</v>
      </c>
      <c r="I73" s="182">
        <v>0</v>
      </c>
      <c r="J73" s="182">
        <v>0</v>
      </c>
      <c r="K73" s="182">
        <v>0</v>
      </c>
      <c r="L73" s="182">
        <v>0</v>
      </c>
      <c r="M73" s="182">
        <v>0</v>
      </c>
      <c r="N73" s="182">
        <v>0</v>
      </c>
      <c r="O73" s="187">
        <v>0</v>
      </c>
      <c r="P73" s="184">
        <v>0</v>
      </c>
      <c r="Q73" s="184">
        <v>52840</v>
      </c>
      <c r="R73" s="182">
        <v>52840</v>
      </c>
      <c r="S73" s="182">
        <v>0</v>
      </c>
      <c r="T73" s="182">
        <v>0</v>
      </c>
      <c r="U73" s="182">
        <v>0</v>
      </c>
      <c r="V73" s="182">
        <v>0</v>
      </c>
      <c r="W73" s="182">
        <v>0</v>
      </c>
      <c r="X73" s="187">
        <v>0</v>
      </c>
      <c r="Y73" s="182">
        <v>0</v>
      </c>
      <c r="Z73" s="183"/>
      <c r="AA73" s="183"/>
      <c r="AB73" s="182">
        <v>0</v>
      </c>
      <c r="AC73" s="392"/>
      <c r="AD73" s="392"/>
      <c r="AE73" s="393"/>
      <c r="AF73" s="394"/>
      <c r="AH73" s="385">
        <f t="shared" si="2"/>
        <v>52840</v>
      </c>
    </row>
    <row r="74" spans="2:34" x14ac:dyDescent="0.25">
      <c r="B74" s="252" t="s">
        <v>547</v>
      </c>
      <c r="C74" s="168" t="s">
        <v>842</v>
      </c>
      <c r="D74" s="330">
        <v>0</v>
      </c>
      <c r="E74" s="362"/>
      <c r="F74" s="181">
        <v>0</v>
      </c>
      <c r="G74" s="181">
        <v>-49440</v>
      </c>
      <c r="H74" s="181">
        <v>49440</v>
      </c>
      <c r="I74" s="182">
        <v>49440</v>
      </c>
      <c r="J74" s="182">
        <v>0</v>
      </c>
      <c r="K74" s="182">
        <v>0</v>
      </c>
      <c r="L74" s="182">
        <v>0</v>
      </c>
      <c r="M74" s="182">
        <v>0</v>
      </c>
      <c r="N74" s="182">
        <v>0</v>
      </c>
      <c r="O74" s="187">
        <v>0</v>
      </c>
      <c r="P74" s="182">
        <v>49440</v>
      </c>
      <c r="Q74" s="182">
        <v>0</v>
      </c>
      <c r="R74" s="331">
        <v>0</v>
      </c>
      <c r="S74" s="182">
        <v>0</v>
      </c>
      <c r="T74" s="182">
        <v>0</v>
      </c>
      <c r="U74" s="182">
        <v>0</v>
      </c>
      <c r="V74" s="182">
        <v>0</v>
      </c>
      <c r="W74" s="182">
        <v>0</v>
      </c>
      <c r="X74" s="187">
        <v>0</v>
      </c>
      <c r="Y74" s="182">
        <v>0</v>
      </c>
      <c r="Z74" s="183"/>
      <c r="AA74" s="183"/>
      <c r="AB74" s="182">
        <v>0</v>
      </c>
      <c r="AC74" s="392"/>
      <c r="AD74" s="392"/>
      <c r="AE74" s="393"/>
      <c r="AF74" s="394"/>
      <c r="AH74" s="385">
        <f t="shared" si="2"/>
        <v>49440</v>
      </c>
    </row>
    <row r="75" spans="2:34" x14ac:dyDescent="0.25">
      <c r="B75" s="252" t="s">
        <v>920</v>
      </c>
      <c r="C75" s="168" t="s">
        <v>853</v>
      </c>
      <c r="D75" s="330" t="s">
        <v>476</v>
      </c>
      <c r="E75" s="362"/>
      <c r="F75" s="181">
        <v>275000</v>
      </c>
      <c r="G75" s="181">
        <v>229281.54</v>
      </c>
      <c r="H75" s="181">
        <v>45718.46</v>
      </c>
      <c r="I75" s="182">
        <v>0</v>
      </c>
      <c r="J75" s="182">
        <v>0</v>
      </c>
      <c r="K75" s="182">
        <v>0</v>
      </c>
      <c r="L75" s="182">
        <v>0</v>
      </c>
      <c r="M75" s="182">
        <v>0</v>
      </c>
      <c r="N75" s="182">
        <v>0</v>
      </c>
      <c r="O75" s="187">
        <v>0</v>
      </c>
      <c r="P75" s="182">
        <v>0</v>
      </c>
      <c r="Q75" s="182">
        <v>45718.46</v>
      </c>
      <c r="R75" s="182">
        <v>0</v>
      </c>
      <c r="S75" s="182">
        <v>0</v>
      </c>
      <c r="T75" s="182">
        <v>45718.46</v>
      </c>
      <c r="U75" s="182">
        <v>0</v>
      </c>
      <c r="V75" s="182">
        <v>0</v>
      </c>
      <c r="W75" s="182">
        <v>0</v>
      </c>
      <c r="X75" s="187">
        <v>0</v>
      </c>
      <c r="Y75" s="182">
        <v>0</v>
      </c>
      <c r="Z75" s="183"/>
      <c r="AA75" s="183"/>
      <c r="AB75" s="182">
        <v>275000</v>
      </c>
      <c r="AC75" s="392"/>
      <c r="AD75" s="392"/>
      <c r="AE75" s="393"/>
      <c r="AF75" s="394"/>
      <c r="AH75" s="385">
        <f t="shared" si="2"/>
        <v>0</v>
      </c>
    </row>
    <row r="76" spans="2:34" x14ac:dyDescent="0.25">
      <c r="B76" s="252" t="s">
        <v>547</v>
      </c>
      <c r="C76" s="168" t="s">
        <v>50</v>
      </c>
      <c r="D76" s="330" t="s">
        <v>455</v>
      </c>
      <c r="E76" s="362"/>
      <c r="F76" s="181">
        <v>150000</v>
      </c>
      <c r="G76" s="181">
        <v>107760</v>
      </c>
      <c r="H76" s="181">
        <v>42240</v>
      </c>
      <c r="I76" s="182">
        <v>0</v>
      </c>
      <c r="J76" s="182">
        <v>0</v>
      </c>
      <c r="K76" s="182">
        <v>0</v>
      </c>
      <c r="L76" s="182">
        <v>0</v>
      </c>
      <c r="M76" s="182">
        <v>0</v>
      </c>
      <c r="N76" s="182">
        <v>0</v>
      </c>
      <c r="O76" s="187">
        <v>0</v>
      </c>
      <c r="P76" s="182">
        <v>0</v>
      </c>
      <c r="Q76" s="182">
        <v>42240</v>
      </c>
      <c r="R76" s="182">
        <v>42240</v>
      </c>
      <c r="S76" s="182">
        <v>0</v>
      </c>
      <c r="T76" s="182">
        <v>0</v>
      </c>
      <c r="U76" s="182">
        <v>0</v>
      </c>
      <c r="V76" s="182">
        <v>0</v>
      </c>
      <c r="W76" s="182">
        <v>0</v>
      </c>
      <c r="X76" s="187">
        <v>0</v>
      </c>
      <c r="Y76" s="182">
        <v>0</v>
      </c>
      <c r="Z76" s="183"/>
      <c r="AA76" s="183"/>
      <c r="AB76" s="181">
        <v>150000</v>
      </c>
      <c r="AC76" s="392"/>
      <c r="AD76" s="392"/>
      <c r="AE76" s="393"/>
      <c r="AF76" s="394"/>
      <c r="AH76" s="385">
        <f t="shared" si="2"/>
        <v>0</v>
      </c>
    </row>
    <row r="77" spans="2:34" x14ac:dyDescent="0.25">
      <c r="B77" s="252" t="s">
        <v>920</v>
      </c>
      <c r="C77" s="168" t="s">
        <v>360</v>
      </c>
      <c r="D77" s="330" t="s">
        <v>455</v>
      </c>
      <c r="E77" s="362"/>
      <c r="F77" s="181">
        <v>1100000</v>
      </c>
      <c r="G77" s="181">
        <v>1059982.3600000001</v>
      </c>
      <c r="H77" s="181">
        <v>40017.64</v>
      </c>
      <c r="I77" s="182">
        <v>0</v>
      </c>
      <c r="J77" s="182">
        <v>0</v>
      </c>
      <c r="K77" s="182">
        <v>0</v>
      </c>
      <c r="L77" s="182">
        <v>0</v>
      </c>
      <c r="M77" s="182">
        <v>0</v>
      </c>
      <c r="N77" s="182">
        <v>0</v>
      </c>
      <c r="O77" s="187">
        <v>0</v>
      </c>
      <c r="P77" s="184">
        <v>0</v>
      </c>
      <c r="Q77" s="184">
        <v>40017.64</v>
      </c>
      <c r="R77" s="182">
        <v>0</v>
      </c>
      <c r="S77" s="182">
        <v>40017.64</v>
      </c>
      <c r="T77" s="182">
        <v>0</v>
      </c>
      <c r="U77" s="182">
        <v>0</v>
      </c>
      <c r="V77" s="182">
        <v>0</v>
      </c>
      <c r="W77" s="182">
        <v>0</v>
      </c>
      <c r="X77" s="187">
        <v>0</v>
      </c>
      <c r="Y77" s="182">
        <v>0</v>
      </c>
      <c r="Z77" s="183"/>
      <c r="AA77" s="183"/>
      <c r="AB77" s="182">
        <v>1100000</v>
      </c>
      <c r="AC77" s="392"/>
      <c r="AD77" s="392"/>
      <c r="AE77" s="393"/>
      <c r="AF77" s="394"/>
      <c r="AH77" s="385">
        <f t="shared" si="2"/>
        <v>0</v>
      </c>
    </row>
    <row r="78" spans="2:34" x14ac:dyDescent="0.25">
      <c r="B78" s="252" t="s">
        <v>547</v>
      </c>
      <c r="C78" s="168" t="s">
        <v>94</v>
      </c>
      <c r="D78" s="330" t="s">
        <v>455</v>
      </c>
      <c r="E78" s="362"/>
      <c r="F78" s="181">
        <v>100000</v>
      </c>
      <c r="G78" s="181">
        <v>71555.5</v>
      </c>
      <c r="H78" s="181">
        <v>28444.5</v>
      </c>
      <c r="I78" s="182">
        <v>0</v>
      </c>
      <c r="J78" s="182">
        <v>0</v>
      </c>
      <c r="K78" s="182">
        <v>0</v>
      </c>
      <c r="L78" s="182">
        <v>0</v>
      </c>
      <c r="M78" s="182">
        <v>0</v>
      </c>
      <c r="N78" s="182">
        <v>0</v>
      </c>
      <c r="O78" s="187">
        <v>0</v>
      </c>
      <c r="P78" s="184">
        <v>0</v>
      </c>
      <c r="Q78" s="184">
        <v>28444.5</v>
      </c>
      <c r="R78" s="182">
        <v>28444.5</v>
      </c>
      <c r="S78" s="182">
        <v>0</v>
      </c>
      <c r="T78" s="182">
        <v>0</v>
      </c>
      <c r="U78" s="182">
        <v>0</v>
      </c>
      <c r="V78" s="182">
        <v>0</v>
      </c>
      <c r="W78" s="182">
        <v>0</v>
      </c>
      <c r="X78" s="187">
        <v>0</v>
      </c>
      <c r="Y78" s="182">
        <v>0</v>
      </c>
      <c r="Z78" s="183"/>
      <c r="AA78" s="183"/>
      <c r="AB78" s="182">
        <v>100000</v>
      </c>
      <c r="AC78" s="392"/>
      <c r="AD78" s="392"/>
      <c r="AE78" s="393"/>
      <c r="AF78" s="394"/>
      <c r="AH78" s="385">
        <f t="shared" si="2"/>
        <v>0</v>
      </c>
    </row>
    <row r="79" spans="2:34" x14ac:dyDescent="0.25">
      <c r="B79" s="252" t="s">
        <v>547</v>
      </c>
      <c r="C79" s="168" t="s">
        <v>91</v>
      </c>
      <c r="D79" s="330">
        <v>0</v>
      </c>
      <c r="E79" s="362"/>
      <c r="F79" s="181">
        <v>0</v>
      </c>
      <c r="G79" s="181">
        <v>-20940</v>
      </c>
      <c r="H79" s="181">
        <v>20940</v>
      </c>
      <c r="I79" s="182">
        <v>0</v>
      </c>
      <c r="J79" s="182">
        <v>0</v>
      </c>
      <c r="K79" s="182">
        <v>0</v>
      </c>
      <c r="L79" s="182">
        <v>0</v>
      </c>
      <c r="M79" s="182">
        <v>0</v>
      </c>
      <c r="N79" s="182">
        <v>0</v>
      </c>
      <c r="O79" s="187">
        <v>20940</v>
      </c>
      <c r="P79" s="182">
        <v>20940</v>
      </c>
      <c r="Q79" s="182">
        <v>0</v>
      </c>
      <c r="R79" s="182">
        <v>0</v>
      </c>
      <c r="S79" s="182">
        <v>0</v>
      </c>
      <c r="T79" s="182">
        <v>0</v>
      </c>
      <c r="U79" s="182">
        <v>0</v>
      </c>
      <c r="V79" s="182">
        <v>0</v>
      </c>
      <c r="W79" s="182">
        <v>0</v>
      </c>
      <c r="X79" s="187">
        <v>0</v>
      </c>
      <c r="Y79" s="182">
        <v>20940</v>
      </c>
      <c r="Z79" s="183"/>
      <c r="AA79" s="183"/>
      <c r="AB79" s="182">
        <v>0</v>
      </c>
      <c r="AC79" s="392"/>
      <c r="AD79" s="392"/>
      <c r="AE79" s="393"/>
      <c r="AF79" s="394"/>
      <c r="AH79" s="385">
        <f t="shared" si="2"/>
        <v>20940</v>
      </c>
    </row>
    <row r="80" spans="2:34" x14ac:dyDescent="0.25">
      <c r="B80" s="252" t="s">
        <v>342</v>
      </c>
      <c r="C80" s="168" t="s">
        <v>671</v>
      </c>
      <c r="D80" s="330" t="s">
        <v>455</v>
      </c>
      <c r="E80" s="362">
        <v>180</v>
      </c>
      <c r="F80" s="181">
        <v>1200000</v>
      </c>
      <c r="G80" s="181">
        <v>1179474.2</v>
      </c>
      <c r="H80" s="181">
        <v>20525.8</v>
      </c>
      <c r="I80" s="182">
        <v>0</v>
      </c>
      <c r="J80" s="182">
        <v>0</v>
      </c>
      <c r="K80" s="182">
        <v>0</v>
      </c>
      <c r="L80" s="182">
        <v>0</v>
      </c>
      <c r="M80" s="182">
        <v>0</v>
      </c>
      <c r="N80" s="182">
        <v>0</v>
      </c>
      <c r="O80" s="187">
        <v>0</v>
      </c>
      <c r="P80" s="182">
        <v>0</v>
      </c>
      <c r="Q80" s="182">
        <v>20525.8</v>
      </c>
      <c r="R80" s="182">
        <v>0</v>
      </c>
      <c r="S80" s="182">
        <v>20525.8</v>
      </c>
      <c r="T80" s="182">
        <v>0</v>
      </c>
      <c r="U80" s="182">
        <v>0</v>
      </c>
      <c r="V80" s="182">
        <v>0</v>
      </c>
      <c r="W80" s="182">
        <v>0</v>
      </c>
      <c r="X80" s="187">
        <v>0</v>
      </c>
      <c r="Y80" s="182">
        <v>0</v>
      </c>
      <c r="Z80" s="183"/>
      <c r="AA80" s="183"/>
      <c r="AB80" s="182">
        <v>500000</v>
      </c>
      <c r="AC80" s="392"/>
      <c r="AD80" s="392"/>
      <c r="AE80" s="393"/>
      <c r="AF80" s="394"/>
      <c r="AH80" s="385">
        <f t="shared" si="2"/>
        <v>0</v>
      </c>
    </row>
    <row r="81" spans="2:34" x14ac:dyDescent="0.25">
      <c r="B81" s="252" t="s">
        <v>547</v>
      </c>
      <c r="C81" s="168" t="s">
        <v>422</v>
      </c>
      <c r="D81" s="330">
        <v>0</v>
      </c>
      <c r="E81" s="362"/>
      <c r="F81" s="181">
        <v>0</v>
      </c>
      <c r="G81" s="181">
        <v>-20401.599999999999</v>
      </c>
      <c r="H81" s="181">
        <v>20401.599999999999</v>
      </c>
      <c r="I81" s="182">
        <v>10200.799999999999</v>
      </c>
      <c r="J81" s="182">
        <v>0</v>
      </c>
      <c r="K81" s="182">
        <v>0</v>
      </c>
      <c r="L81" s="182">
        <v>0</v>
      </c>
      <c r="M81" s="182">
        <v>0</v>
      </c>
      <c r="N81" s="182">
        <v>0</v>
      </c>
      <c r="O81" s="187">
        <v>0</v>
      </c>
      <c r="P81" s="182">
        <v>10200.799999999999</v>
      </c>
      <c r="Q81" s="182">
        <v>10200.799999999999</v>
      </c>
      <c r="R81" s="182">
        <v>10200.799999999999</v>
      </c>
      <c r="S81" s="182">
        <v>0</v>
      </c>
      <c r="T81" s="182">
        <v>0</v>
      </c>
      <c r="U81" s="182">
        <v>0</v>
      </c>
      <c r="V81" s="182">
        <v>0</v>
      </c>
      <c r="W81" s="182">
        <v>0</v>
      </c>
      <c r="X81" s="187">
        <v>0</v>
      </c>
      <c r="Y81" s="182">
        <v>0</v>
      </c>
      <c r="Z81" s="183"/>
      <c r="AA81" s="183"/>
      <c r="AB81" s="181">
        <v>0</v>
      </c>
      <c r="AC81" s="392"/>
      <c r="AD81" s="392"/>
      <c r="AE81" s="393"/>
      <c r="AF81" s="394"/>
      <c r="AH81" s="385">
        <f t="shared" si="2"/>
        <v>20401.599999999999</v>
      </c>
    </row>
    <row r="82" spans="2:34" x14ac:dyDescent="0.25">
      <c r="B82" s="252" t="s">
        <v>920</v>
      </c>
      <c r="C82" s="168" t="s">
        <v>438</v>
      </c>
      <c r="D82" s="330" t="s">
        <v>455</v>
      </c>
      <c r="E82" s="362"/>
      <c r="F82" s="181">
        <v>275000</v>
      </c>
      <c r="G82" s="181">
        <v>260451.65</v>
      </c>
      <c r="H82" s="181">
        <v>14548.35</v>
      </c>
      <c r="I82" s="182">
        <v>0</v>
      </c>
      <c r="J82" s="182">
        <v>0</v>
      </c>
      <c r="K82" s="182">
        <v>14548.35</v>
      </c>
      <c r="L82" s="182">
        <v>0</v>
      </c>
      <c r="M82" s="182">
        <v>0</v>
      </c>
      <c r="N82" s="182">
        <v>0</v>
      </c>
      <c r="O82" s="187">
        <v>0</v>
      </c>
      <c r="P82" s="182">
        <v>14548.35</v>
      </c>
      <c r="Q82" s="182">
        <v>0</v>
      </c>
      <c r="R82" s="331">
        <v>0</v>
      </c>
      <c r="S82" s="182">
        <v>0</v>
      </c>
      <c r="T82" s="182">
        <v>0</v>
      </c>
      <c r="U82" s="182">
        <v>0</v>
      </c>
      <c r="V82" s="182">
        <v>0</v>
      </c>
      <c r="W82" s="182">
        <v>0</v>
      </c>
      <c r="X82" s="187">
        <v>0</v>
      </c>
      <c r="Y82" s="182">
        <v>0</v>
      </c>
      <c r="Z82" s="183"/>
      <c r="AA82" s="183"/>
      <c r="AB82" s="182">
        <v>275000</v>
      </c>
      <c r="AC82" s="392"/>
      <c r="AD82" s="392"/>
      <c r="AE82" s="393"/>
      <c r="AF82" s="394"/>
      <c r="AH82" s="385">
        <f t="shared" si="2"/>
        <v>0</v>
      </c>
    </row>
    <row r="83" spans="2:34" x14ac:dyDescent="0.25">
      <c r="B83" s="252" t="s">
        <v>342</v>
      </c>
      <c r="C83" s="168" t="s">
        <v>864</v>
      </c>
      <c r="D83" s="330" t="s">
        <v>455</v>
      </c>
      <c r="E83" s="362">
        <v>180</v>
      </c>
      <c r="F83" s="181">
        <v>300000</v>
      </c>
      <c r="G83" s="181">
        <v>288721.83</v>
      </c>
      <c r="H83" s="181">
        <v>11278.17</v>
      </c>
      <c r="I83" s="182">
        <v>0</v>
      </c>
      <c r="J83" s="182">
        <v>0</v>
      </c>
      <c r="K83" s="182">
        <v>0</v>
      </c>
      <c r="L83" s="182">
        <v>0</v>
      </c>
      <c r="M83" s="182">
        <v>0</v>
      </c>
      <c r="N83" s="182">
        <v>0</v>
      </c>
      <c r="O83" s="187">
        <v>0</v>
      </c>
      <c r="P83" s="182">
        <v>0</v>
      </c>
      <c r="Q83" s="182">
        <v>11278.17</v>
      </c>
      <c r="R83" s="182">
        <v>11278.17</v>
      </c>
      <c r="S83" s="182">
        <v>0</v>
      </c>
      <c r="T83" s="182">
        <v>0</v>
      </c>
      <c r="U83" s="182">
        <v>0</v>
      </c>
      <c r="V83" s="182">
        <v>0</v>
      </c>
      <c r="W83" s="182">
        <v>0</v>
      </c>
      <c r="X83" s="187">
        <v>0</v>
      </c>
      <c r="Y83" s="182">
        <v>0</v>
      </c>
      <c r="Z83" s="183"/>
      <c r="AA83" s="183"/>
      <c r="AB83" s="181">
        <v>300000</v>
      </c>
      <c r="AC83" s="392"/>
      <c r="AD83" s="392"/>
      <c r="AE83" s="393"/>
      <c r="AF83" s="394"/>
      <c r="AH83" s="385">
        <f t="shared" si="2"/>
        <v>0</v>
      </c>
    </row>
    <row r="84" spans="2:34" x14ac:dyDescent="0.25">
      <c r="B84" s="252" t="s">
        <v>342</v>
      </c>
      <c r="C84" s="168" t="s">
        <v>426</v>
      </c>
      <c r="D84" s="330" t="s">
        <v>455</v>
      </c>
      <c r="E84" s="362">
        <v>360</v>
      </c>
      <c r="F84" s="181">
        <v>700000</v>
      </c>
      <c r="G84" s="181">
        <v>694969.5</v>
      </c>
      <c r="H84" s="181">
        <v>5030.5</v>
      </c>
      <c r="I84" s="182">
        <v>0</v>
      </c>
      <c r="J84" s="182">
        <v>0</v>
      </c>
      <c r="K84" s="182">
        <v>0</v>
      </c>
      <c r="L84" s="182">
        <v>0</v>
      </c>
      <c r="M84" s="182">
        <v>0</v>
      </c>
      <c r="N84" s="182">
        <v>0</v>
      </c>
      <c r="O84" s="187">
        <v>0</v>
      </c>
      <c r="P84" s="184">
        <v>0</v>
      </c>
      <c r="Q84" s="184">
        <v>5030.5</v>
      </c>
      <c r="R84" s="182">
        <v>0</v>
      </c>
      <c r="S84" s="182">
        <v>0</v>
      </c>
      <c r="T84" s="182">
        <v>0</v>
      </c>
      <c r="U84" s="182">
        <v>0</v>
      </c>
      <c r="V84" s="182">
        <v>5030.5</v>
      </c>
      <c r="W84" s="182">
        <v>0</v>
      </c>
      <c r="X84" s="187">
        <v>0</v>
      </c>
      <c r="Y84" s="182">
        <v>0</v>
      </c>
      <c r="Z84" s="183"/>
      <c r="AA84" s="183"/>
      <c r="AB84" s="182">
        <v>700000</v>
      </c>
      <c r="AC84" s="392"/>
      <c r="AD84" s="392"/>
      <c r="AE84" s="393"/>
      <c r="AF84" s="394"/>
      <c r="AH84" s="385">
        <f t="shared" si="2"/>
        <v>0</v>
      </c>
    </row>
    <row r="85" spans="2:34" x14ac:dyDescent="0.25">
      <c r="B85" s="252" t="s">
        <v>547</v>
      </c>
      <c r="C85" s="168" t="s">
        <v>418</v>
      </c>
      <c r="D85" s="330" t="s">
        <v>455</v>
      </c>
      <c r="E85" s="362"/>
      <c r="F85" s="181">
        <v>2000000</v>
      </c>
      <c r="G85" s="181">
        <v>1997660</v>
      </c>
      <c r="H85" s="181">
        <v>2340</v>
      </c>
      <c r="I85" s="182">
        <v>0</v>
      </c>
      <c r="J85" s="182">
        <v>0</v>
      </c>
      <c r="K85" s="182">
        <v>0</v>
      </c>
      <c r="L85" s="182">
        <v>0</v>
      </c>
      <c r="M85" s="182">
        <v>0</v>
      </c>
      <c r="N85" s="182">
        <v>0</v>
      </c>
      <c r="O85" s="187">
        <v>0</v>
      </c>
      <c r="P85" s="182">
        <v>0</v>
      </c>
      <c r="Q85" s="182">
        <v>2340</v>
      </c>
      <c r="R85" s="331">
        <v>2340</v>
      </c>
      <c r="S85" s="182">
        <v>0</v>
      </c>
      <c r="T85" s="182">
        <v>0</v>
      </c>
      <c r="U85" s="182">
        <v>0</v>
      </c>
      <c r="V85" s="182">
        <v>0</v>
      </c>
      <c r="W85" s="182">
        <v>0</v>
      </c>
      <c r="X85" s="187">
        <v>0</v>
      </c>
      <c r="Y85" s="182">
        <v>0</v>
      </c>
      <c r="Z85" s="183"/>
      <c r="AA85" s="183"/>
      <c r="AB85" s="182">
        <v>2000000</v>
      </c>
      <c r="AC85" s="392"/>
      <c r="AD85" s="392"/>
      <c r="AE85" s="393"/>
      <c r="AF85" s="394"/>
      <c r="AH85" s="385">
        <f t="shared" si="2"/>
        <v>0</v>
      </c>
    </row>
    <row r="86" spans="2:34" x14ac:dyDescent="0.25">
      <c r="B86" s="252" t="s">
        <v>547</v>
      </c>
      <c r="C86" s="168" t="s">
        <v>795</v>
      </c>
      <c r="D86" s="330">
        <v>0</v>
      </c>
      <c r="E86" s="362"/>
      <c r="F86" s="181">
        <v>0</v>
      </c>
      <c r="G86" s="181">
        <v>-1750</v>
      </c>
      <c r="H86" s="181">
        <v>1750</v>
      </c>
      <c r="I86" s="182">
        <v>1750</v>
      </c>
      <c r="J86" s="182">
        <v>0</v>
      </c>
      <c r="K86" s="182">
        <v>0</v>
      </c>
      <c r="L86" s="182">
        <v>0</v>
      </c>
      <c r="M86" s="182">
        <v>0</v>
      </c>
      <c r="N86" s="182">
        <v>0</v>
      </c>
      <c r="O86" s="187">
        <v>0</v>
      </c>
      <c r="P86" s="182">
        <v>1750</v>
      </c>
      <c r="Q86" s="182">
        <v>0</v>
      </c>
      <c r="R86" s="182">
        <v>0</v>
      </c>
      <c r="S86" s="182">
        <v>0</v>
      </c>
      <c r="T86" s="182">
        <v>0</v>
      </c>
      <c r="U86" s="182">
        <v>0</v>
      </c>
      <c r="V86" s="182">
        <v>0</v>
      </c>
      <c r="W86" s="182">
        <v>0</v>
      </c>
      <c r="X86" s="187">
        <v>0</v>
      </c>
      <c r="Y86" s="182">
        <v>0</v>
      </c>
      <c r="Z86" s="183"/>
      <c r="AA86" s="183"/>
      <c r="AB86" s="181">
        <v>0</v>
      </c>
      <c r="AC86" s="392"/>
      <c r="AD86" s="392"/>
      <c r="AE86" s="393"/>
      <c r="AF86" s="394"/>
      <c r="AH86" s="385">
        <f t="shared" si="2"/>
        <v>1750</v>
      </c>
    </row>
    <row r="87" spans="2:34" x14ac:dyDescent="0.25">
      <c r="B87" s="252" t="s">
        <v>547</v>
      </c>
      <c r="C87" s="168" t="s">
        <v>879</v>
      </c>
      <c r="D87" s="330">
        <v>0</v>
      </c>
      <c r="E87" s="362"/>
      <c r="F87" s="181">
        <v>0</v>
      </c>
      <c r="G87" s="181">
        <v>-1260</v>
      </c>
      <c r="H87" s="181">
        <v>1260</v>
      </c>
      <c r="I87" s="182">
        <v>0</v>
      </c>
      <c r="J87" s="182">
        <v>0</v>
      </c>
      <c r="K87" s="182">
        <v>0</v>
      </c>
      <c r="L87" s="182">
        <v>0</v>
      </c>
      <c r="M87" s="182">
        <v>0</v>
      </c>
      <c r="N87" s="182">
        <v>0</v>
      </c>
      <c r="O87" s="187">
        <v>0</v>
      </c>
      <c r="P87" s="182">
        <v>0</v>
      </c>
      <c r="Q87" s="182">
        <v>1260</v>
      </c>
      <c r="R87" s="182">
        <v>1260</v>
      </c>
      <c r="S87" s="182">
        <v>0</v>
      </c>
      <c r="T87" s="182">
        <v>0</v>
      </c>
      <c r="U87" s="182">
        <v>0</v>
      </c>
      <c r="V87" s="182">
        <v>0</v>
      </c>
      <c r="W87" s="182">
        <v>0</v>
      </c>
      <c r="X87" s="187">
        <v>0</v>
      </c>
      <c r="Y87" s="182">
        <v>0</v>
      </c>
      <c r="Z87" s="183"/>
      <c r="AA87" s="183"/>
      <c r="AB87" s="182">
        <v>0</v>
      </c>
      <c r="AC87" s="392"/>
      <c r="AD87" s="392"/>
      <c r="AE87" s="393"/>
      <c r="AF87" s="394"/>
      <c r="AH87" s="385">
        <f t="shared" si="2"/>
        <v>1260</v>
      </c>
    </row>
    <row r="88" spans="2:34" x14ac:dyDescent="0.25">
      <c r="B88" s="252" t="s">
        <v>547</v>
      </c>
      <c r="C88" s="168" t="s">
        <v>855</v>
      </c>
      <c r="D88" s="330">
        <v>0</v>
      </c>
      <c r="E88" s="362"/>
      <c r="F88" s="181">
        <v>0</v>
      </c>
      <c r="G88" s="181">
        <v>-1166.67</v>
      </c>
      <c r="H88" s="181">
        <v>1166.67</v>
      </c>
      <c r="I88" s="182">
        <v>0</v>
      </c>
      <c r="J88" s="182">
        <v>0</v>
      </c>
      <c r="K88" s="182">
        <v>0</v>
      </c>
      <c r="L88" s="182">
        <v>0</v>
      </c>
      <c r="M88" s="182">
        <v>0</v>
      </c>
      <c r="N88" s="182">
        <v>0</v>
      </c>
      <c r="O88" s="187">
        <v>0</v>
      </c>
      <c r="P88" s="182">
        <v>0</v>
      </c>
      <c r="Q88" s="182">
        <v>1166.67</v>
      </c>
      <c r="R88" s="331">
        <v>583.33000000000004</v>
      </c>
      <c r="S88" s="182">
        <v>583.34</v>
      </c>
      <c r="T88" s="182">
        <v>0</v>
      </c>
      <c r="U88" s="182">
        <v>0</v>
      </c>
      <c r="V88" s="182">
        <v>0</v>
      </c>
      <c r="W88" s="182">
        <v>0</v>
      </c>
      <c r="X88" s="187">
        <v>0</v>
      </c>
      <c r="Y88" s="182">
        <v>0</v>
      </c>
      <c r="Z88" s="183"/>
      <c r="AA88" s="183"/>
      <c r="AB88" s="182">
        <v>0</v>
      </c>
      <c r="AC88" s="392"/>
      <c r="AD88" s="392"/>
      <c r="AE88" s="393"/>
      <c r="AF88" s="394"/>
      <c r="AH88" s="385">
        <f t="shared" si="2"/>
        <v>1166.67</v>
      </c>
    </row>
    <row r="89" spans="2:34" x14ac:dyDescent="0.25">
      <c r="B89" s="252" t="s">
        <v>547</v>
      </c>
      <c r="C89" s="168" t="s">
        <v>877</v>
      </c>
      <c r="D89" s="330">
        <v>0</v>
      </c>
      <c r="E89" s="362"/>
      <c r="F89" s="181">
        <v>0</v>
      </c>
      <c r="G89" s="181">
        <v>-662</v>
      </c>
      <c r="H89" s="181">
        <v>662</v>
      </c>
      <c r="I89" s="182">
        <v>0</v>
      </c>
      <c r="J89" s="182">
        <v>0</v>
      </c>
      <c r="K89" s="182">
        <v>0</v>
      </c>
      <c r="L89" s="182">
        <v>0</v>
      </c>
      <c r="M89" s="182">
        <v>0</v>
      </c>
      <c r="N89" s="182">
        <v>0</v>
      </c>
      <c r="O89" s="187">
        <v>0</v>
      </c>
      <c r="P89" s="182">
        <v>0</v>
      </c>
      <c r="Q89" s="182">
        <v>662</v>
      </c>
      <c r="R89" s="182">
        <v>0</v>
      </c>
      <c r="S89" s="182">
        <v>331</v>
      </c>
      <c r="T89" s="182">
        <v>331</v>
      </c>
      <c r="U89" s="182">
        <v>0</v>
      </c>
      <c r="V89" s="182">
        <v>0</v>
      </c>
      <c r="W89" s="182">
        <v>0</v>
      </c>
      <c r="X89" s="187">
        <v>0</v>
      </c>
      <c r="Y89" s="182">
        <v>0</v>
      </c>
      <c r="Z89" s="183"/>
      <c r="AA89" s="183"/>
      <c r="AB89" s="181">
        <v>0</v>
      </c>
      <c r="AC89" s="392"/>
      <c r="AD89" s="392"/>
      <c r="AE89" s="393"/>
      <c r="AF89" s="394"/>
      <c r="AH89" s="385">
        <f t="shared" si="2"/>
        <v>662</v>
      </c>
    </row>
    <row r="90" spans="2:34" x14ac:dyDescent="0.25">
      <c r="B90" s="252" t="s">
        <v>920</v>
      </c>
      <c r="C90" s="168" t="s">
        <v>679</v>
      </c>
      <c r="D90" s="330">
        <v>0</v>
      </c>
      <c r="E90" s="362"/>
      <c r="F90" s="181">
        <v>0</v>
      </c>
      <c r="G90" s="181">
        <v>-527.28</v>
      </c>
      <c r="H90" s="181">
        <v>527.28</v>
      </c>
      <c r="I90" s="182">
        <v>0</v>
      </c>
      <c r="J90" s="182">
        <v>0</v>
      </c>
      <c r="K90" s="182">
        <v>0</v>
      </c>
      <c r="L90" s="182">
        <v>0</v>
      </c>
      <c r="M90" s="182">
        <v>0</v>
      </c>
      <c r="N90" s="182">
        <v>527.28</v>
      </c>
      <c r="O90" s="187">
        <v>0</v>
      </c>
      <c r="P90" s="184">
        <v>527.28</v>
      </c>
      <c r="Q90" s="184">
        <v>0</v>
      </c>
      <c r="R90" s="182">
        <v>0</v>
      </c>
      <c r="S90" s="182">
        <v>0</v>
      </c>
      <c r="T90" s="182">
        <v>0</v>
      </c>
      <c r="U90" s="182">
        <v>0</v>
      </c>
      <c r="V90" s="182">
        <v>0</v>
      </c>
      <c r="W90" s="182">
        <v>0</v>
      </c>
      <c r="X90" s="187">
        <v>0</v>
      </c>
      <c r="Y90" s="182">
        <v>15.818399999999999</v>
      </c>
      <c r="Z90" s="183"/>
      <c r="AA90" s="183"/>
      <c r="AB90" s="182">
        <v>0</v>
      </c>
      <c r="AH90" s="385">
        <f t="shared" si="2"/>
        <v>527.28</v>
      </c>
    </row>
    <row r="91" spans="2:34" x14ac:dyDescent="0.25">
      <c r="B91" s="252" t="s">
        <v>547</v>
      </c>
      <c r="C91" s="168" t="s">
        <v>739</v>
      </c>
      <c r="D91" s="330">
        <v>0</v>
      </c>
      <c r="E91" s="362"/>
      <c r="F91" s="181">
        <v>0</v>
      </c>
      <c r="G91" s="181">
        <v>-303.01</v>
      </c>
      <c r="H91" s="181">
        <v>303.01</v>
      </c>
      <c r="I91" s="182">
        <v>0</v>
      </c>
      <c r="J91" s="182">
        <v>303.01</v>
      </c>
      <c r="K91" s="182">
        <v>0</v>
      </c>
      <c r="L91" s="182">
        <v>0</v>
      </c>
      <c r="M91" s="182">
        <v>0</v>
      </c>
      <c r="N91" s="182">
        <v>0</v>
      </c>
      <c r="O91" s="187">
        <v>0</v>
      </c>
      <c r="P91" s="182">
        <v>303.01</v>
      </c>
      <c r="Q91" s="182">
        <v>0</v>
      </c>
      <c r="R91" s="182">
        <v>0</v>
      </c>
      <c r="S91" s="182">
        <v>0</v>
      </c>
      <c r="T91" s="182">
        <v>0</v>
      </c>
      <c r="U91" s="182">
        <v>0</v>
      </c>
      <c r="V91" s="182">
        <v>0</v>
      </c>
      <c r="W91" s="182">
        <v>0</v>
      </c>
      <c r="X91" s="187">
        <v>0</v>
      </c>
      <c r="Y91" s="182">
        <v>0</v>
      </c>
      <c r="Z91" s="183"/>
      <c r="AA91" s="183"/>
      <c r="AB91" s="181">
        <v>0</v>
      </c>
      <c r="AH91" s="385">
        <f t="shared" si="2"/>
        <v>303.01</v>
      </c>
    </row>
    <row r="92" spans="2:34" x14ac:dyDescent="0.25">
      <c r="B92" s="252" t="s">
        <v>547</v>
      </c>
      <c r="C92" s="168" t="s">
        <v>383</v>
      </c>
      <c r="D92" s="330">
        <v>0</v>
      </c>
      <c r="E92" s="362"/>
      <c r="F92" s="181">
        <v>0</v>
      </c>
      <c r="G92" s="181">
        <v>-300</v>
      </c>
      <c r="H92" s="181">
        <v>300</v>
      </c>
      <c r="I92" s="182">
        <v>0</v>
      </c>
      <c r="J92" s="182">
        <v>0</v>
      </c>
      <c r="K92" s="182">
        <v>0</v>
      </c>
      <c r="L92" s="182">
        <v>0</v>
      </c>
      <c r="M92" s="182">
        <v>0</v>
      </c>
      <c r="N92" s="182">
        <v>0</v>
      </c>
      <c r="O92" s="187">
        <v>300</v>
      </c>
      <c r="P92" s="184">
        <v>300</v>
      </c>
      <c r="Q92" s="184">
        <v>0</v>
      </c>
      <c r="R92" s="182">
        <v>0</v>
      </c>
      <c r="S92" s="182">
        <v>0</v>
      </c>
      <c r="T92" s="182">
        <v>0</v>
      </c>
      <c r="U92" s="182">
        <v>0</v>
      </c>
      <c r="V92" s="182">
        <v>0</v>
      </c>
      <c r="W92" s="182">
        <v>0</v>
      </c>
      <c r="X92" s="187">
        <v>0</v>
      </c>
      <c r="Y92" s="182">
        <v>300</v>
      </c>
      <c r="Z92" s="183"/>
      <c r="AA92" s="183"/>
      <c r="AB92" s="182">
        <v>0</v>
      </c>
      <c r="AH92" s="385">
        <f t="shared" si="2"/>
        <v>300</v>
      </c>
    </row>
    <row r="93" spans="2:34" x14ac:dyDescent="0.25">
      <c r="B93" s="252" t="s">
        <v>547</v>
      </c>
      <c r="C93" s="168" t="s">
        <v>815</v>
      </c>
      <c r="D93" s="330">
        <v>0</v>
      </c>
      <c r="E93" s="362"/>
      <c r="F93" s="181">
        <v>0</v>
      </c>
      <c r="G93" s="181">
        <v>-292.08</v>
      </c>
      <c r="H93" s="181">
        <v>292.08</v>
      </c>
      <c r="I93" s="182">
        <v>0</v>
      </c>
      <c r="J93" s="182">
        <v>0</v>
      </c>
      <c r="K93" s="182">
        <v>0</v>
      </c>
      <c r="L93" s="182">
        <v>0</v>
      </c>
      <c r="M93" s="182">
        <v>0</v>
      </c>
      <c r="N93" s="182">
        <v>0</v>
      </c>
      <c r="O93" s="187">
        <v>0</v>
      </c>
      <c r="P93" s="182">
        <v>0</v>
      </c>
      <c r="Q93" s="182">
        <v>292.08</v>
      </c>
      <c r="R93" s="182">
        <v>292.08</v>
      </c>
      <c r="S93" s="182">
        <v>0</v>
      </c>
      <c r="T93" s="182">
        <v>0</v>
      </c>
      <c r="U93" s="182">
        <v>0</v>
      </c>
      <c r="V93" s="182">
        <v>0</v>
      </c>
      <c r="W93" s="182">
        <v>0</v>
      </c>
      <c r="X93" s="187">
        <v>0</v>
      </c>
      <c r="Y93" s="182">
        <v>0</v>
      </c>
      <c r="Z93" s="183"/>
      <c r="AA93" s="183"/>
      <c r="AB93" s="182">
        <v>0</v>
      </c>
      <c r="AH93" s="385">
        <f t="shared" si="2"/>
        <v>292.08</v>
      </c>
    </row>
    <row r="94" spans="2:34" x14ac:dyDescent="0.25">
      <c r="B94" s="252" t="s">
        <v>547</v>
      </c>
      <c r="C94" s="168" t="s">
        <v>537</v>
      </c>
      <c r="D94" s="330">
        <v>0</v>
      </c>
      <c r="E94" s="362"/>
      <c r="F94" s="181">
        <v>0</v>
      </c>
      <c r="G94" s="181">
        <v>-200</v>
      </c>
      <c r="H94" s="181">
        <v>200</v>
      </c>
      <c r="I94" s="182">
        <v>0</v>
      </c>
      <c r="J94" s="182">
        <v>0</v>
      </c>
      <c r="K94" s="182">
        <v>0</v>
      </c>
      <c r="L94" s="182">
        <v>0</v>
      </c>
      <c r="M94" s="182">
        <v>0</v>
      </c>
      <c r="N94" s="182">
        <v>0</v>
      </c>
      <c r="O94" s="187">
        <v>0</v>
      </c>
      <c r="P94" s="182">
        <v>0</v>
      </c>
      <c r="Q94" s="182">
        <v>200</v>
      </c>
      <c r="R94" s="182">
        <v>200</v>
      </c>
      <c r="S94" s="182">
        <v>0</v>
      </c>
      <c r="T94" s="182">
        <v>0</v>
      </c>
      <c r="U94" s="182">
        <v>0</v>
      </c>
      <c r="V94" s="182">
        <v>0</v>
      </c>
      <c r="W94" s="182">
        <v>0</v>
      </c>
      <c r="X94" s="187">
        <v>0</v>
      </c>
      <c r="Y94" s="182">
        <v>0</v>
      </c>
      <c r="Z94" s="183"/>
      <c r="AA94" s="183"/>
      <c r="AB94" s="182">
        <v>0</v>
      </c>
      <c r="AH94" s="385">
        <f t="shared" si="2"/>
        <v>200</v>
      </c>
    </row>
    <row r="95" spans="2:34" x14ac:dyDescent="0.25">
      <c r="B95" s="252" t="s">
        <v>547</v>
      </c>
      <c r="C95" s="168" t="s">
        <v>265</v>
      </c>
      <c r="D95" s="330">
        <v>0</v>
      </c>
      <c r="E95" s="362"/>
      <c r="F95" s="181">
        <v>0</v>
      </c>
      <c r="G95" s="181">
        <v>-100</v>
      </c>
      <c r="H95" s="181">
        <v>100</v>
      </c>
      <c r="I95" s="182">
        <v>0</v>
      </c>
      <c r="J95" s="182">
        <v>0</v>
      </c>
      <c r="K95" s="182">
        <v>0</v>
      </c>
      <c r="L95" s="182">
        <v>0</v>
      </c>
      <c r="M95" s="182">
        <v>0</v>
      </c>
      <c r="N95" s="182">
        <v>0</v>
      </c>
      <c r="O95" s="187">
        <v>100</v>
      </c>
      <c r="P95" s="182">
        <v>100</v>
      </c>
      <c r="Q95" s="182">
        <v>0</v>
      </c>
      <c r="R95" s="331">
        <v>0</v>
      </c>
      <c r="S95" s="182">
        <v>0</v>
      </c>
      <c r="T95" s="182">
        <v>0</v>
      </c>
      <c r="U95" s="182">
        <v>0</v>
      </c>
      <c r="V95" s="182">
        <v>0</v>
      </c>
      <c r="W95" s="182">
        <v>0</v>
      </c>
      <c r="X95" s="187">
        <v>0</v>
      </c>
      <c r="Y95" s="182">
        <v>100</v>
      </c>
      <c r="Z95" s="183"/>
      <c r="AA95" s="183"/>
      <c r="AB95" s="182">
        <v>0</v>
      </c>
      <c r="AH95" s="385">
        <f t="shared" si="2"/>
        <v>100</v>
      </c>
    </row>
    <row r="96" spans="2:34" x14ac:dyDescent="0.25">
      <c r="B96" s="252" t="s">
        <v>547</v>
      </c>
      <c r="C96" s="168" t="s">
        <v>309</v>
      </c>
      <c r="D96" s="330">
        <v>0</v>
      </c>
      <c r="E96" s="362"/>
      <c r="F96" s="181">
        <v>0</v>
      </c>
      <c r="G96" s="181">
        <v>-50</v>
      </c>
      <c r="H96" s="181">
        <v>50</v>
      </c>
      <c r="I96" s="182">
        <v>0</v>
      </c>
      <c r="J96" s="182">
        <v>0</v>
      </c>
      <c r="K96" s="182">
        <v>0</v>
      </c>
      <c r="L96" s="182">
        <v>0</v>
      </c>
      <c r="M96" s="182">
        <v>0</v>
      </c>
      <c r="N96" s="182">
        <v>0</v>
      </c>
      <c r="O96" s="187">
        <v>50</v>
      </c>
      <c r="P96" s="184">
        <v>50</v>
      </c>
      <c r="Q96" s="184">
        <v>0</v>
      </c>
      <c r="R96" s="182">
        <v>0</v>
      </c>
      <c r="S96" s="182">
        <v>0</v>
      </c>
      <c r="T96" s="182">
        <v>0</v>
      </c>
      <c r="U96" s="182">
        <v>0</v>
      </c>
      <c r="V96" s="182">
        <v>0</v>
      </c>
      <c r="W96" s="182">
        <v>0</v>
      </c>
      <c r="X96" s="187">
        <v>0</v>
      </c>
      <c r="Y96" s="182">
        <v>50</v>
      </c>
      <c r="Z96" s="183"/>
      <c r="AA96" s="183"/>
      <c r="AB96" s="182">
        <v>0</v>
      </c>
      <c r="AH96" s="385">
        <f t="shared" si="2"/>
        <v>50</v>
      </c>
    </row>
  </sheetData>
  <autoFilter ref="A3:AL96" xr:uid="{F5FB43B8-1ECE-4FE7-8241-98814406AEA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73"/>
      <c r="E1" s="373" t="s">
        <v>826</v>
      </c>
      <c r="F1" s="373"/>
      <c r="H1" s="373"/>
      <c r="I1" s="373" t="s">
        <v>825</v>
      </c>
      <c r="J1" s="373"/>
    </row>
    <row r="2" spans="2:13" x14ac:dyDescent="0.25">
      <c r="B2" s="374"/>
      <c r="C2" s="375"/>
      <c r="D2" s="376">
        <f>SUBTOTAL(9,D4:D27)</f>
        <v>19842082.280000005</v>
      </c>
      <c r="E2" s="376">
        <f>SUBTOTAL(9,E4:E27)</f>
        <v>3794382.76</v>
      </c>
      <c r="F2" s="376">
        <f>SUBTOTAL(9,F4:F27)</f>
        <v>16047699.52</v>
      </c>
      <c r="H2" s="376" t="e">
        <f>SUBTOTAL(9,H4:H27)</f>
        <v>#N/A</v>
      </c>
      <c r="I2" s="376" t="e">
        <f>SUBTOTAL(9,I4:I27)</f>
        <v>#N/A</v>
      </c>
      <c r="J2" s="376" t="e">
        <f>SUBTOTAL(9,J4:J27)</f>
        <v>#N/A</v>
      </c>
    </row>
    <row r="3" spans="2:13" ht="13.8" x14ac:dyDescent="0.25">
      <c r="B3" s="293" t="s">
        <v>339</v>
      </c>
      <c r="C3" s="293" t="s">
        <v>22</v>
      </c>
      <c r="D3" s="377" t="s">
        <v>17</v>
      </c>
      <c r="E3" s="378" t="s">
        <v>27</v>
      </c>
      <c r="F3" s="378" t="s">
        <v>8</v>
      </c>
      <c r="H3" s="377" t="s">
        <v>17</v>
      </c>
      <c r="I3" s="378" t="s">
        <v>27</v>
      </c>
      <c r="J3" s="378" t="s">
        <v>8</v>
      </c>
      <c r="K3" s="378" t="s">
        <v>797</v>
      </c>
    </row>
    <row r="4" spans="2:13" x14ac:dyDescent="0.25">
      <c r="B4" s="334" t="s">
        <v>547</v>
      </c>
      <c r="C4" s="335" t="s">
        <v>500</v>
      </c>
      <c r="D4" s="336">
        <v>5370037.1899999995</v>
      </c>
      <c r="E4" s="302">
        <v>16818.920000000002</v>
      </c>
      <c r="F4" s="302">
        <v>5353218.2699999996</v>
      </c>
      <c r="H4" s="336">
        <f>_xlfn.XLOOKUP(C4,'Clientes Consolidado'!$C$4:$C$89,'Clientes Consolidado'!$H$4:$H$89)</f>
        <v>5496514.6699999999</v>
      </c>
      <c r="I4" s="336">
        <f>_xlfn.XLOOKUP(C4,'Clientes Consolidado'!$C$4:$C$89,'Clientes Consolidado'!$P$4:$P$89)</f>
        <v>16818.920000000002</v>
      </c>
      <c r="J4" s="305">
        <f>_xlfn.XLOOKUP(C4,'Clientes Consolidado'!$C$4:$C$89,'Clientes Consolidado'!$Q$4:$Q$89)</f>
        <v>5479695.75</v>
      </c>
      <c r="K4" s="337"/>
      <c r="M4" s="324"/>
    </row>
    <row r="5" spans="2:13" x14ac:dyDescent="0.25">
      <c r="B5" s="338" t="s">
        <v>547</v>
      </c>
      <c r="C5" s="303" t="s">
        <v>420</v>
      </c>
      <c r="D5" s="304">
        <v>3979397.8099999996</v>
      </c>
      <c r="E5" s="305">
        <v>5626.32</v>
      </c>
      <c r="F5" s="305">
        <v>3973771.4899999998</v>
      </c>
      <c r="H5" s="304">
        <f>_xlfn.XLOOKUP(C5,'Clientes Consolidado'!$C$4:$C$89,'Clientes Consolidado'!$H$4:$H$89)</f>
        <v>3089718.52</v>
      </c>
      <c r="I5" s="304">
        <f>_xlfn.XLOOKUP(C5,'Clientes Consolidado'!$C$4:$C$89,'Clientes Consolidado'!$P$4:$P$89)</f>
        <v>16426.32</v>
      </c>
      <c r="J5" s="305">
        <f>_xlfn.XLOOKUP(C5,'Clientes Consolidado'!$C$4:$C$89,'Clientes Consolidado'!$Q$4:$Q$89)</f>
        <v>3073292.2</v>
      </c>
      <c r="K5" s="339"/>
    </row>
    <row r="6" spans="2:13" x14ac:dyDescent="0.25">
      <c r="B6" s="338" t="s">
        <v>547</v>
      </c>
      <c r="C6" t="s">
        <v>30</v>
      </c>
      <c r="D6" s="304">
        <v>690300</v>
      </c>
      <c r="E6" s="305">
        <v>0</v>
      </c>
      <c r="F6" s="305">
        <v>690300</v>
      </c>
      <c r="H6" s="304">
        <f>_xlfn.XLOOKUP(C6,'Clientes Consolidado'!$C$4:$C$89,'Clientes Consolidado'!$H$4:$H$89)</f>
        <v>350989.1</v>
      </c>
      <c r="I6" s="304">
        <f>_xlfn.XLOOKUP(C6,'Clientes Consolidado'!$C$4:$C$89,'Clientes Consolidado'!$P$4:$P$89)</f>
        <v>0</v>
      </c>
      <c r="J6" s="305">
        <f>_xlfn.XLOOKUP(C6,'Clientes Consolidado'!$C$4:$C$89,'Clientes Consolidado'!$Q$4:$Q$89)</f>
        <v>350989.1</v>
      </c>
      <c r="K6" s="339"/>
    </row>
    <row r="7" spans="2:13" ht="14.4" x14ac:dyDescent="0.25">
      <c r="B7" s="340" t="s">
        <v>547</v>
      </c>
      <c r="C7" s="364" t="s">
        <v>530</v>
      </c>
      <c r="D7" s="365">
        <v>520371.3</v>
      </c>
      <c r="E7" s="306">
        <v>220406.5</v>
      </c>
      <c r="F7" s="306">
        <v>299964.79999999999</v>
      </c>
      <c r="H7" s="366">
        <f>_xlfn.XLOOKUP(C7,'Clientes Consolidado'!$C$4:$C$89,'Clientes Consolidado'!$H$4:$H$89)</f>
        <v>195071.61</v>
      </c>
      <c r="I7" s="371">
        <f>_xlfn.XLOOKUP(C7,'Clientes Consolidado'!$C$4:$C$89,'Clientes Consolidado'!$P$4:$P$89)</f>
        <v>0</v>
      </c>
      <c r="J7" s="386">
        <f>_xlfn.XLOOKUP(C7,'Clientes Consolidado'!$C$4:$C$89,'Clientes Consolidado'!$Q$4:$Q$89)</f>
        <v>195071.61</v>
      </c>
      <c r="K7" s="387"/>
    </row>
    <row r="8" spans="2:13" ht="14.4" x14ac:dyDescent="0.25">
      <c r="B8" s="340" t="s">
        <v>547</v>
      </c>
      <c r="C8" s="364" t="s">
        <v>120</v>
      </c>
      <c r="D8" s="365">
        <v>618802.80000000005</v>
      </c>
      <c r="E8" s="306">
        <v>149216.4</v>
      </c>
      <c r="F8" s="306">
        <v>469586.4</v>
      </c>
      <c r="H8" s="366">
        <f>_xlfn.XLOOKUP(C8,'Clientes Consolidado'!$C$4:$C$89,'Clientes Consolidado'!$H$4:$H$89)</f>
        <v>798155.7</v>
      </c>
      <c r="I8" s="371">
        <f>_xlfn.XLOOKUP(C8,'Clientes Consolidado'!$C$4:$C$89,'Clientes Consolidado'!$P$4:$P$89)</f>
        <v>0</v>
      </c>
      <c r="J8" s="386">
        <f>_xlfn.XLOOKUP(C8,'Clientes Consolidado'!$C$4:$C$89,'Clientes Consolidado'!$Q$4:$Q$89)</f>
        <v>798155.7</v>
      </c>
      <c r="K8" s="387"/>
    </row>
    <row r="9" spans="2:13" ht="14.4" x14ac:dyDescent="0.25">
      <c r="B9" s="340" t="s">
        <v>547</v>
      </c>
      <c r="C9" s="364" t="s">
        <v>532</v>
      </c>
      <c r="D9" s="365">
        <v>1682538.8</v>
      </c>
      <c r="E9" s="306">
        <v>0</v>
      </c>
      <c r="F9" s="365">
        <v>1682538.8</v>
      </c>
      <c r="H9" s="366">
        <f>_xlfn.XLOOKUP(C9,'Clientes Consolidado'!$C$4:$C$89,'Clientes Consolidado'!$H$4:$H$89)</f>
        <v>408048.2</v>
      </c>
      <c r="I9" s="371">
        <f>_xlfn.XLOOKUP(C9,'Clientes Consolidado'!$C$4:$C$89,'Clientes Consolidado'!$P$4:$P$89)</f>
        <v>0</v>
      </c>
      <c r="J9" s="386">
        <f>_xlfn.XLOOKUP(C9,'Clientes Consolidado'!$C$4:$C$89,'Clientes Consolidado'!$Q$4:$Q$89)</f>
        <v>408048.2</v>
      </c>
      <c r="K9" s="387"/>
    </row>
    <row r="10" spans="2:13" x14ac:dyDescent="0.25">
      <c r="B10" s="341" t="s">
        <v>547</v>
      </c>
      <c r="C10" s="333" t="s">
        <v>53</v>
      </c>
      <c r="D10" s="332">
        <v>226233.60000000001</v>
      </c>
      <c r="E10" s="307">
        <v>226233.60000000001</v>
      </c>
      <c r="F10" s="307">
        <v>0</v>
      </c>
      <c r="H10" s="367">
        <f>_xlfn.XLOOKUP(C10,'Clientes Consolidado'!$C$4:$C$89,'Clientes Consolidado'!$H$4:$H$89)</f>
        <v>226233.60000000001</v>
      </c>
      <c r="I10" s="332">
        <f>_xlfn.XLOOKUP(C10,'Clientes Consolidado'!$C$4:$C$89,'Clientes Consolidado'!$P$4:$P$89)</f>
        <v>226233.60000000001</v>
      </c>
      <c r="J10" s="307">
        <f>_xlfn.XLOOKUP(C10,'Clientes Consolidado'!$C$4:$C$89,'Clientes Consolidado'!$Q$4:$Q$89)</f>
        <v>0</v>
      </c>
      <c r="K10" s="342"/>
    </row>
    <row r="11" spans="2:13" x14ac:dyDescent="0.25">
      <c r="B11" s="341" t="s">
        <v>547</v>
      </c>
      <c r="C11" s="333" t="s">
        <v>294</v>
      </c>
      <c r="D11" s="332">
        <v>213750</v>
      </c>
      <c r="E11" s="307">
        <v>213750</v>
      </c>
      <c r="F11" s="307">
        <v>0</v>
      </c>
      <c r="H11" s="367">
        <f>_xlfn.XLOOKUP(C11,'Clientes Consolidado'!$C$4:$C$89,'Clientes Consolidado'!$H$4:$H$89)</f>
        <v>213750</v>
      </c>
      <c r="I11" s="332">
        <f>_xlfn.XLOOKUP(C11,'Clientes Consolidado'!$C$4:$C$89,'Clientes Consolidado'!$P$4:$P$89)</f>
        <v>213750</v>
      </c>
      <c r="J11" s="307">
        <f>_xlfn.XLOOKUP(C11,'Clientes Consolidado'!$C$4:$C$89,'Clientes Consolidado'!$Q$4:$Q$89)</f>
        <v>0</v>
      </c>
      <c r="K11" s="342"/>
    </row>
    <row r="12" spans="2:13" x14ac:dyDescent="0.25">
      <c r="B12" s="338" t="s">
        <v>547</v>
      </c>
      <c r="C12" s="308" t="s">
        <v>658</v>
      </c>
      <c r="D12" s="363">
        <v>103960.4</v>
      </c>
      <c r="E12" s="309">
        <v>3393</v>
      </c>
      <c r="F12" s="309">
        <v>100567.4</v>
      </c>
      <c r="H12" s="368">
        <f>_xlfn.XLOOKUP(C12,'Clientes Consolidado'!$C$4:$C$89,'Clientes Consolidado'!$H$4:$H$89)</f>
        <v>102925</v>
      </c>
      <c r="I12" s="304">
        <f>_xlfn.XLOOKUP(C12,'Clientes Consolidado'!$C$4:$C$89,'Clientes Consolidado'!$P$4:$P$89)</f>
        <v>3393</v>
      </c>
      <c r="J12" s="305">
        <f>_xlfn.XLOOKUP(C12,'Clientes Consolidado'!$C$4:$C$89,'Clientes Consolidado'!$Q$4:$Q$89)</f>
        <v>99532</v>
      </c>
      <c r="K12" s="339"/>
    </row>
    <row r="13" spans="2:13" x14ac:dyDescent="0.25">
      <c r="B13" s="338" t="s">
        <v>547</v>
      </c>
      <c r="C13" s="303" t="s">
        <v>91</v>
      </c>
      <c r="D13" s="304">
        <v>20940</v>
      </c>
      <c r="E13" s="305">
        <v>20940</v>
      </c>
      <c r="F13" s="305">
        <v>0</v>
      </c>
      <c r="H13" s="368">
        <f>_xlfn.XLOOKUP(C13,'Clientes Consolidado'!$C$4:$C$89,'Clientes Consolidado'!$H$4:$H$89)</f>
        <v>20940</v>
      </c>
      <c r="I13" s="304">
        <f>_xlfn.XLOOKUP(C13,'Clientes Consolidado'!$C$4:$C$89,'Clientes Consolidado'!$P$4:$P$89)</f>
        <v>20940</v>
      </c>
      <c r="J13" s="305">
        <f>_xlfn.XLOOKUP(C13,'Clientes Consolidado'!$C$4:$C$89,'Clientes Consolidado'!$Q$4:$Q$89)</f>
        <v>0</v>
      </c>
      <c r="K13" s="339"/>
    </row>
    <row r="14" spans="2:13" x14ac:dyDescent="0.25">
      <c r="B14" s="338" t="s">
        <v>547</v>
      </c>
      <c r="C14" s="303" t="s">
        <v>383</v>
      </c>
      <c r="D14" s="304">
        <v>300</v>
      </c>
      <c r="E14" s="305">
        <v>300</v>
      </c>
      <c r="F14" s="305">
        <v>0</v>
      </c>
      <c r="H14" s="368" t="e">
        <f>_xlfn.XLOOKUP(C14,'Clientes Consolidado'!$C$4:$C$89,'Clientes Consolidado'!$H$4:$H$89)</f>
        <v>#N/A</v>
      </c>
      <c r="I14" s="304" t="e">
        <f>_xlfn.XLOOKUP(C14,'Clientes Consolidado'!$C$4:$C$89,'Clientes Consolidado'!$P$4:$P$89)</f>
        <v>#N/A</v>
      </c>
      <c r="J14" s="305" t="e">
        <f>_xlfn.XLOOKUP(C14,'Clientes Consolidado'!$C$4:$C$89,'Clientes Consolidado'!$Q$4:$Q$89)</f>
        <v>#N/A</v>
      </c>
      <c r="K14" s="339"/>
    </row>
    <row r="15" spans="2:13" x14ac:dyDescent="0.25">
      <c r="B15" s="338" t="s">
        <v>547</v>
      </c>
      <c r="C15" s="303" t="s">
        <v>265</v>
      </c>
      <c r="D15" s="304">
        <v>100</v>
      </c>
      <c r="E15" s="305">
        <v>100</v>
      </c>
      <c r="F15" s="305">
        <v>0</v>
      </c>
      <c r="H15" s="368" t="e">
        <f>_xlfn.XLOOKUP(C15,'Clientes Consolidado'!$C$4:$C$89,'Clientes Consolidado'!$H$4:$H$89)</f>
        <v>#N/A</v>
      </c>
      <c r="I15" s="304" t="e">
        <f>_xlfn.XLOOKUP(C15,'Clientes Consolidado'!$C$4:$C$89,'Clientes Consolidado'!$P$4:$P$89)</f>
        <v>#N/A</v>
      </c>
      <c r="J15" s="305" t="e">
        <f>_xlfn.XLOOKUP(C15,'Clientes Consolidado'!$C$4:$C$89,'Clientes Consolidado'!$Q$4:$Q$89)</f>
        <v>#N/A</v>
      </c>
      <c r="K15" s="339"/>
    </row>
    <row r="16" spans="2:13" x14ac:dyDescent="0.25">
      <c r="B16" s="338" t="s">
        <v>547</v>
      </c>
      <c r="C16" s="308" t="s">
        <v>309</v>
      </c>
      <c r="D16" s="363">
        <v>50</v>
      </c>
      <c r="E16" s="309">
        <v>50</v>
      </c>
      <c r="F16" s="309">
        <v>0</v>
      </c>
      <c r="H16" s="368" t="e">
        <f>_xlfn.XLOOKUP(C16,'Clientes Consolidado'!$C$4:$C$89,'Clientes Consolidado'!$H$4:$H$89)</f>
        <v>#N/A</v>
      </c>
      <c r="I16" s="304" t="e">
        <f>_xlfn.XLOOKUP(C16,'Clientes Consolidado'!$C$4:$C$89,'Clientes Consolidado'!$P$4:$P$89)</f>
        <v>#N/A</v>
      </c>
      <c r="J16" s="305" t="e">
        <f>_xlfn.XLOOKUP(C16,'Clientes Consolidado'!$C$4:$C$89,'Clientes Consolidado'!$Q$4:$Q$89)</f>
        <v>#N/A</v>
      </c>
      <c r="K16" s="339"/>
    </row>
    <row r="17" spans="2:11" x14ac:dyDescent="0.25">
      <c r="B17" s="345" t="s">
        <v>342</v>
      </c>
      <c r="C17" s="346" t="s">
        <v>270</v>
      </c>
      <c r="D17" s="347">
        <v>988506.24</v>
      </c>
      <c r="E17" s="310">
        <v>988506.24</v>
      </c>
      <c r="F17" s="310">
        <v>0</v>
      </c>
      <c r="H17" s="372">
        <f>_xlfn.XLOOKUP(C17,'Clientes Consolidado'!$C$4:$C$89,'Clientes Consolidado'!$H$4:$H$89)</f>
        <v>988506.24</v>
      </c>
      <c r="I17" s="347">
        <f>_xlfn.XLOOKUP(C17,'Clientes Consolidado'!$C$4:$C$89,'Clientes Consolidado'!$P$4:$P$89)</f>
        <v>988506.24</v>
      </c>
      <c r="J17" s="310">
        <f>_xlfn.XLOOKUP(C17,'Clientes Consolidado'!$C$4:$C$89,'Clientes Consolidado'!$Q$4:$Q$89)</f>
        <v>0</v>
      </c>
      <c r="K17" s="348"/>
    </row>
    <row r="18" spans="2:11" x14ac:dyDescent="0.25">
      <c r="B18" s="338" t="s">
        <v>342</v>
      </c>
      <c r="C18" s="303" t="s">
        <v>424</v>
      </c>
      <c r="D18" s="304">
        <v>659074</v>
      </c>
      <c r="E18" s="305">
        <v>659074</v>
      </c>
      <c r="F18" s="305">
        <v>0</v>
      </c>
      <c r="H18" s="368" t="e">
        <f>_xlfn.XLOOKUP(C18,'Clientes Consolidado'!$C$4:$C$89,'Clientes Consolidado'!$H$4:$H$89)</f>
        <v>#N/A</v>
      </c>
      <c r="I18" s="304" t="e">
        <f>_xlfn.XLOOKUP(C18,'Clientes Consolidado'!$C$4:$C$89,'Clientes Consolidado'!$P$4:$P$89)</f>
        <v>#N/A</v>
      </c>
      <c r="J18" s="305" t="e">
        <f>_xlfn.XLOOKUP(C18,'Clientes Consolidado'!$C$4:$C$89,'Clientes Consolidado'!$Q$4:$Q$89)</f>
        <v>#N/A</v>
      </c>
      <c r="K18" s="339"/>
    </row>
    <row r="19" spans="2:11" x14ac:dyDescent="0.25">
      <c r="B19" s="343" t="s">
        <v>342</v>
      </c>
      <c r="C19" s="349" t="s">
        <v>83</v>
      </c>
      <c r="D19" s="350">
        <v>2357440.4499999997</v>
      </c>
      <c r="E19" s="311">
        <v>0</v>
      </c>
      <c r="F19" s="311">
        <v>2357440.4499999997</v>
      </c>
      <c r="H19" s="369">
        <f>_xlfn.XLOOKUP(C19,'Clientes Consolidado'!$C$4:$C$89,'Clientes Consolidado'!$H$4:$H$89)</f>
        <v>831017.13</v>
      </c>
      <c r="I19" s="350">
        <f>_xlfn.XLOOKUP(C19,'Clientes Consolidado'!$C$4:$C$89,'Clientes Consolidado'!$P$4:$P$89)</f>
        <v>0</v>
      </c>
      <c r="J19" s="311">
        <f>_xlfn.XLOOKUP(C19,'Clientes Consolidado'!$C$4:$C$89,'Clientes Consolidado'!$Q$4:$Q$89)</f>
        <v>831017.13</v>
      </c>
      <c r="K19" s="344"/>
    </row>
    <row r="20" spans="2:11" ht="20.399999999999999" customHeight="1" x14ac:dyDescent="0.25">
      <c r="B20" s="351" t="s">
        <v>526</v>
      </c>
      <c r="C20" s="352" t="s">
        <v>622</v>
      </c>
      <c r="D20" s="353">
        <v>89211.36</v>
      </c>
      <c r="E20" s="312">
        <v>89211.36</v>
      </c>
      <c r="F20" s="312">
        <v>0</v>
      </c>
      <c r="H20" s="366" t="e">
        <f>_xlfn.XLOOKUP(C20,'Clientes Consolidado'!$C$4:$C$89,'Clientes Consolidado'!$H$4:$H$89)</f>
        <v>#N/A</v>
      </c>
      <c r="I20" s="371" t="e">
        <f>_xlfn.XLOOKUP(C20,'Clientes Consolidado'!$C$4:$C$89,'Clientes Consolidado'!$P$4:$P$89)</f>
        <v>#N/A</v>
      </c>
      <c r="J20" s="386" t="e">
        <f>_xlfn.XLOOKUP(C20,'Clientes Consolidado'!$C$4:$C$89,'Clientes Consolidado'!$Q$4:$Q$89)</f>
        <v>#N/A</v>
      </c>
      <c r="K20" s="354"/>
    </row>
    <row r="21" spans="2:11" x14ac:dyDescent="0.25">
      <c r="B21" s="355" t="s">
        <v>526</v>
      </c>
      <c r="C21" s="388" t="s">
        <v>374</v>
      </c>
      <c r="D21" s="389">
        <v>845708.19</v>
      </c>
      <c r="E21" s="313">
        <v>420567.82</v>
      </c>
      <c r="F21" s="313">
        <v>425140.37</v>
      </c>
      <c r="H21" s="366" t="e">
        <f>_xlfn.XLOOKUP(C21,'Clientes Consolidado'!$C$4:$C$89,'Clientes Consolidado'!$H$4:$H$89)</f>
        <v>#N/A</v>
      </c>
      <c r="I21" s="371" t="e">
        <f>_xlfn.XLOOKUP(C21,'Clientes Consolidado'!$C$4:$C$89,'Clientes Consolidado'!$P$4:$P$89)</f>
        <v>#N/A</v>
      </c>
      <c r="J21" s="386" t="e">
        <f>_xlfn.XLOOKUP(C21,'Clientes Consolidado'!$C$4:$C$89,'Clientes Consolidado'!$Q$4:$Q$89)</f>
        <v>#N/A</v>
      </c>
      <c r="K21" s="356"/>
    </row>
    <row r="22" spans="2:11" x14ac:dyDescent="0.25">
      <c r="B22" s="355" t="s">
        <v>526</v>
      </c>
      <c r="C22" s="388" t="s">
        <v>128</v>
      </c>
      <c r="D22" s="389">
        <v>449507.68999999994</v>
      </c>
      <c r="E22" s="313">
        <v>449507.68999999994</v>
      </c>
      <c r="F22" s="313">
        <v>0</v>
      </c>
      <c r="H22" s="366">
        <f>_xlfn.XLOOKUP(C22,'Clientes Consolidado'!$C$4:$C$89,'Clientes Consolidado'!$H$4:$H$89)</f>
        <v>449507.68999999994</v>
      </c>
      <c r="I22" s="371">
        <f>_xlfn.XLOOKUP(C22,'Clientes Consolidado'!$C$4:$C$89,'Clientes Consolidado'!$P$4:$P$89)</f>
        <v>449507.68999999994</v>
      </c>
      <c r="J22" s="386">
        <f>_xlfn.XLOOKUP(C22,'Clientes Consolidado'!$C$4:$C$89,'Clientes Consolidado'!$Q$4:$Q$89)</f>
        <v>0</v>
      </c>
      <c r="K22" s="356"/>
    </row>
    <row r="23" spans="2:11" x14ac:dyDescent="0.25">
      <c r="B23" s="355" t="s">
        <v>526</v>
      </c>
      <c r="C23" s="388" t="s">
        <v>295</v>
      </c>
      <c r="D23" s="389">
        <v>510177.36</v>
      </c>
      <c r="E23" s="313">
        <v>0</v>
      </c>
      <c r="F23" s="313">
        <v>510177.36</v>
      </c>
      <c r="H23" s="366">
        <f>_xlfn.XLOOKUP(C23,'Clientes Consolidado'!$C$4:$C$89,'Clientes Consolidado'!$H$4:$H$89)</f>
        <v>510391.22</v>
      </c>
      <c r="I23" s="371">
        <f>_xlfn.XLOOKUP(C23,'Clientes Consolidado'!$C$4:$C$89,'Clientes Consolidado'!$P$4:$P$89)</f>
        <v>0</v>
      </c>
      <c r="J23" s="386">
        <f>_xlfn.XLOOKUP(C23,'Clientes Consolidado'!$C$4:$C$89,'Clientes Consolidado'!$Q$4:$Q$89)</f>
        <v>510391.22</v>
      </c>
      <c r="K23" s="356"/>
    </row>
    <row r="24" spans="2:11" x14ac:dyDescent="0.25">
      <c r="B24" s="355" t="s">
        <v>526</v>
      </c>
      <c r="C24" s="388" t="s">
        <v>666</v>
      </c>
      <c r="D24" s="389">
        <v>237744.12</v>
      </c>
      <c r="E24" s="313">
        <v>237744.12</v>
      </c>
      <c r="F24" s="313">
        <v>0</v>
      </c>
      <c r="H24" s="366" t="e">
        <f>_xlfn.XLOOKUP(C24,'Clientes Consolidado'!$C$4:$C$89,'Clientes Consolidado'!$H$4:$H$89)</f>
        <v>#N/A</v>
      </c>
      <c r="I24" s="371" t="e">
        <f>_xlfn.XLOOKUP(C24,'Clientes Consolidado'!$C$4:$C$89,'Clientes Consolidado'!$P$4:$P$89)</f>
        <v>#N/A</v>
      </c>
      <c r="J24" s="386" t="e">
        <f>_xlfn.XLOOKUP(C24,'Clientes Consolidado'!$C$4:$C$89,'Clientes Consolidado'!$Q$4:$Q$89)</f>
        <v>#N/A</v>
      </c>
      <c r="K24" s="356"/>
    </row>
    <row r="25" spans="2:11" x14ac:dyDescent="0.25">
      <c r="B25" s="355" t="s">
        <v>526</v>
      </c>
      <c r="C25" s="388" t="s">
        <v>491</v>
      </c>
      <c r="D25" s="389">
        <v>63312.81</v>
      </c>
      <c r="E25" s="313">
        <v>63312.81</v>
      </c>
      <c r="F25" s="313">
        <v>0</v>
      </c>
      <c r="H25" s="366" t="e">
        <f>_xlfn.XLOOKUP(C25,'Clientes Consolidado'!$C$4:$C$89,'Clientes Consolidado'!$H$4:$H$89)</f>
        <v>#N/A</v>
      </c>
      <c r="I25" s="371" t="e">
        <f>_xlfn.XLOOKUP(C25,'Clientes Consolidado'!$C$4:$C$89,'Clientes Consolidado'!$P$4:$P$89)</f>
        <v>#N/A</v>
      </c>
      <c r="J25" s="386" t="e">
        <f>_xlfn.XLOOKUP(C25,'Clientes Consolidado'!$C$4:$C$89,'Clientes Consolidado'!$Q$4:$Q$89)</f>
        <v>#N/A</v>
      </c>
      <c r="K25" s="357"/>
    </row>
    <row r="26" spans="2:11" x14ac:dyDescent="0.25">
      <c r="B26" s="355" t="s">
        <v>526</v>
      </c>
      <c r="C26" s="388" t="s">
        <v>438</v>
      </c>
      <c r="D26" s="389">
        <v>29096.7</v>
      </c>
      <c r="E26" s="313">
        <v>29096.7</v>
      </c>
      <c r="F26" s="313">
        <v>0</v>
      </c>
      <c r="H26" s="366">
        <f>_xlfn.XLOOKUP(C26,'Clientes Consolidado'!$C$4:$C$89,'Clientes Consolidado'!$H$4:$H$89)</f>
        <v>14548.35</v>
      </c>
      <c r="I26" s="371">
        <f>_xlfn.XLOOKUP(C26,'Clientes Consolidado'!$C$4:$C$89,'Clientes Consolidado'!$P$4:$P$89)</f>
        <v>14548.35</v>
      </c>
      <c r="J26" s="386">
        <f>_xlfn.XLOOKUP(C26,'Clientes Consolidado'!$C$4:$C$89,'Clientes Consolidado'!$Q$4:$Q$89)</f>
        <v>0</v>
      </c>
      <c r="K26" s="356"/>
    </row>
    <row r="27" spans="2:11" x14ac:dyDescent="0.25">
      <c r="B27" s="358" t="s">
        <v>526</v>
      </c>
      <c r="C27" s="359" t="s">
        <v>679</v>
      </c>
      <c r="D27" s="360">
        <v>185521.46</v>
      </c>
      <c r="E27" s="314">
        <v>527.28</v>
      </c>
      <c r="F27" s="314">
        <v>184994.18</v>
      </c>
      <c r="H27" s="370" t="e">
        <f>_xlfn.XLOOKUP(C27,'Clientes Consolidado'!$C$4:$C$89,'Clientes Consolidado'!$H$4:$H$89)</f>
        <v>#N/A</v>
      </c>
      <c r="I27" s="379" t="e">
        <f>_xlfn.XLOOKUP(C27,'Clientes Consolidado'!$C$4:$C$89,'Clientes Consolidado'!$P$4:$P$89)</f>
        <v>#N/A</v>
      </c>
      <c r="J27" s="390" t="e">
        <f>_xlfn.XLOOKUP(C27,'Clientes Consolidado'!$C$4:$C$89,'Clientes Consolidado'!$Q$4:$Q$89)</f>
        <v>#N/A</v>
      </c>
      <c r="K27" s="361"/>
    </row>
    <row r="28" spans="2:11" x14ac:dyDescent="0.25">
      <c r="B28" s="308"/>
      <c r="C28" s="303"/>
      <c r="D28" s="304"/>
      <c r="E28" s="305"/>
      <c r="F28" s="305"/>
      <c r="H28" s="304"/>
      <c r="I28" s="305"/>
      <c r="J28" s="305"/>
      <c r="K28" s="315"/>
    </row>
    <row r="29" spans="2:11" ht="14.4" thickBot="1" x14ac:dyDescent="0.3">
      <c r="B29" s="425" t="s">
        <v>339</v>
      </c>
      <c r="C29" s="425"/>
      <c r="D29" s="316" t="s">
        <v>17</v>
      </c>
      <c r="E29" s="317" t="s">
        <v>27</v>
      </c>
      <c r="F29" s="317" t="s">
        <v>8</v>
      </c>
      <c r="H29" s="316" t="s">
        <v>17</v>
      </c>
      <c r="I29" s="317" t="s">
        <v>27</v>
      </c>
      <c r="J29" s="317" t="s">
        <v>8</v>
      </c>
      <c r="K29" s="315"/>
    </row>
    <row r="30" spans="2:11" x14ac:dyDescent="0.25">
      <c r="B30" s="426" t="s">
        <v>547</v>
      </c>
      <c r="C30" s="426"/>
      <c r="D30" s="36">
        <f>SUM(D4:D16)</f>
        <v>13426781.900000002</v>
      </c>
      <c r="E30" s="36">
        <f>SUM(E4:E16)</f>
        <v>856834.74</v>
      </c>
      <c r="F30" s="36">
        <f>SUM(F4:F16)</f>
        <v>12569947.160000002</v>
      </c>
      <c r="H30" s="36" t="e">
        <f>SUM(H4:H16)</f>
        <v>#N/A</v>
      </c>
      <c r="I30" s="36" t="e">
        <f>SUM(I4:I16)</f>
        <v>#N/A</v>
      </c>
      <c r="J30" s="36" t="e">
        <f>SUM(J4:J16)</f>
        <v>#N/A</v>
      </c>
      <c r="K30" s="315"/>
    </row>
    <row r="31" spans="2:11" x14ac:dyDescent="0.25">
      <c r="B31" s="427" t="s">
        <v>342</v>
      </c>
      <c r="C31" s="427"/>
      <c r="D31" s="36">
        <f>+SUM(D17:D19)</f>
        <v>4005020.6899999995</v>
      </c>
      <c r="E31" s="36">
        <f>+SUM(E17:E19)</f>
        <v>1647580.24</v>
      </c>
      <c r="F31" s="36">
        <f>+SUM(F17:F19)</f>
        <v>2357440.4499999997</v>
      </c>
      <c r="H31" s="36" t="e">
        <f>+SUM(H17:H19)</f>
        <v>#N/A</v>
      </c>
      <c r="I31" s="36" t="e">
        <f>+SUM(I17:I19)</f>
        <v>#N/A</v>
      </c>
      <c r="J31" s="36" t="e">
        <f>+SUM(J17:J19)</f>
        <v>#N/A</v>
      </c>
      <c r="K31" s="315"/>
    </row>
    <row r="32" spans="2:11" x14ac:dyDescent="0.25">
      <c r="B32" s="427" t="s">
        <v>526</v>
      </c>
      <c r="C32" s="427"/>
      <c r="D32" s="36">
        <f>+SUM(D20:D27)</f>
        <v>2410279.69</v>
      </c>
      <c r="E32" s="36">
        <f>+SUM(E20:E27)</f>
        <v>1289967.7799999998</v>
      </c>
      <c r="F32" s="36">
        <f>+SUM(F20:F27)</f>
        <v>1120311.9099999999</v>
      </c>
      <c r="H32" s="36" t="e">
        <f>+SUM(H20:H27)</f>
        <v>#N/A</v>
      </c>
      <c r="I32" s="36" t="e">
        <f>+SUM(I20:I27)</f>
        <v>#N/A</v>
      </c>
      <c r="J32" s="36" t="e">
        <f>+SUM(J20:J27)</f>
        <v>#N/A</v>
      </c>
      <c r="K32" s="315"/>
    </row>
    <row r="33" spans="2:11" ht="4.95" customHeight="1" x14ac:dyDescent="0.25">
      <c r="K33" s="315"/>
    </row>
    <row r="34" spans="2:11" ht="14.4" x14ac:dyDescent="0.3">
      <c r="B34" s="318" t="s">
        <v>351</v>
      </c>
      <c r="C34" s="319"/>
      <c r="D34" s="320">
        <f>+D32+D31+D30</f>
        <v>19842082.280000001</v>
      </c>
      <c r="E34" s="320">
        <f>+E32+E31+E30</f>
        <v>3794382.76</v>
      </c>
      <c r="F34" s="320">
        <f>+F32+F31+F30</f>
        <v>16047699.520000001</v>
      </c>
      <c r="H34" s="320" t="e">
        <f>+H32+H31+H30</f>
        <v>#N/A</v>
      </c>
      <c r="I34" s="320" t="e">
        <f>+I32+I31+I30</f>
        <v>#N/A</v>
      </c>
      <c r="J34" s="320" t="e">
        <f>+J32+J31+J30</f>
        <v>#N/A</v>
      </c>
    </row>
    <row r="35" spans="2:11" ht="14.4" x14ac:dyDescent="0.3">
      <c r="C35" s="319"/>
      <c r="D35" s="319"/>
      <c r="E35" s="319"/>
      <c r="F35" s="319"/>
      <c r="H35" s="319"/>
      <c r="I35" s="319"/>
      <c r="J35" s="319"/>
    </row>
    <row r="36" spans="2:11" ht="14.4" customHeight="1" x14ac:dyDescent="0.3">
      <c r="B36" s="428" t="s">
        <v>798</v>
      </c>
      <c r="C36" s="428"/>
      <c r="D36" s="428"/>
      <c r="E36" s="320">
        <f>E7+E9+E8</f>
        <v>369622.9</v>
      </c>
      <c r="H36" t="s">
        <v>798</v>
      </c>
      <c r="I36" s="320">
        <f>+I7+I9</f>
        <v>0</v>
      </c>
    </row>
    <row r="37" spans="2:11" ht="14.4" x14ac:dyDescent="0.3">
      <c r="B37" s="428" t="s">
        <v>799</v>
      </c>
      <c r="C37" s="428"/>
      <c r="D37" s="428"/>
      <c r="E37" s="321">
        <f>SUM(E20:E27)</f>
        <v>1289967.7799999998</v>
      </c>
      <c r="H37" t="s">
        <v>799</v>
      </c>
      <c r="I37" s="321" t="e">
        <f>SUM(I20:I27)</f>
        <v>#N/A</v>
      </c>
    </row>
    <row r="38" spans="2:11" ht="14.4" x14ac:dyDescent="0.25">
      <c r="E38" s="322">
        <f>(+E36+E37)/E34</f>
        <v>0.43738093518008703</v>
      </c>
      <c r="F38" s="323" t="s">
        <v>800</v>
      </c>
      <c r="I38" s="322" t="e">
        <f>(+I36+I37)/I34</f>
        <v>#N/A</v>
      </c>
      <c r="J38" s="323" t="s">
        <v>800</v>
      </c>
    </row>
    <row r="40" spans="2:11" ht="14.4" thickBot="1" x14ac:dyDescent="0.3">
      <c r="B40" s="425" t="s">
        <v>339</v>
      </c>
      <c r="C40" s="425"/>
      <c r="D40" s="316" t="s">
        <v>17</v>
      </c>
      <c r="E40" s="317" t="s">
        <v>27</v>
      </c>
      <c r="F40" s="317" t="s">
        <v>8</v>
      </c>
    </row>
    <row r="41" spans="2:11" x14ac:dyDescent="0.25">
      <c r="B41" s="426" t="s">
        <v>547</v>
      </c>
      <c r="C41" s="426"/>
      <c r="D41" s="380" t="e">
        <f>SUM(H4:H16)</f>
        <v>#N/A</v>
      </c>
      <c r="E41" s="380" t="e">
        <f>SUM(I4:I16)</f>
        <v>#N/A</v>
      </c>
      <c r="F41" s="380" t="e">
        <f>SUM(J4:J16)</f>
        <v>#N/A</v>
      </c>
    </row>
    <row r="42" spans="2:11" x14ac:dyDescent="0.25">
      <c r="B42" s="427" t="s">
        <v>342</v>
      </c>
      <c r="C42" s="427"/>
      <c r="D42" s="380" t="e">
        <f>+SUM(H17:H19)</f>
        <v>#N/A</v>
      </c>
      <c r="E42" s="380" t="e">
        <f>+SUM(I17:I19)</f>
        <v>#N/A</v>
      </c>
      <c r="F42" s="380" t="e">
        <f>+SUM(J17:J19)</f>
        <v>#N/A</v>
      </c>
    </row>
    <row r="43" spans="2:11" x14ac:dyDescent="0.25">
      <c r="B43" s="427" t="s">
        <v>526</v>
      </c>
      <c r="C43" s="427"/>
      <c r="D43" s="380" t="e">
        <f>+SUM(H20:H27)</f>
        <v>#N/A</v>
      </c>
      <c r="E43" s="380" t="e">
        <f>+SUM(I20:I27)</f>
        <v>#N/A</v>
      </c>
      <c r="F43" s="380" t="e">
        <f>+SUM(J20:J27)</f>
        <v>#N/A</v>
      </c>
    </row>
    <row r="44" spans="2:11" x14ac:dyDescent="0.25">
      <c r="B44" s="255"/>
      <c r="C44" s="255"/>
      <c r="D44" s="255"/>
      <c r="E44" s="255"/>
      <c r="F44" s="255"/>
    </row>
    <row r="45" spans="2:11" ht="14.4" x14ac:dyDescent="0.3">
      <c r="B45" s="318" t="s">
        <v>351</v>
      </c>
      <c r="C45" s="381"/>
      <c r="D45" s="382" t="e">
        <f>+D43+D42+D41</f>
        <v>#N/A</v>
      </c>
      <c r="E45" s="382" t="e">
        <f>+E43+E42+E41</f>
        <v>#N/A</v>
      </c>
      <c r="F45" s="382" t="e">
        <f>+F43+F42+F41</f>
        <v>#N/A</v>
      </c>
    </row>
    <row r="46" spans="2:11" ht="14.4" x14ac:dyDescent="0.3">
      <c r="B46" s="255"/>
      <c r="C46" s="381"/>
      <c r="D46" s="381"/>
      <c r="E46" s="381"/>
      <c r="F46" s="381"/>
    </row>
    <row r="47" spans="2:11" ht="15" customHeight="1" x14ac:dyDescent="0.3">
      <c r="B47" s="383"/>
      <c r="C47" s="383"/>
      <c r="D47" s="381" t="s">
        <v>798</v>
      </c>
      <c r="E47" s="382">
        <f>I7+I9+I8</f>
        <v>0</v>
      </c>
      <c r="F47" s="255"/>
    </row>
    <row r="48" spans="2:11" ht="15" customHeight="1" x14ac:dyDescent="0.3">
      <c r="B48" s="383"/>
      <c r="C48" s="383"/>
      <c r="D48" s="381" t="s">
        <v>799</v>
      </c>
      <c r="E48" s="384" t="e">
        <f>SUM(I20:I27)</f>
        <v>#N/A</v>
      </c>
      <c r="F48" s="255"/>
    </row>
    <row r="49" spans="2:6" ht="14.4" x14ac:dyDescent="0.25">
      <c r="B49" s="255"/>
      <c r="C49" s="255"/>
      <c r="D49" s="255"/>
      <c r="E49" s="322" t="e">
        <f>(+E47+E48)/E45</f>
        <v>#N/A</v>
      </c>
      <c r="F49" s="323" t="s">
        <v>800</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5"/>
  <sheetViews>
    <sheetView showGridLines="0" zoomScale="80" zoomScaleNormal="80" workbookViewId="0">
      <pane xSplit="14" ySplit="3" topLeftCell="O90" activePane="bottomRight" state="frozen"/>
      <selection activeCell="X86" sqref="X86"/>
      <selection pane="topRight" activeCell="X86" sqref="X86"/>
      <selection pane="bottomLeft" activeCell="X86" sqref="X86"/>
      <selection pane="bottomRight" activeCell="B4" sqref="B4:AA135"/>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46112</v>
      </c>
      <c r="C1" s="11"/>
      <c r="D1" s="11"/>
      <c r="E1" s="11"/>
      <c r="F1" s="11"/>
      <c r="G1" s="9">
        <f t="shared" ref="G1:P1" si="0">SUBTOTAL(9,G4:G101)</f>
        <v>24064262.979999997</v>
      </c>
      <c r="H1" s="115">
        <f t="shared" si="0"/>
        <v>21000.799999999999</v>
      </c>
      <c r="I1" s="9">
        <f t="shared" si="0"/>
        <v>0</v>
      </c>
      <c r="J1" s="9">
        <f t="shared" si="0"/>
        <v>0</v>
      </c>
      <c r="K1" s="9">
        <f t="shared" si="0"/>
        <v>0</v>
      </c>
      <c r="L1" s="9">
        <f t="shared" si="0"/>
        <v>3393</v>
      </c>
      <c r="M1" s="9">
        <f t="shared" si="0"/>
        <v>64.2</v>
      </c>
      <c r="N1" s="9">
        <f t="shared" si="0"/>
        <v>483754.64</v>
      </c>
      <c r="O1" s="9">
        <f t="shared" si="0"/>
        <v>508212.64</v>
      </c>
      <c r="P1" s="9">
        <f t="shared" si="0"/>
        <v>23556050.340000004</v>
      </c>
      <c r="Q1" s="9">
        <f t="shared" ref="Q1:W1" si="1">SUM(Q4:Q102)</f>
        <v>12826085.769999998</v>
      </c>
      <c r="R1" s="9">
        <f t="shared" si="1"/>
        <v>5934208.3099999996</v>
      </c>
      <c r="S1" s="9">
        <f t="shared" si="1"/>
        <v>3883012.4499999997</v>
      </c>
      <c r="T1" s="9">
        <f t="shared" si="1"/>
        <v>530955.9</v>
      </c>
      <c r="U1" s="9">
        <f t="shared" si="1"/>
        <v>0</v>
      </c>
      <c r="V1" s="9">
        <f t="shared" si="1"/>
        <v>327257.90000000002</v>
      </c>
      <c r="W1" s="9">
        <f t="shared" si="1"/>
        <v>96770.01</v>
      </c>
      <c r="X1" s="9">
        <f>SUBTOTAL(9,X4:X101)</f>
        <v>628965.47600000002</v>
      </c>
      <c r="Y1" s="10"/>
      <c r="Z1" s="10"/>
      <c r="AA1" s="9">
        <f>SUBTOTAL(9,AA4:AA1048576)</f>
        <v>92737000</v>
      </c>
      <c r="AD1" s="10"/>
      <c r="AE1" s="14"/>
      <c r="AF1" s="10"/>
      <c r="AG1" s="27">
        <f>SUBTOTAL(9,AG4:AG106)</f>
        <v>61712337.019999988</v>
      </c>
      <c r="AH1" s="10"/>
      <c r="AI1" s="233">
        <f>O1/G1</f>
        <v>2.1118977980849846E-2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482</v>
      </c>
      <c r="AJ2" s="39"/>
      <c r="AK2" s="39"/>
    </row>
    <row r="3" spans="1:39"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9" ht="15.75" customHeight="1" thickTop="1" x14ac:dyDescent="0.25">
      <c r="B4" s="41" t="s">
        <v>500</v>
      </c>
      <c r="C4" s="224">
        <f>IFERROR(_xlfn.XLOOKUP(B4,'Limite de crédito'!C:C,'Limite de crédito'!L:L,),0)</f>
        <v>0</v>
      </c>
      <c r="D4" s="93"/>
      <c r="E4" s="18">
        <f>_xlfn.XLOOKUP(B4,'Limite de crédito'!C:C,'Limite de crédito'!G:G,0)</f>
        <v>20000000</v>
      </c>
      <c r="F4" s="18">
        <f>E4-G4</f>
        <v>14503485.33</v>
      </c>
      <c r="G4" s="18">
        <f>P4+O4</f>
        <v>5496514.6699999999</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5479695.75</v>
      </c>
      <c r="Q4" s="19">
        <f>SUMIFS('Data Additive'!$D:$D,'Data Additive'!$P:$P,'Painel Additive'!$B4,'Data Additive'!$Q:$Q,"&lt;=0",'Data Additive'!$Q:$Q,"&gt;=-30")</f>
        <v>2323797.5300000003</v>
      </c>
      <c r="R4" s="19">
        <f>SUMIFS('Data Additive'!$D:$D,'Data Additive'!$P:$P,'Painel Additive'!$B4,'Data Additive'!$Q:$Q,"&lt;=-31",'Data Additive'!$Q:$Q,"&gt;=-60")</f>
        <v>2605110.92</v>
      </c>
      <c r="S4" s="19">
        <f>SUMIFS('Data Additive'!$D:$D,'Data Additive'!$P:$P,'Painel Additive'!$B4,'Data Additive'!$Q:$Q,"&lt;=-61",'Data Additive'!$Q:$Q,"&gt;=-90")</f>
        <v>550787.30000000005</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9503485.3300000001</v>
      </c>
    </row>
    <row r="5" spans="1:39" ht="15" customHeight="1" x14ac:dyDescent="0.25">
      <c r="B5" s="41" t="s">
        <v>416</v>
      </c>
      <c r="C5" s="224">
        <f>IFERROR(_xlfn.XLOOKUP(B5,'Limite de crédito'!C:C,'Limite de crédito'!L:L,),0)</f>
        <v>0</v>
      </c>
      <c r="D5" s="93"/>
      <c r="E5" s="18">
        <f>_xlfn.XLOOKUP(B5,'Limite de crédito'!C:C,'Limite de crédito'!G:G,0)</f>
        <v>6900000</v>
      </c>
      <c r="F5" s="18">
        <f t="shared" ref="F5:F26" si="3">E5-G5</f>
        <v>6417791.9000000004</v>
      </c>
      <c r="G5" s="18">
        <f t="shared" ref="G5:G26" si="4">P5+O5</f>
        <v>482208.1</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482208.1</v>
      </c>
      <c r="Q5" s="19">
        <f>SUMIFS('Data Additive'!$D:$D,'Data Additive'!$P:$P,'Painel Additive'!$B5,'Data Additive'!$Q:$Q,"&lt;=0",'Data Additive'!$Q:$Q,"&gt;=-30")</f>
        <v>482208.1</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1832791.9</v>
      </c>
    </row>
    <row r="6" spans="1:39" ht="15.75" customHeight="1" x14ac:dyDescent="0.25">
      <c r="B6" s="41" t="s">
        <v>420</v>
      </c>
      <c r="C6" s="224" t="str">
        <f>IFERROR(_xlfn.XLOOKUP(B6,'Limite de crédito'!C:C,'Limite de crédito'!L:L,),0)</f>
        <v>B</v>
      </c>
      <c r="D6" s="93"/>
      <c r="E6" s="18">
        <f>_xlfn.XLOOKUP(B6,'Limite de crédito'!C:C,'Limite de crédito'!G:G,0)</f>
        <v>6000000</v>
      </c>
      <c r="F6" s="18">
        <f t="shared" si="3"/>
        <v>2910281.48</v>
      </c>
      <c r="G6" s="18">
        <f t="shared" si="4"/>
        <v>3089718.52</v>
      </c>
      <c r="H6" s="19">
        <f>SUMIFS('Data Additive'!$D:$D,'Data Additive'!$P:$P,'Painel Additive'!$B6,'Data Additive'!$Q:$Q,"&gt;0",'Data Additive'!$Q:$Q,"&lt;=30")</f>
        <v>10800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16426.32</v>
      </c>
      <c r="P6" s="19">
        <f t="shared" si="5"/>
        <v>3073292.2</v>
      </c>
      <c r="Q6" s="19">
        <f>SUMIFS('Data Additive'!$D:$D,'Data Additive'!$P:$P,'Painel Additive'!$B6,'Data Additive'!$Q:$Q,"&lt;=0",'Data Additive'!$Q:$Q,"&gt;=-30")</f>
        <v>1988602.43</v>
      </c>
      <c r="R6" s="19">
        <f>SUMIFS('Data Additive'!$D:$D,'Data Additive'!$P:$P,'Painel Additive'!$B6,'Data Additive'!$Q:$Q,"&lt;=-31",'Data Additive'!$Q:$Q,"&gt;=-60")</f>
        <v>1084689.77</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2910281.48</v>
      </c>
      <c r="AL6" t="s">
        <v>17</v>
      </c>
      <c r="AM6" s="36">
        <f>G1+'Painel Fertilizers'!G1+'Painel International'!G1-AM8</f>
        <v>38418578.399999991</v>
      </c>
    </row>
    <row r="7" spans="1:39" ht="16.2" customHeight="1" x14ac:dyDescent="0.25">
      <c r="B7" s="41" t="s">
        <v>419</v>
      </c>
      <c r="C7" s="224" t="str">
        <f>IFERROR(_xlfn.XLOOKUP(B7,'Limite de crédito'!C:C,'Limite de crédito'!L:L,),0)</f>
        <v>B</v>
      </c>
      <c r="D7" s="93"/>
      <c r="E7" s="18">
        <f>_xlfn.XLOOKUP(B7,'Limite de crédito'!C:C,'Limite de crédito'!G:G,0)</f>
        <v>500000</v>
      </c>
      <c r="F7" s="18">
        <f t="shared" si="3"/>
        <v>419020</v>
      </c>
      <c r="G7" s="18">
        <f t="shared" si="4"/>
        <v>80980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80980</v>
      </c>
      <c r="Q7" s="19">
        <f>SUMIFS('Data Additive'!$D:$D,'Data Additive'!$P:$P,'Painel Additive'!$B7,'Data Additive'!$Q:$Q,"&lt;=0",'Data Additive'!$Q:$Q,"&gt;=-30")</f>
        <v>80980</v>
      </c>
      <c r="R7" s="19">
        <f>SUMIFS('Data Additive'!$D:$D,'Data Additive'!$P:$P,'Painel Additive'!$B7,'Data Additive'!$Q:$Q,"&lt;=-31",'Data Additive'!$Q:$Q,"&gt;=-60")</f>
        <v>0</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419020</v>
      </c>
      <c r="AL7" t="s">
        <v>499</v>
      </c>
      <c r="AM7" s="29">
        <f>AG1+'Painel Fertilizers'!AG1+'Painel International'!AG1</f>
        <v>98088256.849999994</v>
      </c>
    </row>
    <row r="8" spans="1:39" ht="16.2" customHeight="1" x14ac:dyDescent="0.25">
      <c r="B8" s="41" t="s">
        <v>414</v>
      </c>
      <c r="C8" s="224" t="str">
        <f>IFERROR(_xlfn.XLOOKUP(B8,'Limite de crédito'!C:C,'Limite de crédito'!L:L,),0)</f>
        <v>B</v>
      </c>
      <c r="D8" s="93"/>
      <c r="E8" s="18">
        <f>_xlfn.XLOOKUP(B8,'Limite de crédito'!C:C,'Limite de crédito'!G:G,0)</f>
        <v>4000000</v>
      </c>
      <c r="F8" s="18">
        <f t="shared" si="3"/>
        <v>3939882.2</v>
      </c>
      <c r="G8" s="18">
        <f t="shared" si="4"/>
        <v>60117.8</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60117.8</v>
      </c>
      <c r="Q8" s="19">
        <f>SUMIFS('Data Additive'!$D:$D,'Data Additive'!$P:$P,'Painel Additive'!$B8,'Data Additive'!$Q:$Q,"&lt;=0",'Data Additive'!$Q:$Q,"&gt;=-30")</f>
        <v>1200</v>
      </c>
      <c r="R8" s="19">
        <f>SUMIFS('Data Additive'!$D:$D,'Data Additive'!$P:$P,'Painel Additive'!$B8,'Data Additive'!$Q:$Q,"&lt;=-31",'Data Additive'!$Q:$Q,"&gt;=-60")</f>
        <v>58917.8</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3939882.2</v>
      </c>
      <c r="AM8" s="128">
        <v>21461777.98</v>
      </c>
    </row>
    <row r="9" spans="1:39" ht="15.75" customHeight="1" x14ac:dyDescent="0.25">
      <c r="B9" s="41" t="s">
        <v>417</v>
      </c>
      <c r="C9" s="224" t="str">
        <f>IFERROR(_xlfn.XLOOKUP(B9,'Limite de crédito'!C:C,'Limite de crédito'!L:L,),0)</f>
        <v>B</v>
      </c>
      <c r="D9" s="93"/>
      <c r="E9" s="18">
        <f>_xlfn.XLOOKUP(B9,'Limite de crédito'!C:C,'Limite de crédito'!G:G,0)</f>
        <v>3500000</v>
      </c>
      <c r="F9" s="18">
        <f t="shared" si="3"/>
        <v>2702861.9</v>
      </c>
      <c r="G9" s="18">
        <f t="shared" si="4"/>
        <v>797138.1</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797138.1</v>
      </c>
      <c r="Q9" s="19">
        <f>SUMIFS('Data Additive'!$D:$D,'Data Additive'!$P:$P,'Painel Additive'!$B9,'Data Additive'!$Q:$Q,"&lt;=0",'Data Additive'!$Q:$Q,"&gt;=-30")</f>
        <v>797138.1</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3500000</v>
      </c>
      <c r="AB9" s="19"/>
      <c r="AC9" s="20"/>
      <c r="AD9" s="22"/>
      <c r="AE9" s="22"/>
      <c r="AF9" s="5"/>
      <c r="AG9" s="105">
        <f t="shared" si="2"/>
        <v>2702861.9</v>
      </c>
      <c r="AM9" s="36">
        <f>AM7+AM8</f>
        <v>119550034.83</v>
      </c>
    </row>
    <row r="10" spans="1:39" ht="13.95" customHeight="1" x14ac:dyDescent="0.25">
      <c r="B10" s="41" t="s">
        <v>428</v>
      </c>
      <c r="C10" s="224">
        <f>IFERROR(_xlfn.XLOOKUP(B10,'Limite de crédito'!C:C,'Limite de crédito'!L:L,),0)</f>
        <v>0</v>
      </c>
      <c r="D10" s="93"/>
      <c r="E10" s="18">
        <f>_xlfn.XLOOKUP(B10,'Limite de crédito'!C:C,'Limite de crédito'!G:G,0)</f>
        <v>0</v>
      </c>
      <c r="F10" s="18">
        <f t="shared" si="3"/>
        <v>-631958.30000000005</v>
      </c>
      <c r="G10" s="18">
        <f t="shared" si="4"/>
        <v>631958.30000000005</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631958.30000000005</v>
      </c>
      <c r="Q10" s="19">
        <f>SUMIFS('Data Additive'!$D:$D,'Data Additive'!$P:$P,'Painel Additive'!$B10,'Data Additive'!$Q:$Q,"&lt;=0",'Data Additive'!$Q:$Q,"&gt;=-30")</f>
        <v>350834.30000000005</v>
      </c>
      <c r="R10" s="19">
        <f>SUMIFS('Data Additive'!$D:$D,'Data Additive'!$P:$P,'Painel Additive'!$B10,'Data Additive'!$Q:$Q,"&lt;=-31",'Data Additive'!$Q:$Q,"&gt;=-60")</f>
        <v>281124</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-631958.30000000005</v>
      </c>
      <c r="AM10" s="129">
        <f>AM9*-1/AM6</f>
        <v>-3.1117766405953224</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431</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2249010.9</v>
      </c>
      <c r="G13" s="18">
        <f t="shared" si="4"/>
        <v>350989.1</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350989.1</v>
      </c>
      <c r="Q13" s="19">
        <f>SUMIFS('Data Additive'!$D:$D,'Data Additive'!$P:$P,'Painel Additive'!$B13,'Data Additive'!$Q:$Q,"&lt;=0",'Data Additive'!$Q:$Q,"&gt;=-30")</f>
        <v>350989.1</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2249010.9</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2168982.87</v>
      </c>
      <c r="G14" s="18">
        <f t="shared" si="4"/>
        <v>831017.13</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831017.13</v>
      </c>
      <c r="Q14" s="19">
        <f>SUMIFS('Data Additive'!$D:$D,'Data Additive'!$P:$P,'Painel Additive'!$B14,'Data Additive'!$Q:$Q,"&lt;=0",'Data Additive'!$Q:$Q,"&gt;=-30")</f>
        <v>420160.61</v>
      </c>
      <c r="R14" s="19">
        <f>SUMIFS('Data Additive'!$D:$D,'Data Additive'!$P:$P,'Painel Additive'!$B14,'Data Additive'!$Q:$Q,"&lt;=-31",'Data Additive'!$Q:$Q,"&gt;=-60")</f>
        <v>0</v>
      </c>
      <c r="S14" s="19">
        <f>SUMIFS('Data Additive'!$D:$D,'Data Additive'!$P:$P,'Painel Additive'!$B14,'Data Additive'!$Q:$Q,"&lt;=-61",'Data Additive'!$Q:$Q,"&gt;=-90")</f>
        <v>410856.52</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2168982.87</v>
      </c>
      <c r="AH14" s="5"/>
    </row>
    <row r="15" spans="1:39" ht="15.75" customHeight="1" x14ac:dyDescent="0.25">
      <c r="B15" s="17" t="s">
        <v>65</v>
      </c>
      <c r="C15" s="224">
        <f>IFERROR(_xlfn.XLOOKUP(B15,'Limite de crédito'!C:C,'Limite de crédito'!L:L,),0)</f>
        <v>0</v>
      </c>
      <c r="D15" s="93"/>
      <c r="E15" s="18">
        <f>_xlfn.XLOOKUP(B15,'Limite de crédito'!C:C,'Limite de crédito'!G:G,0)</f>
        <v>270000</v>
      </c>
      <c r="F15" s="18">
        <f t="shared" si="3"/>
        <v>119800.20000000001</v>
      </c>
      <c r="G15" s="18">
        <f t="shared" si="4"/>
        <v>150199.79999999999</v>
      </c>
      <c r="H15" s="19">
        <f>SUMIFS('Data Additive'!$D:$D,'Data Additive'!$P:$P,'Painel Additive'!$B15,'Data Additive'!$Q:$Q,"&gt;0",'Data Additive'!$Q:$Q,"&lt;=30")</f>
        <v>0</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0</v>
      </c>
      <c r="P15" s="19">
        <f t="shared" si="5"/>
        <v>150199.79999999999</v>
      </c>
      <c r="Q15" s="19">
        <f>SUMIFS('Data Additive'!$D:$D,'Data Additive'!$P:$P,'Painel Additive'!$B15,'Data Additive'!$Q:$Q,"&lt;=0",'Data Additive'!$Q:$Q,"&gt;=-30")</f>
        <v>74983</v>
      </c>
      <c r="R15" s="19">
        <f>SUMIFS('Data Additive'!$D:$D,'Data Additive'!$P:$P,'Painel Additive'!$B15,'Data Additive'!$Q:$Q,"&lt;=-31",'Data Additive'!$Q:$Q,"&gt;=-60")</f>
        <v>75216.800000000003</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-150199.79999999999</v>
      </c>
      <c r="AH15" s="5"/>
    </row>
    <row r="16" spans="1:39" ht="15.75" customHeight="1" x14ac:dyDescent="0.25">
      <c r="B16" s="41" t="s">
        <v>488</v>
      </c>
      <c r="C16" s="224" t="str">
        <f>IFERROR(_xlfn.XLOOKUP(B16,'Limite de crédito'!C:C,'Limite de crédito'!L:L,),0)</f>
        <v>B</v>
      </c>
      <c r="D16" s="93"/>
      <c r="E16" s="18">
        <f>_xlfn.XLOOKUP(B16,'Limite de crédito'!C:C,'Limite de crédito'!G:G,0)</f>
        <v>2500000</v>
      </c>
      <c r="F16" s="18">
        <f t="shared" si="3"/>
        <v>2362915.9</v>
      </c>
      <c r="G16" s="18">
        <f t="shared" si="4"/>
        <v>137084.1</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137084.1</v>
      </c>
      <c r="Q16" s="19">
        <f>SUMIFS('Data Additive'!$D:$D,'Data Additive'!$P:$P,'Painel Additive'!$B16,'Data Additive'!$Q:$Q,"&lt;=0",'Data Additive'!$Q:$Q,"&gt;=-30")</f>
        <v>137084.1</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2362915.9</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294</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421</v>
      </c>
      <c r="C19" s="224" t="str">
        <f>IFERROR(_xlfn.XLOOKUP(B19,'Limite de crédito'!C:C,'Limite de crédito'!L:L,),0)</f>
        <v>B</v>
      </c>
      <c r="D19" s="93"/>
      <c r="E19" s="18">
        <f>_xlfn.XLOOKUP(B19,'Limite de crédito'!C:C,'Limite de crédito'!G:G,0)</f>
        <v>1500000</v>
      </c>
      <c r="F19" s="18">
        <f t="shared" si="3"/>
        <v>1400215</v>
      </c>
      <c r="G19" s="18">
        <f t="shared" si="4"/>
        <v>99785</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99785</v>
      </c>
      <c r="Q19" s="19">
        <f>SUMIFS('Data Additive'!$D:$D,'Data Additive'!$P:$P,'Painel Additive'!$B19,'Data Additive'!$Q:$Q,"&lt;=0",'Data Additive'!$Q:$Q,"&gt;=-30")</f>
        <v>99785</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650215</v>
      </c>
    </row>
    <row r="20" spans="2:34" x14ac:dyDescent="0.25">
      <c r="B20" s="41" t="s">
        <v>425</v>
      </c>
      <c r="C20" s="224" t="str">
        <f>IFERROR(_xlfn.XLOOKUP(B20,'Limite de crédito'!C:C,'Limite de crédito'!L:L,),0)</f>
        <v>B</v>
      </c>
      <c r="D20" s="93"/>
      <c r="E20" s="18">
        <f>_xlfn.XLOOKUP(B20,'Limite de crédito'!C:C,'Limite de crédito'!G:G,0)</f>
        <v>1500000</v>
      </c>
      <c r="F20" s="18">
        <f t="shared" si="3"/>
        <v>1332536</v>
      </c>
      <c r="G20" s="18">
        <f t="shared" si="4"/>
        <v>167464</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167464</v>
      </c>
      <c r="Q20" s="19">
        <f>SUMIFS('Data Additive'!$D:$D,'Data Additive'!$P:$P,'Painel Additive'!$B20,'Data Additive'!$Q:$Q,"&lt;=0",'Data Additive'!$Q:$Q,"&gt;=-30")</f>
        <v>167464</v>
      </c>
      <c r="R20" s="19">
        <f>SUMIFS('Data Additive'!$D:$D,'Data Additive'!$P:$P,'Painel Additive'!$B20,'Data Additive'!$Q:$Q,"&lt;=-31",'Data Additive'!$Q:$Q,"&gt;=-60")</f>
        <v>0</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1332536</v>
      </c>
    </row>
    <row r="21" spans="2:34" x14ac:dyDescent="0.25">
      <c r="B21" s="17" t="s">
        <v>90</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168</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156</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290</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x14ac:dyDescent="0.25">
      <c r="B25" s="120" t="s">
        <v>422</v>
      </c>
      <c r="C25" s="224">
        <f>IFERROR(_xlfn.XLOOKUP(B25,'Limite de crédito'!C:C,'Limite de crédito'!L:L,),0)</f>
        <v>0</v>
      </c>
      <c r="D25" s="127"/>
      <c r="E25" s="18">
        <f>_xlfn.XLOOKUP(B25,'Limite de crédito'!C:C,'Limite de crédito'!G:G,0)</f>
        <v>0</v>
      </c>
      <c r="F25" s="121">
        <f t="shared" si="3"/>
        <v>-20401.599999999999</v>
      </c>
      <c r="G25" s="121">
        <f t="shared" si="4"/>
        <v>20401.599999999999</v>
      </c>
      <c r="H25" s="122">
        <f>SUMIFS('Data Additive'!$D:$D,'Data Additive'!$P:$P,'Painel Additive'!$B25,'Data Additive'!$Q:$Q,"&gt;0",'Data Additive'!$Q:$Q,"&lt;=30")</f>
        <v>10200.799999999999</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10200.799999999999</v>
      </c>
      <c r="P25" s="122">
        <f t="shared" si="5"/>
        <v>10200.799999999999</v>
      </c>
      <c r="Q25" s="122">
        <f>SUMIFS('Data Additive'!$D:$D,'Data Additive'!$P:$P,'Painel Additive'!$B25,'Data Additive'!$Q:$Q,"&lt;=0",'Data Additive'!$Q:$Q,"&gt;=-30")</f>
        <v>10200.799999999999</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-20401.599999999999</v>
      </c>
    </row>
    <row r="26" spans="2:34" x14ac:dyDescent="0.25">
      <c r="B26" s="120" t="s">
        <v>566</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489</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418</v>
      </c>
      <c r="C28" s="224" t="str">
        <f>IFERROR(_xlfn.XLOOKUP(B28,'Limite de crédito'!C:C,'Limite de crédito'!L:L,),0)</f>
        <v>B</v>
      </c>
      <c r="D28" s="93"/>
      <c r="E28" s="18">
        <f>_xlfn.XLOOKUP(B28,'Limite de crédito'!C:C,'Limite de crédito'!G:G,0)</f>
        <v>2000000</v>
      </c>
      <c r="F28" s="18">
        <f t="shared" si="6"/>
        <v>1997660</v>
      </c>
      <c r="G28" s="18">
        <f t="shared" si="7"/>
        <v>2340</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2340</v>
      </c>
      <c r="Q28" s="19">
        <f>SUMIFS('Data Additive'!$D:$D,'Data Additive'!$P:$P,'Painel Additive'!$B28,'Data Additive'!$Q:$Q,"&lt;=0",'Data Additive'!$Q:$Q,"&gt;=-30")</f>
        <v>2340</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1997660</v>
      </c>
    </row>
    <row r="29" spans="2:34" x14ac:dyDescent="0.25">
      <c r="B29" s="120" t="s">
        <v>153</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154</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493</v>
      </c>
      <c r="C31" s="224">
        <f>IFERROR(_xlfn.XLOOKUP(B31,'Limite de crédito'!C:C,'Limite de crédito'!L:L,),0)</f>
        <v>0</v>
      </c>
      <c r="D31" s="93"/>
      <c r="E31" s="18">
        <f>_xlfn.XLOOKUP(B31,'Limite de crédito'!C:C,'Limite de crédito'!G:G,0)</f>
        <v>500000</v>
      </c>
      <c r="F31" s="18">
        <f t="shared" si="6"/>
        <v>500000</v>
      </c>
      <c r="G31" s="18">
        <f t="shared" si="7"/>
        <v>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0</v>
      </c>
      <c r="Q31" s="19">
        <f>SUMIFS('Data Additive'!$D:$D,'Data Additive'!$P:$P,'Painel Additive'!$B31,'Data Additive'!$Q:$Q,"&lt;=0",'Data Additive'!$Q:$Q,"&gt;=-30")</f>
        <v>0</v>
      </c>
      <c r="R31" s="19">
        <f>SUMIFS('Data Additive'!$D:$D,'Data Additive'!$P:$P,'Painel Additive'!$B31,'Data Additive'!$Q:$Q,"&lt;=-31",'Data Additive'!$Q:$Q,"&gt;=-60")</f>
        <v>0</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0</v>
      </c>
    </row>
    <row r="32" spans="2:34" s="119" customFormat="1" x14ac:dyDescent="0.25">
      <c r="B32" s="120" t="s">
        <v>91</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146</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143</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152</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149</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158</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155</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145</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175</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273</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383</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137</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265</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309</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2608920</v>
      </c>
      <c r="G46" s="18">
        <f t="shared" si="7"/>
        <v>391080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391080</v>
      </c>
      <c r="Q46" s="19">
        <f>SUMIFS('Data Additive'!$D:$D,'Data Additive'!$P:$P,'Painel Additive'!$B46,'Data Additive'!$Q:$Q,"&lt;=0",'Data Additive'!$Q:$Q,"&gt;=-30")</f>
        <v>391080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2608920</v>
      </c>
      <c r="AH46" s="5"/>
    </row>
    <row r="47" spans="2:34" x14ac:dyDescent="0.25">
      <c r="B47" s="17" t="s">
        <v>120</v>
      </c>
      <c r="C47" s="224">
        <f>IFERROR(_xlfn.XLOOKUP(B47,'Limite de crédito'!C:C,'Limite de crédito'!L:L,),0)</f>
        <v>0</v>
      </c>
      <c r="D47" s="93"/>
      <c r="E47" s="18">
        <f>_xlfn.XLOOKUP(B47,'Limite de crédito'!C:C,'Limite de crédito'!G:G,0)</f>
        <v>2500000</v>
      </c>
      <c r="F47" s="18">
        <f t="shared" ref="F47" si="8">E47-G47</f>
        <v>1701844.3</v>
      </c>
      <c r="G47" s="18">
        <f t="shared" ref="G47" si="9">P47+O47</f>
        <v>798155.7</v>
      </c>
      <c r="H47" s="19">
        <f>SUMIFS('Data Additive'!$D:$D,'Data Additive'!$P:$P,'Painel Additive'!$B47,'Data Additive'!$Q:$Q,"&gt;0",'Data Additive'!$Q:$Q,"&lt;=30")</f>
        <v>0</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0</v>
      </c>
      <c r="P47" s="19">
        <f t="shared" si="5"/>
        <v>798155.7</v>
      </c>
      <c r="Q47" s="19">
        <f>SUMIFS('Data Additive'!$D:$D,'Data Additive'!$P:$P,'Painel Additive'!$B47,'Data Additive'!$Q:$Q,"&lt;=0",'Data Additive'!$Q:$Q,"&gt;=-30")</f>
        <v>798155.7</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-798155.7</v>
      </c>
      <c r="AH47" s="5"/>
    </row>
    <row r="48" spans="2:34" x14ac:dyDescent="0.25">
      <c r="B48" s="41" t="s">
        <v>490</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496</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100</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532</v>
      </c>
      <c r="C51" s="224">
        <f>IFERROR(_xlfn.XLOOKUP(B51,'Limite de crédito'!C:C,'Limite de crédito'!L:L,),0)</f>
        <v>0</v>
      </c>
      <c r="D51" s="93"/>
      <c r="E51" s="18">
        <f>_xlfn.XLOOKUP(B51,'Limite de crédito'!C:C,'Limite de crédito'!G:G,0)</f>
        <v>10000000</v>
      </c>
      <c r="F51" s="18">
        <f t="shared" ref="F51" si="14">E51-G51</f>
        <v>9591951.8000000007</v>
      </c>
      <c r="G51" s="18">
        <f t="shared" ref="G51" si="15">P51+O51</f>
        <v>408048.2</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408048.2</v>
      </c>
      <c r="Q51" s="19">
        <f>SUMIFS('Data Additive'!$D:$D,'Data Additive'!$P:$P,'Painel Additive'!$B51,'Data Additive'!$Q:$Q,"&lt;=0",'Data Additive'!$Q:$Q,"&gt;=-30")</f>
        <v>408048.2</v>
      </c>
      <c r="R51" s="19">
        <f>SUMIFS('Data Additive'!$D:$D,'Data Additive'!$P:$P,'Painel Additive'!$B51,'Data Additive'!$Q:$Q,"&lt;=-31",'Data Additive'!$Q:$Q,"&gt;=-60")</f>
        <v>0</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-408048.2</v>
      </c>
    </row>
    <row r="52" spans="2:33" ht="13.95" customHeight="1" x14ac:dyDescent="0.25">
      <c r="B52" s="41" t="s">
        <v>530</v>
      </c>
      <c r="C52" s="224" t="str">
        <f>IFERROR(_xlfn.XLOOKUP(B52,'Limite de crédito'!C:C,'Limite de crédito'!L:L,),0)</f>
        <v>B</v>
      </c>
      <c r="D52" s="93"/>
      <c r="E52" s="18">
        <f>_xlfn.XLOOKUP(B52,'Limite de crédito'!C:C,'Limite de crédito'!G:G,0)</f>
        <v>3000000</v>
      </c>
      <c r="F52" s="18">
        <f t="shared" ref="F52" si="16">E52-G52</f>
        <v>2804928.39</v>
      </c>
      <c r="G52" s="18">
        <f t="shared" ref="G52" si="17">P52+O52</f>
        <v>195071.61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195071.61</v>
      </c>
      <c r="Q52" s="19">
        <f>SUMIFS('Data Additive'!$D:$D,'Data Additive'!$P:$P,'Painel Additive'!$B52,'Data Additive'!$Q:$Q,"&lt;=0",'Data Additive'!$Q:$Q,"&gt;=-30")</f>
        <v>98301.6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-195071.61</v>
      </c>
    </row>
    <row r="53" spans="2:33" ht="13.95" customHeight="1" x14ac:dyDescent="0.25">
      <c r="B53" s="41" t="s">
        <v>531</v>
      </c>
      <c r="C53" s="224" t="str">
        <f>IFERROR(_xlfn.XLOOKUP(B53,'Limite de crédito'!C:C,'Limite de crédito'!L:L,),0)</f>
        <v>B</v>
      </c>
      <c r="D53" s="93"/>
      <c r="E53" s="18">
        <f>_xlfn.XLOOKUP(B53,'Limite de crédito'!C:C,'Limite de crédito'!G:G,0)</f>
        <v>10000000</v>
      </c>
      <c r="F53" s="18">
        <f t="shared" ref="F53" si="18">E53-G53</f>
        <v>4392219.7</v>
      </c>
      <c r="G53" s="18">
        <f t="shared" ref="G53" si="19">P53+O53</f>
        <v>5607780.2999999998</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5607780.2999999998</v>
      </c>
      <c r="Q53" s="19">
        <f>SUMIFS('Data Additive'!$D:$D,'Data Additive'!$P:$P,'Painel Additive'!$B53,'Data Additive'!$Q:$Q,"&lt;=0",'Data Additive'!$Q:$Q,"&gt;=-30")</f>
        <v>909427.19999999995</v>
      </c>
      <c r="R53" s="19">
        <f>SUMIFS('Data Additive'!$D:$D,'Data Additive'!$P:$P,'Painel Additive'!$B53,'Data Additive'!$Q:$Q,"&lt;=-31",'Data Additive'!$Q:$Q,"&gt;=-60")</f>
        <v>1601211.3</v>
      </c>
      <c r="S53" s="19">
        <f>SUMIFS('Data Additive'!$D:$D,'Data Additive'!$P:$P,'Painel Additive'!$B53,'Data Additive'!$Q:$Q,"&lt;=-61",'Data Additive'!$Q:$Q,"&gt;=-90")</f>
        <v>2751225.8999999994</v>
      </c>
      <c r="T53" s="19">
        <f>SUMIFS('Data Additive'!$D:$D,'Data Additive'!$P:$P,'Painel Additive'!$B53,'Data Additive'!$Q:$Q,"&lt;=-91",'Data Additive'!$Q:$Q,"&gt;=-120")</f>
        <v>345915.9</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4392219.7</v>
      </c>
    </row>
    <row r="54" spans="2:33" ht="13.95" customHeight="1" x14ac:dyDescent="0.25">
      <c r="B54" s="41" t="s">
        <v>89</v>
      </c>
      <c r="C54" s="224" t="str">
        <f>IFERROR(_xlfn.XLOOKUP(B54,'Limite de crédito'!C:C,'Limite de crédito'!L:L,),0)</f>
        <v>B</v>
      </c>
      <c r="D54" s="93"/>
      <c r="E54" s="18">
        <f>_xlfn.XLOOKUP(B54,'Limite de crédito'!C:C,'Limite de crédito'!G:G,0)</f>
        <v>200000</v>
      </c>
      <c r="F54" s="18">
        <f t="shared" ref="F54" si="20">E54-G54</f>
        <v>116801.3</v>
      </c>
      <c r="G54" s="18">
        <f t="shared" ref="G54" si="21">P54+O54</f>
        <v>83198.7</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83198.7</v>
      </c>
      <c r="Q54" s="19">
        <f>SUMIFS('Data Additive'!$D:$D,'Data Additive'!$P:$P,'Painel Additive'!$B54,'Data Additive'!$Q:$Q,"&lt;=0",'Data Additive'!$Q:$Q,"&gt;=-30")</f>
        <v>83198.7</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116801.3</v>
      </c>
    </row>
    <row r="55" spans="2:33" ht="13.95" customHeight="1" x14ac:dyDescent="0.25">
      <c r="B55" s="41" t="s">
        <v>166</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303</v>
      </c>
      <c r="C56" s="224" t="str">
        <f>IFERROR(_xlfn.XLOOKUP(B56,'Limite de crédito'!C:C,'Limite de crédito'!L:L,),0)</f>
        <v>B</v>
      </c>
      <c r="D56" s="93"/>
      <c r="E56" s="18">
        <f>_xlfn.XLOOKUP(B56,'Limite de crédito'!C:C,'Limite de crédito'!G:G,0)</f>
        <v>300000</v>
      </c>
      <c r="F56" s="18">
        <f t="shared" si="22"/>
        <v>212860.5</v>
      </c>
      <c r="G56" s="18">
        <f t="shared" si="23"/>
        <v>87139.5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87139.5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43569.75</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212860.5</v>
      </c>
    </row>
    <row r="57" spans="2:33" ht="13.95" customHeight="1" x14ac:dyDescent="0.25">
      <c r="B57" s="41" t="s">
        <v>252</v>
      </c>
      <c r="C57" s="224">
        <f>IFERROR(_xlfn.XLOOKUP(B57,'Limite de crédito'!C:C,'Limite de crédito'!L:L,),0)</f>
        <v>0</v>
      </c>
      <c r="D57" s="93"/>
      <c r="E57" s="18">
        <f>_xlfn.XLOOKUP(B57,'Limite de crédito'!C:C,'Limite de crédito'!G:G,0)</f>
        <v>0</v>
      </c>
      <c r="F57" s="18">
        <f t="shared" si="22"/>
        <v>-66308</v>
      </c>
      <c r="G57" s="18">
        <f t="shared" si="23"/>
        <v>66308</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66308</v>
      </c>
      <c r="Q57" s="19">
        <f>SUMIFS('Data Additive'!$D:$D,'Data Additive'!$P:$P,'Painel Additive'!$B57,'Data Additive'!$Q:$Q,"&lt;=0",'Data Additive'!$Q:$Q,"&gt;=-30")</f>
        <v>66308</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-66308</v>
      </c>
    </row>
    <row r="58" spans="2:33" ht="13.95" customHeight="1" x14ac:dyDescent="0.25">
      <c r="B58" s="41" t="s">
        <v>537</v>
      </c>
      <c r="C58" s="224">
        <f>IFERROR(_xlfn.XLOOKUP(B58,'Limite de crédito'!C:C,'Limite de crédito'!L:L,),0)</f>
        <v>0</v>
      </c>
      <c r="D58" s="93"/>
      <c r="E58" s="18">
        <f>_xlfn.XLOOKUP(B58,'Limite de crédito'!C:C,'Limite de crédito'!G:G,0)</f>
        <v>0</v>
      </c>
      <c r="F58" s="18">
        <f t="shared" si="22"/>
        <v>-200</v>
      </c>
      <c r="G58" s="18">
        <f t="shared" si="23"/>
        <v>200</v>
      </c>
      <c r="H58" s="19">
        <f>SUMIFS('Data Additive'!$D:$D,'Data Additive'!$P:$P,'Painel Additive'!$B58,'Data Additive'!$Q:$Q,"&gt;0",'Data Additive'!$Q:$Q,"&lt;=30")</f>
        <v>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0</v>
      </c>
      <c r="P58" s="19">
        <f t="shared" si="24"/>
        <v>200</v>
      </c>
      <c r="Q58" s="19">
        <f>SUMIFS('Data Additive'!$D:$D,'Data Additive'!$P:$P,'Painel Additive'!$B58,'Data Additive'!$Q:$Q,"&lt;=0",'Data Additive'!$Q:$Q,"&gt;=-30")</f>
        <v>200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-200</v>
      </c>
    </row>
    <row r="59" spans="2:33" ht="13.95" customHeight="1" x14ac:dyDescent="0.25">
      <c r="B59" s="41" t="s">
        <v>550</v>
      </c>
      <c r="C59" s="224" t="str">
        <f>IFERROR(_xlfn.XLOOKUP(B59,'Limite de crédito'!C:C,'Limite de crédito'!L:L,),0)</f>
        <v>B</v>
      </c>
      <c r="D59" s="93"/>
      <c r="E59" s="18">
        <f>_xlfn.XLOOKUP(B59,'Limite de crédito'!C:C,'Limite de crédito'!G:G,0)</f>
        <v>200000</v>
      </c>
      <c r="F59" s="18">
        <f t="shared" ref="F59" si="25">E59-G59</f>
        <v>51461.080000000016</v>
      </c>
      <c r="G59" s="18">
        <f t="shared" ref="G59" si="26">P59+O59</f>
        <v>148538.91999999998</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148538.91999999998</v>
      </c>
      <c r="Q59" s="19">
        <f>SUMIFS('Data Additive'!$D:$D,'Data Additive'!$P:$P,'Painel Additive'!$B59,'Data Additive'!$Q:$Q,"&lt;=0",'Data Additive'!$Q:$Q,"&gt;=-30")</f>
        <v>49512.97</v>
      </c>
      <c r="R59" s="19">
        <f>SUMIFS('Data Additive'!$D:$D,'Data Additive'!$P:$P,'Painel Additive'!$B59,'Data Additive'!$Q:$Q,"&lt;=-31",'Data Additive'!$Q:$Q,"&gt;=-60")</f>
        <v>49512.97</v>
      </c>
      <c r="S59" s="19">
        <f>SUMIFS('Data Additive'!$D:$D,'Data Additive'!$P:$P,'Painel Additive'!$B59,'Data Additive'!$Q:$Q,"&lt;=-61",'Data Additive'!$Q:$Q,"&gt;=-90")</f>
        <v>49512.979999999996</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51461.080000000016</v>
      </c>
    </row>
    <row r="60" spans="2:33" ht="13.95" customHeight="1" x14ac:dyDescent="0.25">
      <c r="B60" s="41" t="s">
        <v>106</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302</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272</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555</v>
      </c>
      <c r="C63" s="224">
        <f>IFERROR(_xlfn.XLOOKUP(B63,'Limite de crédito'!C:C,'Limite de crédito'!L:L,),0)</f>
        <v>0</v>
      </c>
      <c r="D63" s="93"/>
      <c r="E63" s="18">
        <f>_xlfn.XLOOKUP(B63,'Limite de crédito'!C:C,'Limite de crédito'!G:G,0)</f>
        <v>1000000</v>
      </c>
      <c r="F63" s="18">
        <f t="shared" ref="F63" si="37">E63-G63</f>
        <v>933260</v>
      </c>
      <c r="G63" s="18">
        <f t="shared" ref="G63" si="38">P63+O63</f>
        <v>66740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66740</v>
      </c>
      <c r="Q63" s="19">
        <f>SUMIFS('Data Additive'!$D:$D,'Data Additive'!$P:$P,'Painel Additive'!$B63,'Data Additive'!$Q:$Q,"&lt;=0",'Data Additive'!$Q:$Q,"&gt;=-30")</f>
        <v>66740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933260</v>
      </c>
    </row>
    <row r="64" spans="2:33" x14ac:dyDescent="0.25">
      <c r="B64" s="41" t="s">
        <v>176</v>
      </c>
      <c r="C64" s="224" t="str">
        <f>IFERROR(_xlfn.XLOOKUP(B64,'Limite de crédito'!C:C,'Limite de crédito'!L:L,),0)</f>
        <v>B</v>
      </c>
      <c r="D64" s="93"/>
      <c r="E64" s="18">
        <f>_xlfn.XLOOKUP(B64,'Limite de crédito'!C:C,'Limite de crédito'!G:G,0)</f>
        <v>1000000</v>
      </c>
      <c r="F64" s="18">
        <f t="shared" ref="F64:F67" si="40">E64-G64</f>
        <v>1000000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1000000</v>
      </c>
      <c r="AB64" s="19"/>
      <c r="AC64" s="20"/>
      <c r="AD64" s="22"/>
      <c r="AE64" s="22"/>
      <c r="AF64" s="5"/>
      <c r="AG64" s="105">
        <f t="shared" si="2"/>
        <v>1000000</v>
      </c>
    </row>
    <row r="65" spans="2:33" x14ac:dyDescent="0.25">
      <c r="B65" s="41" t="s">
        <v>568</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572</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573</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577</v>
      </c>
      <c r="C68" s="224" t="str">
        <f>IFERROR(_xlfn.XLOOKUP(B68,'Limite de crédito'!C:C,'Limite de crédito'!L:L,),0)</f>
        <v>B</v>
      </c>
      <c r="D68" s="93"/>
      <c r="E68" s="18">
        <f>_xlfn.XLOOKUP(B68,'Limite de crédito'!C:C,'Limite de crédito'!G:G,0)</f>
        <v>3000000</v>
      </c>
      <c r="F68" s="18">
        <f t="shared" ref="F68" si="43">E68-G68</f>
        <v>2026793.17</v>
      </c>
      <c r="G68" s="18">
        <f t="shared" ref="G68" si="44">P68+O68</f>
        <v>973206.83000000007</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973206.83000000007</v>
      </c>
      <c r="Q68" s="19">
        <f>SUMIFS('Data Additive'!$D:$D,'Data Additive'!$P:$P,'Painel Additive'!$B68,'Data Additive'!$Q:$Q,"&lt;=0",'Data Additive'!$Q:$Q,"&gt;=-30")</f>
        <v>973206.83000000007</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2026793.17</v>
      </c>
    </row>
    <row r="69" spans="2:33" x14ac:dyDescent="0.25">
      <c r="B69" s="41" t="s">
        <v>576</v>
      </c>
      <c r="C69" s="224" t="str">
        <f>IFERROR(_xlfn.XLOOKUP(B69,'Limite de crédito'!C:C,'Limite de crédito'!L:L,),0)</f>
        <v>B</v>
      </c>
      <c r="D69" s="93"/>
      <c r="E69" s="18">
        <f>_xlfn.XLOOKUP(B69,'Limite de crédito'!C:C,'Limite de crédito'!G:G,0)</f>
        <v>1500000</v>
      </c>
      <c r="F69" s="18">
        <f t="shared" ref="F69" si="47">E69-G69</f>
        <v>888356.40000000014</v>
      </c>
      <c r="G69" s="18">
        <f t="shared" ref="G69" si="48">P69+O69</f>
        <v>611643.59999999986</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611643.59999999986</v>
      </c>
      <c r="Q69" s="19">
        <f>SUMIFS('Data Additive'!$D:$D,'Data Additive'!$P:$P,'Painel Additive'!$B69,'Data Additive'!$Q:$Q,"&lt;=0",'Data Additive'!$Q:$Q,"&gt;=-30")</f>
        <v>611643.59999999986</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888356.40000000014</v>
      </c>
    </row>
    <row r="70" spans="2:33" x14ac:dyDescent="0.25">
      <c r="B70" s="41" t="s">
        <v>578</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579</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580</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617</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258</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618</v>
      </c>
      <c r="C75" s="224" t="str">
        <f>IFERROR(_xlfn.XLOOKUP(B75,'Limite de crédito'!C:C,'Limite de crédito'!L:L,),0)</f>
        <v>B</v>
      </c>
      <c r="D75" s="93"/>
      <c r="E75" s="18">
        <f>_xlfn.XLOOKUP(B75,'Limite de crédito'!C:C,'Limite de crédito'!G:G,0)</f>
        <v>700000</v>
      </c>
      <c r="F75" s="18">
        <f t="shared" ref="F75" si="62">E75-G75</f>
        <v>199110</v>
      </c>
      <c r="G75" s="18">
        <f t="shared" ref="G75" si="63">P75+O75</f>
        <v>500890</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500890</v>
      </c>
      <c r="Q75" s="19">
        <f>SUMIFS('Data Additive'!$D:$D,'Data Additive'!$P:$P,'Painel Additive'!$B75,'Data Additive'!$Q:$Q,"&lt;=0",'Data Additive'!$Q:$Q,"&gt;=-30")</f>
        <v>288975</v>
      </c>
      <c r="R75" s="19">
        <f>SUMIFS('Data Additive'!$D:$D,'Data Additive'!$P:$P,'Painel Additive'!$B75,'Data Additive'!$Q:$Q,"&lt;=-31",'Data Additive'!$Q:$Q,"&gt;=-60")</f>
        <v>134855</v>
      </c>
      <c r="S75" s="19">
        <f>SUMIFS('Data Additive'!$D:$D,'Data Additive'!$P:$P,'Painel Additive'!$B75,'Data Additive'!$Q:$Q,"&lt;=-61",'Data Additive'!$Q:$Q,"&gt;=-90")</f>
        <v>77060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199110</v>
      </c>
    </row>
    <row r="76" spans="2:33" x14ac:dyDescent="0.25">
      <c r="B76" s="41" t="s">
        <v>605</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296</v>
      </c>
      <c r="C77" s="224" t="str">
        <f>IFERROR(_xlfn.XLOOKUP(B77,'Limite de crédito'!C:C,'Limite de crédito'!L:L,),0)</f>
        <v>B</v>
      </c>
      <c r="D77" s="93"/>
      <c r="E77" s="18">
        <f>_xlfn.XLOOKUP(B77,'Limite de crédito'!C:C,'Limite de crédito'!G:G,0)</f>
        <v>800000</v>
      </c>
      <c r="F77" s="18">
        <f t="shared" ref="F77" si="68">E77-G77</f>
        <v>725978.6</v>
      </c>
      <c r="G77" s="18">
        <f t="shared" ref="G77" si="69">P77+O77</f>
        <v>74021.399999999994</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74021.399999999994</v>
      </c>
      <c r="Q77" s="19">
        <f>SUMIFS('Data Additive'!$D:$D,'Data Additive'!$P:$P,'Painel Additive'!$B77,'Data Additive'!$Q:$Q,"&lt;=0",'Data Additive'!$Q:$Q,"&gt;=-30")</f>
        <v>74021.399999999994</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725978.6</v>
      </c>
    </row>
    <row r="78" spans="2:33" x14ac:dyDescent="0.25">
      <c r="B78" s="41" t="s">
        <v>620</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621</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430</v>
      </c>
      <c r="C80" s="224" t="str">
        <f>IFERROR(_xlfn.XLOOKUP(B80,'Limite de crédito'!C:C,'Limite de crédito'!L:L,),0)</f>
        <v>B</v>
      </c>
      <c r="D80" s="93"/>
      <c r="E80" s="18">
        <f>_xlfn.XLOOKUP(B80,'Limite de crédito'!C:C,'Limite de crédito'!G:G,0)</f>
        <v>1000000</v>
      </c>
      <c r="F80" s="18">
        <f t="shared" ref="F80" si="77">E80-G80</f>
        <v>479896</v>
      </c>
      <c r="G80" s="18">
        <f t="shared" ref="G80" si="78">P80+O80</f>
        <v>520104</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520104</v>
      </c>
      <c r="Q80" s="19">
        <f>SUMIFS('Data Additive'!$D:$D,'Data Additive'!$P:$P,'Painel Additive'!$B80,'Data Additive'!$Q:$Q,"&lt;=0",'Data Additive'!$Q:$Q,"&gt;=-30")</f>
        <v>335064</v>
      </c>
      <c r="R80" s="19">
        <f>SUMIFS('Data Additive'!$D:$D,'Data Additive'!$P:$P,'Painel Additive'!$B80,'Data Additive'!$Q:$Q,"&lt;=-31",'Data Additive'!$Q:$Q,"&gt;=-60")</f>
        <v>0</v>
      </c>
      <c r="S80" s="19">
        <f>SUMIFS('Data Additive'!$D:$D,'Data Additive'!$P:$P,'Painel Additive'!$B80,'Data Additive'!$Q:$Q,"&lt;=-61",'Data Additive'!$Q:$Q,"&gt;=-90")</f>
        <v>0</v>
      </c>
      <c r="T80" s="19">
        <f>SUMIFS('Data Additive'!$D:$D,'Data Additive'!$P:$P,'Painel Additive'!$B80,'Data Additive'!$Q:$Q,"&lt;=-91",'Data Additive'!$Q:$Q,"&gt;=-120")</f>
        <v>185040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479896</v>
      </c>
    </row>
    <row r="81" spans="2:33" x14ac:dyDescent="0.25">
      <c r="B81" s="41" t="s">
        <v>464</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656</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658</v>
      </c>
      <c r="C83" s="224" t="str">
        <f>IFERROR(_xlfn.XLOOKUP(B83,'Limite de crédito'!C:C,'Limite de crédito'!L:L,),0)</f>
        <v>B</v>
      </c>
      <c r="D83" s="93"/>
      <c r="E83" s="18">
        <f>_xlfn.XLOOKUP(B83,'Limite de crédito'!C:C,'Limite de crédito'!G:G,0)</f>
        <v>1000000</v>
      </c>
      <c r="F83" s="18">
        <f t="shared" ref="F83" si="87">E83-G83</f>
        <v>897075</v>
      </c>
      <c r="G83" s="18">
        <f t="shared" ref="G83" si="88">P83+O83</f>
        <v>102925</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3393</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3393</v>
      </c>
      <c r="P83" s="19">
        <f t="shared" ref="P83" si="89">SUM(Q83:W83)</f>
        <v>99532</v>
      </c>
      <c r="Q83" s="19">
        <f>SUMIFS('Data Additive'!$D:$D,'Data Additive'!$P:$P,'Painel Additive'!$B83,'Data Additive'!$Q:$Q,"&lt;=0",'Data Additive'!$Q:$Q,"&gt;=-30")</f>
        <v>99532</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101.78999999999999</v>
      </c>
      <c r="Y83" s="5"/>
      <c r="Z83" s="5"/>
      <c r="AA83" s="19">
        <f>IFERROR(_xlfn.XLOOKUP(B83,'Limite de crédito'!C:C,'Limite de crédito'!O:O,),0)</f>
        <v>1500000</v>
      </c>
      <c r="AB83" s="19"/>
      <c r="AC83" s="20"/>
      <c r="AD83" s="22"/>
      <c r="AE83" s="22"/>
      <c r="AF83" s="5"/>
      <c r="AG83" s="105">
        <f t="shared" si="83"/>
        <v>1397075</v>
      </c>
    </row>
    <row r="84" spans="2:33" x14ac:dyDescent="0.25">
      <c r="B84" s="41" t="s">
        <v>94</v>
      </c>
      <c r="C84" s="224" t="str">
        <f>IFERROR(_xlfn.XLOOKUP(B84,'Limite de crédito'!C:C,'Limite de crédito'!L:L,),0)</f>
        <v>B</v>
      </c>
      <c r="D84" s="93"/>
      <c r="E84" s="18">
        <f>_xlfn.XLOOKUP(B84,'Limite de crédito'!C:C,'Limite de crédito'!G:G,0)</f>
        <v>100000</v>
      </c>
      <c r="F84" s="18">
        <f t="shared" ref="F84" si="90">E84-G84</f>
        <v>71555.5</v>
      </c>
      <c r="G84" s="18">
        <f t="shared" ref="G84" si="91">P84+O84</f>
        <v>28444.5</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28444.5</v>
      </c>
      <c r="Q84" s="19">
        <f>SUMIFS('Data Additive'!$D:$D,'Data Additive'!$P:$P,'Painel Additive'!$B84,'Data Additive'!$Q:$Q,"&lt;=0",'Data Additive'!$Q:$Q,"&gt;=-30")</f>
        <v>28444.5</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71555.5</v>
      </c>
    </row>
    <row r="85" spans="2:33" x14ac:dyDescent="0.25">
      <c r="B85" s="41" t="s">
        <v>657</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95</v>
      </c>
      <c r="C86" s="224">
        <f>IFERROR(_xlfn.XLOOKUP(B86,'Limite de crédito'!C:C,'Limite de crédito'!L:L,),0)</f>
        <v>0</v>
      </c>
      <c r="D86" s="93"/>
      <c r="E86" s="18">
        <f>_xlfn.XLOOKUP(B86,'Limite de crédito'!C:C,'Limite de crédito'!G:G,0)</f>
        <v>0</v>
      </c>
      <c r="F86" s="18">
        <f t="shared" ref="F86" si="96">E86-G86</f>
        <v>-52840</v>
      </c>
      <c r="G86" s="18">
        <f t="shared" ref="G86" si="97">P86+O86</f>
        <v>52840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52840</v>
      </c>
      <c r="Q86" s="19">
        <f>SUMIFS('Data Additive'!$D:$D,'Data Additive'!$P:$P,'Painel Additive'!$B86,'Data Additive'!$Q:$Q,"&lt;=0",'Data Additive'!$Q:$Q,"&gt;=-30")</f>
        <v>52840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-52840</v>
      </c>
    </row>
    <row r="87" spans="2:33" x14ac:dyDescent="0.25">
      <c r="B87" s="41" t="s">
        <v>606</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597</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683</v>
      </c>
      <c r="C89" s="224" t="str">
        <f>IFERROR(_xlfn.XLOOKUP(B89,'Limite de crédito'!C:C,'Limite de crédito'!L:L,),0)</f>
        <v>B</v>
      </c>
      <c r="D89" s="93"/>
      <c r="E89" s="18">
        <f>_xlfn.XLOOKUP(B89,'Limite de crédito'!C:C,'Limite de crédito'!G:G,0)</f>
        <v>1500000</v>
      </c>
      <c r="F89" s="18">
        <f t="shared" ref="F89" si="107">E89-G89</f>
        <v>1172742.1000000001</v>
      </c>
      <c r="G89" s="18">
        <f t="shared" ref="G89" si="108">P89+O89</f>
        <v>327257.90000000002</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327257.90000000002</v>
      </c>
      <c r="Q89" s="19">
        <f>SUMIFS('Data Additive'!$D:$D,'Data Additive'!$P:$P,'Painel Additive'!$B89,'Data Additive'!$Q:$Q,"&lt;=0",'Data Additive'!$Q:$Q,"&gt;=-30")</f>
        <v>0</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327257.90000000002</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1172742.1000000001</v>
      </c>
    </row>
    <row r="90" spans="2:33" x14ac:dyDescent="0.25">
      <c r="B90" s="41" t="s">
        <v>688</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323</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333</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701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703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415</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359</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117</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713</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716</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726</v>
      </c>
      <c r="C100" s="224" t="str">
        <f>IFERROR(_xlfn.XLOOKUP(B100,'Limite de crédito'!C:C,'Limite de crédito'!L:L,),0)</f>
        <v>B</v>
      </c>
      <c r="D100" s="93"/>
      <c r="E100" s="18">
        <f>_xlfn.XLOOKUP(B100,'Limite de crédito'!C:C,'Limite de crédito'!G:G,0)</f>
        <v>3500000</v>
      </c>
      <c r="F100" s="18">
        <f t="shared" ref="F100" si="138">E100-G100</f>
        <v>3338621</v>
      </c>
      <c r="G100" s="18">
        <f t="shared" ref="G100" si="139">P100+O100</f>
        <v>161379</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161379</v>
      </c>
      <c r="Q100" s="19">
        <f>SUMIFS('Data Additive'!$D:$D,'Data Additive'!$P:$P,'Painel Additive'!$B100,'Data Additive'!$Q:$Q,"&lt;=0",'Data Additive'!$Q:$Q,"&gt;=-30")</f>
        <v>161379</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3338621</v>
      </c>
    </row>
    <row r="101" spans="2:33" x14ac:dyDescent="0.25">
      <c r="B101" s="41" t="s">
        <v>727</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107760</v>
      </c>
      <c r="G102" s="18">
        <f t="shared" ref="G102:G104" si="147">P102+O102</f>
        <v>42240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42240</v>
      </c>
      <c r="Q102" s="19">
        <f>SUMIFS('Data Additive'!$D:$D,'Data Additive'!$P:$P,'Painel Additive'!$B102,'Data Additive'!$Q:$Q,"&lt;=0",'Data Additive'!$Q:$Q,"&gt;=-30")</f>
        <v>42240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107760</v>
      </c>
    </row>
    <row r="103" spans="2:33" x14ac:dyDescent="0.25">
      <c r="B103" s="41" t="s">
        <v>730</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735</v>
      </c>
      <c r="C104" s="224">
        <f>IFERROR(_xlfn.XLOOKUP(B104,'Limite de crédito'!C:C,'Limite de crédito'!L:L,),0)</f>
        <v>0</v>
      </c>
      <c r="D104" s="93"/>
      <c r="E104" s="18">
        <f>_xlfn.XLOOKUP(B104,'Limite de crédito'!C:C,'Limite de crédito'!G:G,0)</f>
        <v>0</v>
      </c>
      <c r="F104" s="18">
        <f t="shared" si="146"/>
        <v>-218160</v>
      </c>
      <c r="G104" s="18">
        <f t="shared" si="147"/>
        <v>218160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218160</v>
      </c>
      <c r="Q104" s="19">
        <f>SUMIFS('Data Additive'!$D:$D,'Data Additive'!$P:$P,'Painel Additive'!$B104,'Data Additive'!$Q:$Q,"&lt;=0",'Data Additive'!$Q:$Q,"&gt;=-30")</f>
        <v>218160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-218160</v>
      </c>
    </row>
    <row r="105" spans="2:33" x14ac:dyDescent="0.25">
      <c r="B105" s="41" t="s">
        <v>731</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734</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736</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737</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739</v>
      </c>
      <c r="C109" s="224">
        <f>IFERROR(_xlfn.XLOOKUP(B109,'Limite de crédito'!C:C,'Limite de crédito'!L:L,),0)</f>
        <v>0</v>
      </c>
      <c r="D109" s="93"/>
      <c r="E109" s="18">
        <f>_xlfn.XLOOKUP(B109,'Limite de crédito'!C:C,'Limite de crédito'!G:G,0)</f>
        <v>0</v>
      </c>
      <c r="F109" s="18">
        <f t="shared" ref="F109" si="166">E109-G109</f>
        <v>-303.01</v>
      </c>
      <c r="G109" s="18">
        <f t="shared" ref="G109" si="167">P109+O109</f>
        <v>303.01</v>
      </c>
      <c r="H109" s="19">
        <f>SUMIFS('Data Additive'!$D:$D,'Data Additive'!$P:$P,'Painel Additive'!$B109,'Data Additive'!$Q:$Q,"&gt;0",'Data Additive'!$Q:$Q,"&lt;=30")</f>
        <v>0</v>
      </c>
      <c r="I109" s="19">
        <f>SUMIFS('Data Additive'!$D:$D,'Data Additive'!$P:$P,'Painel Additive'!$B109,'Data Additive'!$Q:$Q,"&gt;30",'Data Additive'!$Q:$Q,"&lt;=60")</f>
        <v>303.01</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303.01</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-303.01</v>
      </c>
    </row>
    <row r="110" spans="2:33" x14ac:dyDescent="0.25">
      <c r="B110" s="41" t="s">
        <v>744</v>
      </c>
      <c r="C110" s="224" t="str">
        <f>IFERROR(_xlfn.XLOOKUP(B110,'Limite de crédito'!C:C,'Limite de crédito'!L:L,),0)</f>
        <v>C</v>
      </c>
      <c r="D110" s="93"/>
      <c r="E110" s="18">
        <f>_xlfn.XLOOKUP(B110,'Limite de crédito'!C:C,'Limite de crédito'!G:G,0)</f>
        <v>400000</v>
      </c>
      <c r="F110" s="18">
        <f t="shared" ref="F110:F113" si="170">E110-G110</f>
        <v>400000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400000</v>
      </c>
      <c r="AB110" s="19"/>
      <c r="AC110" s="20"/>
      <c r="AD110" s="22"/>
      <c r="AE110" s="22"/>
      <c r="AF110" s="5"/>
      <c r="AG110" s="105">
        <f t="shared" ref="AG110:AG113" si="173">AA110-G110</f>
        <v>400000</v>
      </c>
    </row>
    <row r="111" spans="2:33" x14ac:dyDescent="0.25">
      <c r="B111" s="41" t="s">
        <v>745</v>
      </c>
      <c r="C111" s="224" t="str">
        <f>IFERROR(_xlfn.XLOOKUP(B111,'Limite de crédito'!C:C,'Limite de crédito'!L:L,),0)</f>
        <v>B</v>
      </c>
      <c r="D111" s="93"/>
      <c r="E111" s="18">
        <f>_xlfn.XLOOKUP(B111,'Limite de crédito'!C:C,'Limite de crédito'!G:G,0)</f>
        <v>850000</v>
      </c>
      <c r="F111" s="18">
        <f t="shared" si="170"/>
        <v>605230</v>
      </c>
      <c r="G111" s="18">
        <f t="shared" si="171"/>
        <v>244770</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244770</v>
      </c>
      <c r="Q111" s="19">
        <f>SUMIFS('Data Additive'!$D:$D,'Data Additive'!$P:$P,'Painel Additive'!$B111,'Data Additive'!$Q:$Q,"&lt;=0",'Data Additive'!$Q:$Q,"&gt;=-30")</f>
        <v>122918</v>
      </c>
      <c r="R111" s="19">
        <f>SUMIFS('Data Additive'!$D:$D,'Data Additive'!$P:$P,'Painel Additive'!$B111,'Data Additive'!$Q:$Q,"&lt;=-31",'Data Additive'!$Q:$Q,"&gt;=-60")</f>
        <v>121852</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605230</v>
      </c>
    </row>
    <row r="112" spans="2:33" x14ac:dyDescent="0.25">
      <c r="B112" s="41" t="s">
        <v>742</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749</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743</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793</v>
      </c>
      <c r="C115" s="224" t="str">
        <f>IFERROR(_xlfn.XLOOKUP(B115,'Limite de crédito'!C:C,'Limite de crédito'!L:L,),0)</f>
        <v>A</v>
      </c>
      <c r="D115" s="93"/>
      <c r="E115" s="18">
        <f>_xlfn.XLOOKUP(B115,'Limite de crédito'!C:C,'Limite de crédito'!G:G,0)</f>
        <v>1500000</v>
      </c>
      <c r="F115" s="18">
        <f t="shared" ref="F115" si="178">E115-G115</f>
        <v>717150.2</v>
      </c>
      <c r="G115" s="18">
        <f t="shared" ref="G115" si="179">P115+O115</f>
        <v>782849.8</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782849.8</v>
      </c>
      <c r="Q115" s="19">
        <f>SUMIFS('Data Additive'!$D:$D,'Data Additive'!$P:$P,'Painel Additive'!$B115,'Data Additive'!$Q:$Q,"&lt;=0",'Data Additive'!$Q:$Q,"&gt;=-30")</f>
        <v>357153</v>
      </c>
      <c r="R115" s="19">
        <f>SUMIFS('Data Additive'!$D:$D,'Data Additive'!$P:$P,'Painel Additive'!$B115,'Data Additive'!$Q:$Q,"&lt;=-31",'Data Additive'!$Q:$Q,"&gt;=-60")</f>
        <v>284096.80000000005</v>
      </c>
      <c r="S115" s="19">
        <f>SUMIFS('Data Additive'!$D:$D,'Data Additive'!$P:$P,'Painel Additive'!$B115,'Data Additive'!$Q:$Q,"&lt;=-61",'Data Additive'!$Q:$Q,"&gt;=-90")</f>
        <v>141600</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717150.2</v>
      </c>
    </row>
    <row r="116" spans="2:33" x14ac:dyDescent="0.25">
      <c r="B116" s="41" t="s">
        <v>795</v>
      </c>
      <c r="C116" s="224">
        <f>IFERROR(_xlfn.XLOOKUP(B116,'Limite de crédito'!C:C,'Limite de crédito'!L:L,),0)</f>
        <v>0</v>
      </c>
      <c r="D116" s="93"/>
      <c r="E116" s="18">
        <f>_xlfn.XLOOKUP(B116,'Limite de crédito'!C:C,'Limite de crédito'!G:G,0)</f>
        <v>0</v>
      </c>
      <c r="F116" s="18">
        <f t="shared" ref="F116" si="182">E116-G116</f>
        <v>-1750</v>
      </c>
      <c r="G116" s="18">
        <f t="shared" ref="G116" si="183">P116+O116</f>
        <v>1750</v>
      </c>
      <c r="H116" s="19">
        <f>SUMIFS('Data Additive'!$D:$D,'Data Additive'!$P:$P,'Painel Additive'!$B116,'Data Additive'!$Q:$Q,"&gt;0",'Data Additive'!$Q:$Q,"&lt;=30")</f>
        <v>1750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1750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-1750</v>
      </c>
    </row>
    <row r="117" spans="2:33" x14ac:dyDescent="0.25">
      <c r="B117" s="41" t="s">
        <v>802</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804</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803</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815</v>
      </c>
      <c r="C120" s="224">
        <f>IFERROR(_xlfn.XLOOKUP(B120,'Limite de crédito'!C:C,'Limite de crédito'!L:L,),0)</f>
        <v>0</v>
      </c>
      <c r="D120" s="93"/>
      <c r="E120" s="18">
        <f>_xlfn.XLOOKUP(B120,'Limite de crédito'!C:C,'Limite de crédito'!G:G,0)</f>
        <v>0</v>
      </c>
      <c r="F120" s="18">
        <f t="shared" si="190"/>
        <v>-292.08</v>
      </c>
      <c r="G120" s="18">
        <f t="shared" si="191"/>
        <v>292.08</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292.08</v>
      </c>
      <c r="Q120" s="19">
        <f>SUMIFS('Data Additive'!$D:$D,'Data Additive'!$P:$P,'Painel Additive'!$B120,'Data Additive'!$Q:$Q,"&lt;=0",'Data Additive'!$Q:$Q,"&gt;=-30")</f>
        <v>292.08</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-292.08</v>
      </c>
    </row>
    <row r="121" spans="2:33" x14ac:dyDescent="0.25">
      <c r="B121" s="41" t="s">
        <v>817</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819</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136</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820</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821</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823</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824</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694</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842</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49440</v>
      </c>
      <c r="I130" s="19">
        <f>SUMIFS('Data Additive'!$D:$D,'Data Additive'!$P:$P,'Painel Additive'!$B130,'Data Additive'!$Q:$Q,"&gt;30",'Data Additive'!$Q:$Q,"&lt;=60")</f>
        <v>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847</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259</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855</v>
      </c>
      <c r="C133" s="224">
        <f>IFERROR(_xlfn.XLOOKUP(B133,'Limite de crédito'!C:C,'Limite de crédito'!L:L,),0)</f>
        <v>0</v>
      </c>
      <c r="D133" s="93"/>
      <c r="E133" s="18">
        <f>_xlfn.XLOOKUP(B133,'Limite de crédito'!C:C,'Limite de crédito'!G:G,0)</f>
        <v>0</v>
      </c>
      <c r="F133" s="18">
        <f t="shared" ref="F133" si="226">E133-G133</f>
        <v>-1166.67</v>
      </c>
      <c r="G133" s="18">
        <f t="shared" ref="G133" si="227">P133+O133</f>
        <v>1166.67</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1166.67</v>
      </c>
      <c r="Q133" s="19">
        <f>SUMIFS('Data Additive'!$D:$D,'Data Additive'!$P:$P,'Painel Additive'!$B133,'Data Additive'!$Q:$Q,"&lt;=0",'Data Additive'!$Q:$Q,"&gt;=-30")</f>
        <v>583.33000000000004</v>
      </c>
      <c r="R133" s="19">
        <f>SUMIFS('Data Additive'!$D:$D,'Data Additive'!$P:$P,'Painel Additive'!$B133,'Data Additive'!$Q:$Q,"&lt;=-31",'Data Additive'!$Q:$Q,"&gt;=-60")</f>
        <v>583.34</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-1166.67</v>
      </c>
    </row>
    <row r="134" spans="2:33" x14ac:dyDescent="0.25">
      <c r="B134" s="41" t="s">
        <v>877</v>
      </c>
      <c r="C134" s="224">
        <f>IFERROR(_xlfn.XLOOKUP(B134,'Limite de crédito'!C:C,'Limite de crédito'!L:L,),0)</f>
        <v>0</v>
      </c>
      <c r="D134" s="93"/>
      <c r="E134" s="18">
        <f>_xlfn.XLOOKUP(B134,'Limite de crédito'!C:C,'Limite de crédito'!G:G,0)</f>
        <v>0</v>
      </c>
      <c r="F134" s="18">
        <f t="shared" ref="F134:F135" si="230">E134-G134</f>
        <v>-662</v>
      </c>
      <c r="G134" s="18">
        <f t="shared" ref="G134:G135" si="231">P134+O134</f>
        <v>662</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P135" si="232">SUM(Q134:W134)</f>
        <v>662</v>
      </c>
      <c r="Q134" s="19">
        <f>SUMIFS('Data Additive'!$D:$D,'Data Additive'!$P:$P,'Painel Additive'!$B134,'Data Additive'!$Q:$Q,"&lt;=0",'Data Additive'!$Q:$Q,"&gt;=-30")</f>
        <v>0</v>
      </c>
      <c r="R134" s="19">
        <f>SUMIFS('Data Additive'!$D:$D,'Data Additive'!$P:$P,'Painel Additive'!$B134,'Data Additive'!$Q:$Q,"&lt;=-31",'Data Additive'!$Q:$Q,"&gt;=-60")</f>
        <v>331</v>
      </c>
      <c r="S134" s="19">
        <f>SUMIFS('Data Additive'!$D:$D,'Data Additive'!$P:$P,'Painel Additive'!$B134,'Data Additive'!$Q:$Q,"&lt;=-61",'Data Additive'!$Q:$Q,"&gt;=-90")</f>
        <v>331</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AG135" si="233">AA134-G134</f>
        <v>-662</v>
      </c>
    </row>
    <row r="135" spans="2:33" x14ac:dyDescent="0.25">
      <c r="B135" s="41" t="s">
        <v>879</v>
      </c>
      <c r="C135" s="224">
        <f>IFERROR(_xlfn.XLOOKUP(B135,'Limite de crédito'!C:C,'Limite de crédito'!L:L,),0)</f>
        <v>0</v>
      </c>
      <c r="D135" s="93"/>
      <c r="E135" s="18">
        <f>_xlfn.XLOOKUP(B135,'Limite de crédito'!C:C,'Limite de crédito'!G:G,0)</f>
        <v>0</v>
      </c>
      <c r="F135" s="18">
        <f t="shared" si="230"/>
        <v>-1260</v>
      </c>
      <c r="G135" s="18">
        <f t="shared" si="231"/>
        <v>1260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 t="shared" si="232"/>
        <v>1260</v>
      </c>
      <c r="Q135" s="19">
        <f>SUMIFS('Data Additive'!$D:$D,'Data Additive'!$P:$P,'Painel Additive'!$B135,'Data Additive'!$Q:$Q,"&lt;=0",'Data Additive'!$Q:$Q,"&gt;=-30")</f>
        <v>1260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 t="shared" si="233"/>
        <v>-1260</v>
      </c>
    </row>
  </sheetData>
  <autoFilter ref="A3:AK135" xr:uid="{8425CF93-5C5C-4FF0-82A9-E9478886963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9"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46112</v>
      </c>
      <c r="C1" s="99"/>
      <c r="D1" s="99"/>
      <c r="E1" s="101">
        <f>SUBTOTAL(9,E4:E40)</f>
        <v>20083000</v>
      </c>
      <c r="F1" s="11"/>
      <c r="G1" s="9">
        <f t="shared" ref="G1:P1" si="0">SUBTOTAL(9,G4:G158)</f>
        <v>30275712.02</v>
      </c>
      <c r="H1" s="9">
        <f t="shared" si="0"/>
        <v>0</v>
      </c>
      <c r="I1" s="9">
        <f t="shared" si="0"/>
        <v>0</v>
      </c>
      <c r="J1" s="9">
        <f t="shared" si="0"/>
        <v>0</v>
      </c>
      <c r="K1" s="9">
        <f t="shared" si="0"/>
        <v>0</v>
      </c>
      <c r="L1" s="9">
        <f t="shared" si="0"/>
        <v>0</v>
      </c>
      <c r="M1" s="9">
        <f t="shared" si="0"/>
        <v>988506.24</v>
      </c>
      <c r="N1" s="9">
        <f t="shared" si="0"/>
        <v>20866322.349999998</v>
      </c>
      <c r="O1" s="9">
        <f t="shared" si="0"/>
        <v>21854828.589999996</v>
      </c>
      <c r="P1" s="9">
        <f t="shared" si="0"/>
        <v>8420883.4299999997</v>
      </c>
      <c r="Q1" s="9">
        <f t="shared" ref="Q1:W1" si="1">SUM(Q4:Q159)</f>
        <v>1959401.1700000002</v>
      </c>
      <c r="R1" s="9">
        <f t="shared" si="1"/>
        <v>4736949.0200000005</v>
      </c>
      <c r="S1" s="9">
        <f t="shared" si="1"/>
        <v>662365.68000000005</v>
      </c>
      <c r="T1" s="9">
        <f t="shared" si="1"/>
        <v>0</v>
      </c>
      <c r="U1" s="9">
        <f t="shared" si="1"/>
        <v>1062167.56</v>
      </c>
      <c r="V1" s="9">
        <f t="shared" si="1"/>
        <v>0</v>
      </c>
      <c r="W1" s="9">
        <f t="shared" si="1"/>
        <v>0</v>
      </c>
      <c r="X1" s="9">
        <f>SUBTOTAL(9,X4:X158)</f>
        <v>9966395.9372000005</v>
      </c>
      <c r="Y1" s="10"/>
      <c r="Z1" s="10"/>
      <c r="AA1" s="189">
        <f>SUBTOTAL(9,AA4:AA279)</f>
        <v>24943000</v>
      </c>
      <c r="AD1" s="10"/>
      <c r="AE1" s="14"/>
      <c r="AF1" s="10"/>
      <c r="AG1" s="27">
        <f>SUBTOTAL(9,AG12:AG319)</f>
        <v>15296301.209999999</v>
      </c>
      <c r="AH1" s="10"/>
      <c r="AJ1" s="233">
        <f>O1/G1</f>
        <v>0.72186010276365409</v>
      </c>
    </row>
    <row r="2" spans="1:37" ht="14.4" customHeight="1" thickBot="1" x14ac:dyDescent="0.3">
      <c r="B2" s="8"/>
      <c r="C2" s="8"/>
      <c r="D2" s="8"/>
      <c r="E2" s="102"/>
      <c r="F2" s="8"/>
      <c r="G2" s="8"/>
      <c r="H2" s="429" t="s">
        <v>26</v>
      </c>
      <c r="I2" s="429"/>
      <c r="J2" s="429"/>
      <c r="K2" s="429"/>
      <c r="L2" s="429"/>
      <c r="M2" s="429"/>
      <c r="N2" s="429"/>
      <c r="O2" s="33"/>
      <c r="P2" s="33"/>
      <c r="Q2" s="429" t="s">
        <v>16</v>
      </c>
      <c r="R2" s="429"/>
      <c r="S2" s="429"/>
      <c r="T2" s="429"/>
      <c r="U2" s="429"/>
      <c r="V2" s="429"/>
      <c r="W2" s="429"/>
      <c r="X2" s="8"/>
      <c r="Y2" s="6"/>
      <c r="Z2" s="6"/>
      <c r="AA2" s="243"/>
      <c r="AB2" s="46"/>
      <c r="AC2" s="46"/>
      <c r="AD2" s="46"/>
      <c r="AE2" s="46"/>
      <c r="AF2" s="6"/>
      <c r="AG2" s="37"/>
      <c r="AH2" s="6"/>
      <c r="AI2" s="430" t="s">
        <v>482</v>
      </c>
      <c r="AJ2" s="430"/>
      <c r="AK2" s="430"/>
    </row>
    <row r="3" spans="1:37" ht="28.8"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7" s="234" customFormat="1" ht="15.75" customHeight="1" thickTop="1" x14ac:dyDescent="0.25">
      <c r="B4" s="235" t="s">
        <v>177</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429</v>
      </c>
      <c r="C5" s="244">
        <f>IFERROR(_xlfn.XLOOKUP(B5,'Limite de crédito'!C:C,'Limite de crédito'!L:L),0)</f>
        <v>0</v>
      </c>
      <c r="D5" s="245"/>
      <c r="E5" s="246">
        <f>_xlfn.XLOOKUP(B5,'Limite de crédito'!C:C,'Limite de crédito'!G:G,0)</f>
        <v>0</v>
      </c>
      <c r="F5" s="236">
        <f t="shared" ref="F5:F32" si="3">E5-G5</f>
        <v>-3088531.0700000008</v>
      </c>
      <c r="G5" s="236">
        <f t="shared" ref="G5:G32" si="4">P5+O5</f>
        <v>3088531.0700000008</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3088531.0700000008</v>
      </c>
      <c r="O5" s="237">
        <f>SUMIFS('Data Fertilizers'!$D:$D,'Data Fertilizers'!$P:$P,$B5,'Data Fertilizers'!$Q:$Q,"&gt;0")</f>
        <v>3088531.0700000008</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-3088531.0700000008</v>
      </c>
      <c r="AI5" s="247">
        <v>3088531.0700000008</v>
      </c>
    </row>
    <row r="6" spans="1:37" s="234" customFormat="1" ht="15.75" customHeight="1" x14ac:dyDescent="0.25">
      <c r="B6" s="235" t="s">
        <v>210</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187</v>
      </c>
      <c r="C7" s="244">
        <f>IFERROR(_xlfn.XLOOKUP(B7,'Limite de crédito'!C:C,'Limite de crédito'!L:L),0)</f>
        <v>0</v>
      </c>
      <c r="D7" s="245"/>
      <c r="E7" s="246">
        <f>_xlfn.XLOOKUP(B7,'Limite de crédito'!C:C,'Limite de crédito'!G:G,0)</f>
        <v>0</v>
      </c>
      <c r="F7" s="236">
        <f t="shared" si="3"/>
        <v>-2492842.0500000007</v>
      </c>
      <c r="G7" s="236">
        <f t="shared" si="4"/>
        <v>2492842.0500000007</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2492842.0500000007</v>
      </c>
      <c r="O7" s="237">
        <f>SUMIFS('Data Fertilizers'!$D:$D,'Data Fertilizers'!$P:$P,$B7,'Data Fertilizers'!$Q:$Q,"&gt;0")</f>
        <v>2492842.0500000007</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-2492842.0500000007</v>
      </c>
      <c r="AH7" s="238"/>
      <c r="AI7" s="247">
        <v>2971789.89</v>
      </c>
    </row>
    <row r="8" spans="1:37" s="234" customFormat="1" ht="15.75" customHeight="1" x14ac:dyDescent="0.25">
      <c r="B8" s="235" t="s">
        <v>195</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199</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207</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157</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432</v>
      </c>
      <c r="C12" s="242" t="str">
        <f>IFERROR(_xlfn.XLOOKUP(B12,'Limite de crédito'!C:C,'Limite de crédito'!L:L),0)</f>
        <v>B</v>
      </c>
      <c r="D12" s="186">
        <v>270</v>
      </c>
      <c r="E12" s="232">
        <f>_xlfn.XLOOKUP(B12,'Limite de crédito'!C:C,'Limite de crédito'!G:G,0)</f>
        <v>1500000</v>
      </c>
      <c r="F12" s="181">
        <f t="shared" si="3"/>
        <v>729145.28</v>
      </c>
      <c r="G12" s="181">
        <f t="shared" si="4"/>
        <v>770854.72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770854.72</v>
      </c>
      <c r="Q12" s="182">
        <f>SUMIFS('Data Fertilizers'!$D:$D,'Data Fertilizers'!$P:$P,$B12,'Data Fertilizers'!$Q:$Q,"&lt;=0",'Data Fertilizers'!$Q:$Q,"&gt;=-30")</f>
        <v>464127.6</v>
      </c>
      <c r="R12" s="182">
        <f>SUMIFS('Data Fertilizers'!$D:$D,'Data Fertilizers'!$P:$P,$B12,'Data Fertilizers'!$Q:$Q,"&lt;=-31",'Data Fertilizers'!$Q:$Q,"&gt;=-60")</f>
        <v>306727.12</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229145.28000000003</v>
      </c>
    </row>
    <row r="13" spans="1:37" s="169" customFormat="1" ht="15.75" customHeight="1" x14ac:dyDescent="0.25">
      <c r="B13" s="168" t="s">
        <v>197</v>
      </c>
      <c r="C13" s="242">
        <f>IFERROR(_xlfn.XLOOKUP(B13,'Limite de crédito'!C:C,'Limite de crédito'!L:L),0)</f>
        <v>0</v>
      </c>
      <c r="D13" s="186">
        <v>360</v>
      </c>
      <c r="E13" s="232">
        <f>_xlfn.XLOOKUP(B13,'Limite de crédito'!C:C,'Limite de crédito'!G:G,0)</f>
        <v>1500000</v>
      </c>
      <c r="F13" s="181">
        <f t="shared" si="3"/>
        <v>1230944</v>
      </c>
      <c r="G13" s="181">
        <f t="shared" si="4"/>
        <v>269056</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269056</v>
      </c>
      <c r="Q13" s="182">
        <f>SUMIFS('Data Fertilizers'!$D:$D,'Data Fertilizers'!$P:$P,$B13,'Data Fertilizers'!$Q:$Q,"&lt;=0",'Data Fertilizers'!$Q:$Q,"&gt;=-30")</f>
        <v>0</v>
      </c>
      <c r="R13" s="182">
        <f>SUMIFS('Data Fertilizers'!$D:$D,'Data Fertilizers'!$P:$P,$B13,'Data Fertilizers'!$Q:$Q,"&lt;=-31",'Data Fertilizers'!$Q:$Q,"&gt;=-60")</f>
        <v>137376</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390944</v>
      </c>
      <c r="AH13" s="183"/>
    </row>
    <row r="14" spans="1:37" s="169" customFormat="1" ht="15.75" customHeight="1" x14ac:dyDescent="0.25">
      <c r="B14" s="168" t="s">
        <v>206</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335</v>
      </c>
      <c r="C15" s="242" t="str">
        <f>IFERROR(_xlfn.XLOOKUP(B15,'Limite de crédito'!C:C,'Limite de crédito'!L:L),0)</f>
        <v>C</v>
      </c>
      <c r="D15" s="186"/>
      <c r="E15" s="232">
        <f>_xlfn.XLOOKUP(B15,'Limite de crédito'!C:C,'Limite de crédito'!G:G,0)</f>
        <v>500000</v>
      </c>
      <c r="F15" s="181">
        <f t="shared" si="3"/>
        <v>-315729</v>
      </c>
      <c r="G15" s="181">
        <f t="shared" si="4"/>
        <v>815729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815729</v>
      </c>
      <c r="Q15" s="182">
        <f>SUMIFS('Data Fertilizers'!$D:$D,'Data Fertilizers'!$P:$P,$B15,'Data Fertilizers'!$Q:$Q,"&lt;=0",'Data Fertilizers'!$Q:$Q,"&gt;=-30")</f>
        <v>91336</v>
      </c>
      <c r="R15" s="182">
        <f>SUMIFS('Data Fertilizers'!$D:$D,'Data Fertilizers'!$P:$P,$B15,'Data Fertilizers'!$Q:$Q,"&lt;=-31",'Data Fertilizers'!$Q:$Q,"&gt;=-60")</f>
        <v>724393</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-315729</v>
      </c>
    </row>
    <row r="16" spans="1:37" s="169" customFormat="1" ht="15.75" customHeight="1" x14ac:dyDescent="0.25">
      <c r="B16" s="168" t="s">
        <v>182</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0</v>
      </c>
      <c r="R16" s="182">
        <f>SUMIFS('Data Fertilizers'!$D:$D,'Data Fertilizers'!$P:$P,$B16,'Data Fertilizers'!$Q:$Q,"&lt;=-31",'Data Fertilizers'!$Q:$Q,"&gt;=-60")</f>
        <v>274733.36</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213</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424</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457</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433</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0</v>
      </c>
      <c r="R20" s="182">
        <f>SUMIFS('Data Fertilizers'!$D:$D,'Data Fertilizers'!$P:$P,$B20,'Data Fertilizers'!$Q:$Q,"&lt;=-31",'Data Fertilizers'!$Q:$Q,"&gt;=-60")</f>
        <v>133718</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270</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988506.24</v>
      </c>
      <c r="N21" s="241">
        <f>SUMIFS('Data Fertilizers'!$D:$D,'Data Fertilizers'!$P:$P,$B21,'Data Fertilizers'!$Q:$Q,"&gt;360")</f>
        <v>0</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29655.1872</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212</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314</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427</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357</v>
      </c>
      <c r="C25" s="242">
        <f>IFERROR(_xlfn.XLOOKUP(B25,'Limite de crédito'!C:C,'Limite de crédito'!L:L),0)</f>
        <v>0</v>
      </c>
      <c r="D25" s="173"/>
      <c r="E25" s="232">
        <f>_xlfn.XLOOKUP(B25,'Limite de crédito'!C:C,'Limite de crédito'!G:G,0)</f>
        <v>500000</v>
      </c>
      <c r="F25" s="174">
        <f t="shared" si="3"/>
        <v>500000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376</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260</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426</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0</v>
      </c>
      <c r="U28" s="182">
        <f>SUMIFS('Data Fertilizers'!$D:$D,'Data Fertilizers'!$P:$P,$B28,'Data Fertilizers'!$Q:$Q,"&lt;=-121",'Data Fertilizers'!$Q:$Q,"&gt;=-180")</f>
        <v>5030.5</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122</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377</v>
      </c>
      <c r="C30" s="242">
        <f>IFERROR(_xlfn.XLOOKUP(B30,'Limite de crédito'!C:C,'Limite de crédito'!L:L),0)</f>
        <v>0</v>
      </c>
      <c r="D30" s="186"/>
      <c r="E30" s="232">
        <f>_xlfn.XLOOKUP(B30,'Limite de crédito'!C:C,'Limite de crédito'!G:G,0)</f>
        <v>350000</v>
      </c>
      <c r="F30" s="181">
        <f t="shared" si="3"/>
        <v>20672.090000000026</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0</v>
      </c>
      <c r="R30" s="182">
        <f>SUMIFS('Data Fertilizers'!$D:$D,'Data Fertilizers'!$P:$P,$B30,'Data Fertilizers'!$Q:$Q,"&lt;=-31",'Data Fertilizers'!$Q:$Q,"&gt;=-60")</f>
        <v>329327.90999999997</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151</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375</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203</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193</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297</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495</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185</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269</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328</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396</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324</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454</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501</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452</v>
      </c>
      <c r="C44" s="242">
        <f>IFERROR(_xlfn.XLOOKUP(B44,'Limite de crédito'!C:C,'Limite de crédito'!L:L),0)</f>
        <v>0</v>
      </c>
      <c r="D44" s="186">
        <v>180</v>
      </c>
      <c r="E44" s="232">
        <f>_xlfn.XLOOKUP(B44,'Limite de crédito'!C:C,'Limite de crédito'!G:G,0)</f>
        <v>700000</v>
      </c>
      <c r="F44" s="181">
        <f t="shared" ref="F44" si="13">E44-G44</f>
        <v>59526.959999999963</v>
      </c>
      <c r="G44" s="181">
        <f t="shared" ref="G44" si="14">P44+O44</f>
        <v>640473.04</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640473.04</v>
      </c>
      <c r="Q44" s="182">
        <f>SUMIFS('Data Fertilizers'!$D:$D,'Data Fertilizers'!$P:$P,$B44,'Data Fertilizers'!$Q:$Q,"&lt;=0",'Data Fertilizers'!$Q:$Q,"&gt;=-30")</f>
        <v>640473.04</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-640473.04</v>
      </c>
    </row>
    <row r="45" spans="2:34" s="169" customFormat="1" ht="12.6" customHeight="1" x14ac:dyDescent="0.25">
      <c r="B45" s="180" t="s">
        <v>553</v>
      </c>
      <c r="C45" s="242" t="str">
        <f>IFERROR(_xlfn.XLOOKUP(B45,'Limite de crédito'!C:C,'Limite de crédito'!L:L),0)</f>
        <v>B</v>
      </c>
      <c r="D45" s="186">
        <v>180</v>
      </c>
      <c r="E45" s="232">
        <f>_xlfn.XLOOKUP(B45,'Limite de crédito'!C:C,'Limite de crédito'!G:G,0)</f>
        <v>4000000</v>
      </c>
      <c r="F45" s="181">
        <f t="shared" ref="F45" si="16">E45-G45</f>
        <v>1966426.38</v>
      </c>
      <c r="G45" s="181">
        <f t="shared" ref="G45" si="17">P45+O45</f>
        <v>2033573.62</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2033573.62</v>
      </c>
      <c r="Q45" s="182">
        <f>SUMIFS('Data Fertilizers'!$D:$D,'Data Fertilizers'!$P:$P,$B45,'Data Fertilizers'!$Q:$Q,"&lt;=0",'Data Fertilizers'!$Q:$Q,"&gt;=-30")</f>
        <v>185774.02</v>
      </c>
      <c r="R45" s="182">
        <f>SUMIFS('Data Fertilizers'!$D:$D,'Data Fertilizers'!$P:$P,$B45,'Data Fertilizers'!$Q:$Q,"&lt;=-31",'Data Fertilizers'!$Q:$Q,"&gt;=-60")</f>
        <v>1847799.6</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0</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-1033573.6200000001</v>
      </c>
    </row>
    <row r="46" spans="2:34" s="169" customFormat="1" ht="12.6" customHeight="1" x14ac:dyDescent="0.25">
      <c r="B46" s="180" t="s">
        <v>378</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0</v>
      </c>
      <c r="R46" s="182">
        <f>SUMIFS('Data Fertilizers'!$D:$D,'Data Fertilizers'!$P:$P,$B46,'Data Fertilizers'!$Q:$Q,"&lt;=-31",'Data Fertilizers'!$Q:$Q,"&gt;=-60")</f>
        <v>222808.17</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380</v>
      </c>
      <c r="C47" s="242">
        <f>IFERROR(_xlfn.XLOOKUP(B47,'Limite de crédito'!C:C,'Limite de crédito'!L:L),0)</f>
        <v>0</v>
      </c>
      <c r="D47" s="186">
        <v>180</v>
      </c>
      <c r="E47" s="232">
        <f>_xlfn.XLOOKUP(B47,'Limite de crédito'!C:C,'Limite de crédito'!G:G,0)</f>
        <v>0</v>
      </c>
      <c r="F47" s="181">
        <f t="shared" ref="F47" si="22">E47-G47</f>
        <v>-566412.34000000008</v>
      </c>
      <c r="G47" s="181">
        <f t="shared" ref="G47" si="23">P47+O47</f>
        <v>566412.34000000008</v>
      </c>
      <c r="H47" s="182">
        <f>SUMIFS('Data Fertilizers'!$D:$D,'Data Fertilizers'!$P:$P,$B47,'Data Fertilizers'!$Q:$Q,"&gt;0",'Data Fertilizers'!$Q:$Q,"&lt;=30")</f>
        <v>0</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0</v>
      </c>
      <c r="P47" s="182">
        <f t="shared" ref="P47" si="24">SUM(Q47:W47)</f>
        <v>566412.34000000008</v>
      </c>
      <c r="Q47" s="182">
        <f>SUMIFS('Data Fertilizers'!$D:$D,'Data Fertilizers'!$P:$P,$B47,'Data Fertilizers'!$Q:$Q,"&lt;=0",'Data Fertilizers'!$Q:$Q,"&gt;=-30")</f>
        <v>566412.34000000008</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-566412.34000000008</v>
      </c>
    </row>
    <row r="48" spans="2:34" s="169" customFormat="1" ht="12.6" customHeight="1" x14ac:dyDescent="0.25">
      <c r="B48" s="180" t="s">
        <v>581</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739540.06</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0</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647</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630</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653</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660</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676</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671</v>
      </c>
      <c r="C54" s="242" t="str">
        <f>IFERROR(_xlfn.XLOOKUP(B54,'Limite de crédito'!C:C,'Limite de crédito'!L:L),0)</f>
        <v>B</v>
      </c>
      <c r="D54" s="186">
        <v>180</v>
      </c>
      <c r="E54" s="232">
        <f>_xlfn.XLOOKUP(B54,'Limite de crédito'!C:C,'Limite de crédito'!G:G,0)</f>
        <v>1200000</v>
      </c>
      <c r="F54" s="181">
        <f t="shared" si="33"/>
        <v>1179474.2</v>
      </c>
      <c r="G54" s="181">
        <f t="shared" si="34"/>
        <v>20525.8</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20525.8</v>
      </c>
      <c r="Q54" s="182">
        <f>SUMIFS('Data Fertilizers'!$D:$D,'Data Fertilizers'!$P:$P,$B54,'Data Fertilizers'!$Q:$Q,"&lt;=0",'Data Fertilizers'!$Q:$Q,"&gt;=-30")</f>
        <v>0</v>
      </c>
      <c r="R54" s="182">
        <f>SUMIFS('Data Fertilizers'!$D:$D,'Data Fertilizers'!$P:$P,$B54,'Data Fertilizers'!$Q:$Q,"&lt;=-31",'Data Fertilizers'!$Q:$Q,"&gt;=-60")</f>
        <v>20525.8</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479474.2</v>
      </c>
    </row>
    <row r="55" spans="2:33" s="169" customFormat="1" ht="12.6" customHeight="1" x14ac:dyDescent="0.25">
      <c r="B55" s="180" t="s">
        <v>83</v>
      </c>
      <c r="C55" s="242" t="str">
        <f>IFERROR(_xlfn.XLOOKUP(B55,'Limite de crédito'!C:C,'Limite de crédito'!L:L),0)</f>
        <v>B</v>
      </c>
      <c r="D55" s="186">
        <v>180</v>
      </c>
      <c r="E55" s="232">
        <f>_xlfn.XLOOKUP(B55,'Limite de crédito'!C:C,'Limite de crédito'!G:G,0)</f>
        <v>3000000</v>
      </c>
      <c r="F55" s="181">
        <f t="shared" si="33"/>
        <v>2337634.3199999998</v>
      </c>
      <c r="G55" s="181">
        <f t="shared" si="34"/>
        <v>662365.68000000005</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662365.68000000005</v>
      </c>
      <c r="Q55" s="182">
        <f>SUMIFS('Data Fertilizers'!$D:$D,'Data Fertilizers'!$P:$P,$B55,'Data Fertilizers'!$Q:$Q,"&lt;=0",'Data Fertilizers'!$Q:$Q,"&gt;=-30")</f>
        <v>0</v>
      </c>
      <c r="R55" s="182">
        <f>SUMIFS('Data Fertilizers'!$D:$D,'Data Fertilizers'!$P:$P,$B55,'Data Fertilizers'!$Q:$Q,"&lt;=-31",'Data Fertilizers'!$Q:$Q,"&gt;=-60")</f>
        <v>0</v>
      </c>
      <c r="S55" s="182">
        <f>SUMIFS('Data Fertilizers'!$D:$D,'Data Fertilizers'!$P:$P,$B55,'Data Fertilizers'!$Q:$Q,"&lt;=-61",'Data Fertilizers'!$Q:$Q,"&gt;=-90")</f>
        <v>662365.68000000005</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2337634.3199999998</v>
      </c>
    </row>
    <row r="56" spans="2:33" s="169" customFormat="1" ht="12.6" customHeight="1" x14ac:dyDescent="0.25">
      <c r="B56" s="180" t="s">
        <v>717</v>
      </c>
      <c r="C56" s="242" t="str">
        <f>IFERROR(_xlfn.XLOOKUP(B56,'Limite de crédito'!C:C,'Limite de crédito'!L:L),0)</f>
        <v>C</v>
      </c>
      <c r="D56" s="186">
        <v>180</v>
      </c>
      <c r="E56" s="232">
        <f>_xlfn.XLOOKUP(B56,'Limite de crédito'!C:C,'Limite de crédito'!G:G,0)</f>
        <v>180000</v>
      </c>
      <c r="F56" s="181">
        <f t="shared" ref="F56" si="37">E56-G56</f>
        <v>180000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732</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496</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733</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299</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767</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864</v>
      </c>
      <c r="C62" s="242" t="str">
        <f>IFERROR(_xlfn.XLOOKUP(B62,'Limite de crédito'!C:C,'Limite de crédito'!L:L),0)</f>
        <v>B</v>
      </c>
      <c r="D62" s="186">
        <v>180</v>
      </c>
      <c r="E62" s="232">
        <f>_xlfn.XLOOKUP(B62,'Limite de crédito'!C:C,'Limite de crédito'!G:G,0)</f>
        <v>300000</v>
      </c>
      <c r="F62" s="181">
        <f t="shared" si="57"/>
        <v>288721.83</v>
      </c>
      <c r="G62" s="181">
        <f t="shared" si="58"/>
        <v>11278.17</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11278.17</v>
      </c>
      <c r="Q62" s="182">
        <f>SUMIFS('Data Fertilizers'!$D:$D,'Data Fertilizers'!$P:$P,$B62,'Data Fertilizers'!$Q:$Q,"&lt;=0",'Data Fertilizers'!$Q:$Q,"&gt;=-30")</f>
        <v>11278.17</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288721.83</v>
      </c>
    </row>
  </sheetData>
  <autoFilter ref="A3:AK48" xr:uid="{117863FC-9796-447F-B76F-A494F594C433}"/>
  <mergeCells count="3">
    <mergeCell ref="H2:N2"/>
    <mergeCell ref="Q2:W2"/>
    <mergeCell ref="AI2:A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14048525.52</v>
      </c>
      <c r="G1" s="9">
        <f t="shared" si="0"/>
        <v>21000.799999999999</v>
      </c>
      <c r="H1" s="9">
        <f t="shared" si="0"/>
        <v>0</v>
      </c>
      <c r="I1" s="9">
        <f t="shared" si="0"/>
        <v>0</v>
      </c>
      <c r="J1" s="9">
        <f t="shared" si="0"/>
        <v>0</v>
      </c>
      <c r="K1" s="9">
        <f t="shared" si="0"/>
        <v>0</v>
      </c>
      <c r="L1" s="9">
        <f t="shared" si="0"/>
        <v>64.2</v>
      </c>
      <c r="M1" s="9">
        <f t="shared" si="0"/>
        <v>483754.64</v>
      </c>
      <c r="N1" s="9">
        <f t="shared" si="0"/>
        <v>504819.64</v>
      </c>
      <c r="O1" s="9">
        <f t="shared" ref="O1:W1" si="1">SUM(O4:O247)</f>
        <v>13543705.880000003</v>
      </c>
      <c r="P1" s="9">
        <f t="shared" si="1"/>
        <v>8477002.7699999996</v>
      </c>
      <c r="Q1" s="9">
        <f t="shared" si="1"/>
        <v>4105059.29</v>
      </c>
      <c r="R1" s="9">
        <f t="shared" si="1"/>
        <v>961643.82000000007</v>
      </c>
      <c r="S1" s="9">
        <f t="shared" si="1"/>
        <v>0</v>
      </c>
      <c r="T1" s="9">
        <f t="shared" si="1"/>
        <v>0</v>
      </c>
      <c r="U1" s="9">
        <f t="shared" si="1"/>
        <v>0</v>
      </c>
      <c r="V1" s="9">
        <f t="shared" si="1"/>
        <v>0</v>
      </c>
      <c r="W1" s="9" t="e">
        <f t="shared" si="1"/>
        <v>#REF!</v>
      </c>
      <c r="X1" s="10"/>
      <c r="Y1" s="42">
        <f>N1/F1</f>
        <v>3.593399458763983E-2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103"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41" t="s">
        <v>413</v>
      </c>
      <c r="C4" s="94" t="s">
        <v>469</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412</v>
      </c>
      <c r="C5" s="94" t="s">
        <v>469</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420</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419</v>
      </c>
      <c r="C7" s="94" t="s">
        <v>469</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428</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417</v>
      </c>
      <c r="C9" s="94" t="s">
        <v>469</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416</v>
      </c>
      <c r="C10" s="94" t="s">
        <v>469</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334</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-797138.1</v>
      </c>
      <c r="F12" s="18">
        <f t="shared" si="3"/>
        <v>797138.1</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797138.1</v>
      </c>
      <c r="P12" s="19">
        <f>SUMIFS('Data Additive'!$D:$D,'Data Additive'!$P:$P,'Painel Additive'!$B9,'Data Additive'!$Q:$Q,"&lt;=0",'Data Additive'!$Q:$Q,"&gt;=-30")</f>
        <v>797138.1</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-797138.1</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425</v>
      </c>
      <c r="C15" s="94" cm="1">
        <f t="array" ref="C15">IFERROR(INDEX('Limite de crédito'!$D:$D, MATCH(MAX(IF('Limite de crédito'!$C:$C=$B15, 'Limite de crédito'!$A:$A)), 'Limite de crédito'!$A:$A, 0)),"")</f>
        <v>45804</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cm="1">
        <f t="array" ref="C16">IFERROR(INDEX('Limite de crédito'!$D:$D, MATCH(MAX(IF('Limite de crédito'!$C:$C=$B16, 'Limite de crédito'!$A:$A)), 'Limite de crédito'!$A:$A, 0)),"")</f>
        <v>45821</v>
      </c>
      <c r="D16" s="18" cm="1">
        <f t="array" ref="D16">IFERROR(INDEX('Limite de crédito'!$F:$F, MATCH(MAX(IF('Limite de crédito'!$C:$C=$B16, 'Limite de crédito'!$A:$A)), 'Limite de crédito'!$A:$A, 0)),0)</f>
        <v>0</v>
      </c>
      <c r="E16" s="18">
        <f t="shared" si="2"/>
        <v>-60117.8</v>
      </c>
      <c r="F16" s="18">
        <f t="shared" si="3"/>
        <v>60117.8</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60117.8</v>
      </c>
      <c r="P16" s="19">
        <f>SUMIFS('Data Additive'!$D:$D,'Data Additive'!$P:$P,'Painel Additive'!$B8,'Data Additive'!$Q:$Q,"&lt;=0",'Data Additive'!$Q:$Q,"&gt;=-30")</f>
        <v>1200</v>
      </c>
      <c r="Q16" s="19">
        <f>SUMIFS('Data Additive'!$D:$D,'Data Additive'!$P:$P,'Painel Additive'!$B8,'Data Additive'!$Q:$Q,"&lt;=-31",'Data Additive'!$Q:$Q,"&gt;=-60")</f>
        <v>58917.8</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-60117.8</v>
      </c>
      <c r="AI16" s="5"/>
    </row>
    <row r="17" spans="2:35" ht="15.75" customHeight="1" x14ac:dyDescent="0.25">
      <c r="B17" s="41" t="s">
        <v>415</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411</v>
      </c>
      <c r="C18" s="94" t="s">
        <v>469</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90</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2340</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2340</v>
      </c>
      <c r="P20" s="19">
        <f>SUMIFS('Data Additive'!$D:$D,'Data Additive'!$P:$P,'Painel Additive'!$B28,'Data Additive'!$Q:$Q,"&lt;=0",'Data Additive'!$Q:$Q,"&gt;=-30")</f>
        <v>2340</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-2340</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-3089718.52</v>
      </c>
      <c r="F21" s="18">
        <f t="shared" si="3"/>
        <v>3089718.52</v>
      </c>
      <c r="G21" s="19">
        <f>SUMIFS('Data Additive'!$D:$D,'Data Additive'!$P:$P,'Painel Additive'!$B6,'Data Additive'!$Q:$Q,"&gt;0",'Data Additive'!$Q:$Q,"&lt;=30")</f>
        <v>10800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16426.32</v>
      </c>
      <c r="O21" s="19">
        <f t="shared" si="4"/>
        <v>3073292.2</v>
      </c>
      <c r="P21" s="19">
        <f>SUMIFS('Data Additive'!$D:$D,'Data Additive'!$P:$P,'Painel Additive'!$B6,'Data Additive'!$Q:$Q,"&lt;=0",'Data Additive'!$Q:$Q,"&gt;=-30")</f>
        <v>1988602.43</v>
      </c>
      <c r="Q21" s="19">
        <f>SUMIFS('Data Additive'!$D:$D,'Data Additive'!$P:$P,'Painel Additive'!$B6,'Data Additive'!$Q:$Q,"&lt;=-31",'Data Additive'!$Q:$Q,"&gt;=-60")</f>
        <v>1084689.77</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-3089718.52</v>
      </c>
      <c r="AI21" s="5"/>
    </row>
    <row r="22" spans="2:35" ht="15.75" customHeight="1" x14ac:dyDescent="0.25">
      <c r="B22" s="17" t="s">
        <v>294</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-798155.7</v>
      </c>
      <c r="F22" s="18">
        <f t="shared" si="3"/>
        <v>798155.7</v>
      </c>
      <c r="G22" s="19">
        <f>SUMIFS('Data Additive'!$D:$D,'Data Additive'!$P:$P,'Painel Additive'!$B47,'Data Additive'!$Q:$Q,"&gt;0",'Data Additive'!$Q:$Q,"&lt;=30")</f>
        <v>0</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0</v>
      </c>
      <c r="O22" s="19">
        <f t="shared" si="4"/>
        <v>798155.7</v>
      </c>
      <c r="P22" s="19">
        <f>SUMIFS('Data Additive'!$D:$D,'Data Additive'!$P:$P,'Painel Additive'!$B47,'Data Additive'!$Q:$Q,"&lt;=0",'Data Additive'!$Q:$Q,"&gt;=-30")</f>
        <v>798155.7</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-798155.7</v>
      </c>
    </row>
    <row r="23" spans="2:35" ht="15.75" customHeight="1" x14ac:dyDescent="0.25">
      <c r="B23" s="41" t="s">
        <v>430</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414</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156</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259</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422</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263</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423</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418</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391</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150</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292</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106</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272</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89</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153</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333</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290</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258</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154</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421</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91</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146</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136</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143</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152</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94</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149</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158</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168</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155</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-391080</v>
      </c>
      <c r="F54" s="18">
        <f t="shared" si="7"/>
        <v>391080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391080</v>
      </c>
      <c r="P54" s="19">
        <f>SUMIFS('Data Additive'!$D:$D,'Data Additive'!$P:$P,'Painel Additive'!$B46,'Data Additive'!$Q:$Q,"&lt;=0",'Data Additive'!$Q:$Q,"&gt;=-30")</f>
        <v>391080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-391080</v>
      </c>
      <c r="AI54" s="5"/>
    </row>
    <row r="55" spans="2:36" x14ac:dyDescent="0.25">
      <c r="B55" s="17" t="s">
        <v>145</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175</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273</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291</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95</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365</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160</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-5496514.6699999999</v>
      </c>
      <c r="F62" s="18">
        <f t="shared" si="7"/>
        <v>5496514.6699999999</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5479695.75</v>
      </c>
      <c r="P62" s="19">
        <f>SUMIFS('Data Additive'!$D:$D,'Data Additive'!$P:$P,'Painel Additive'!$B4,'Data Additive'!$Q:$Q,"&lt;=0",'Data Additive'!$Q:$Q,"&gt;=-30")</f>
        <v>2323797.5300000003</v>
      </c>
      <c r="Q62" s="19">
        <f>SUMIFS('Data Additive'!$D:$D,'Data Additive'!$P:$P,'Painel Additive'!$B4,'Data Additive'!$Q:$Q,"&lt;=-31",'Data Additive'!$Q:$Q,"&gt;=-60")</f>
        <v>2605110.92</v>
      </c>
      <c r="R62" s="19">
        <f>SUMIFS('Data Additive'!$D:$D,'Data Additive'!$P:$P,'Painel Additive'!$B4,'Data Additive'!$Q:$Q,"&lt;=-61",'Data Additive'!$Q:$Q,"&gt;=-90")</f>
        <v>550787.30000000005</v>
      </c>
      <c r="S62" s="19">
        <f>SUMIFS('Data Additive'!$D:$D,'Data Additive'!$P:$P,'Painel Additive'!$B4,'Data Additive'!$Q:$Q,"&lt;=-91",'Data Additive'!$Q:$Q,"&gt;=-120")</f>
        <v>0</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-5496514.6699999999</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-482208.1</v>
      </c>
      <c r="F63" s="18">
        <f t="shared" si="7"/>
        <v>482208.1</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482208.1</v>
      </c>
      <c r="P63" s="19">
        <f>SUMIFS('Data Additive'!$D:$D,'Data Additive'!$P:$P,'Painel Additive'!$B5,'Data Additive'!$Q:$Q,"&lt;=0",'Data Additive'!$Q:$Q,"&gt;=-30")</f>
        <v>482208.1</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-482208.1</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80980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80980</v>
      </c>
      <c r="P65" s="19">
        <f>SUMIFS('Data Additive'!$D:$D,'Data Additive'!$P:$P,'Painel Additive'!$B7,'Data Additive'!$Q:$Q,"&lt;=0",'Data Additive'!$Q:$Q,"&gt;=-30")</f>
        <v>80980</v>
      </c>
      <c r="Q65" s="19">
        <f>SUMIFS('Data Additive'!$D:$D,'Data Additive'!$P:$P,'Painel Additive'!$B7,'Data Additive'!$Q:$Q,"&lt;=-31",'Data Additive'!$Q:$Q,"&gt;=-60")</f>
        <v>0</v>
      </c>
      <c r="R65" s="19">
        <f>SUMIFS('Data Additive'!$D:$D,'Data Additive'!$P:$P,'Painel Additive'!$B7,'Data Additive'!$Q:$Q,"&lt;=-61",'Data Additive'!$Q:$Q,"&gt;=-90")</f>
        <v>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-80980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-631958.30000000005</v>
      </c>
      <c r="F66" s="18">
        <f t="shared" si="7"/>
        <v>631958.30000000005</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631958.30000000005</v>
      </c>
      <c r="P66" s="19">
        <f>SUMIFS('Data Additive'!$D:$D,'Data Additive'!$P:$P,'Painel Additive'!$B10,'Data Additive'!$Q:$Q,"&lt;=0",'Data Additive'!$Q:$Q,"&gt;=-30")</f>
        <v>350834.30000000005</v>
      </c>
      <c r="Q66" s="19">
        <f>SUMIFS('Data Additive'!$D:$D,'Data Additive'!$P:$P,'Painel Additive'!$B10,'Data Additive'!$Q:$Q,"&lt;=-31",'Data Additive'!$Q:$Q,"&gt;=-60")</f>
        <v>281124</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-631958.30000000005</v>
      </c>
      <c r="AI66" s="5"/>
    </row>
    <row r="67" spans="2:35" x14ac:dyDescent="0.25">
      <c r="B67" s="17" t="s">
        <v>164</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-350989.1</v>
      </c>
      <c r="F70" s="18">
        <f t="shared" si="11"/>
        <v>350989.1</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350989.1</v>
      </c>
      <c r="P70" s="19">
        <f>SUMIFS('Data Additive'!$D:$D,'Data Additive'!$P:$P,'Painel Additive'!$B13,'Data Additive'!$Q:$Q,"&lt;=0",'Data Additive'!$Q:$Q,"&gt;=-30")</f>
        <v>350989.1</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-350989.1</v>
      </c>
      <c r="AI70" s="5"/>
    </row>
    <row r="71" spans="2:35" x14ac:dyDescent="0.25">
      <c r="B71" s="17" t="s">
        <v>165</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-831017.13</v>
      </c>
      <c r="F72" s="18">
        <f t="shared" si="11"/>
        <v>831017.13</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831017.13</v>
      </c>
      <c r="P72" s="19">
        <f>SUMIFS('Data Additive'!$D:$D,'Data Additive'!$P:$P,'Painel Additive'!$B14,'Data Additive'!$Q:$Q,"&lt;=0",'Data Additive'!$Q:$Q,"&gt;=-30")</f>
        <v>420160.61</v>
      </c>
      <c r="Q72" s="19">
        <f>SUMIFS('Data Additive'!$D:$D,'Data Additive'!$P:$P,'Painel Additive'!$B14,'Data Additive'!$Q:$Q,"&lt;=-31",'Data Additive'!$Q:$Q,"&gt;=-60")</f>
        <v>0</v>
      </c>
      <c r="R72" s="19">
        <f>SUMIFS('Data Additive'!$D:$D,'Data Additive'!$P:$P,'Painel Additive'!$B14,'Data Additive'!$Q:$Q,"&lt;=-61",'Data Additive'!$Q:$Q,"&gt;=-90")</f>
        <v>410856.52</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-831017.13</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-150199.79999999999</v>
      </c>
      <c r="F73" s="18">
        <f t="shared" si="11"/>
        <v>150199.79999999999</v>
      </c>
      <c r="G73" s="19">
        <f>SUMIFS('Data Additive'!$D:$D,'Data Additive'!$P:$P,'Painel Additive'!$B15,'Data Additive'!$Q:$Q,"&gt;0",'Data Additive'!$Q:$Q,"&lt;=30")</f>
        <v>0</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0</v>
      </c>
      <c r="O73" s="19">
        <f t="shared" si="12"/>
        <v>150199.79999999999</v>
      </c>
      <c r="P73" s="19">
        <f>SUMIFS('Data Additive'!$D:$D,'Data Additive'!$P:$P,'Painel Additive'!$B15,'Data Additive'!$Q:$Q,"&lt;=0",'Data Additive'!$Q:$Q,"&gt;=-30")</f>
        <v>74983</v>
      </c>
      <c r="Q73" s="19">
        <f>SUMIFS('Data Additive'!$D:$D,'Data Additive'!$P:$P,'Painel Additive'!$B15,'Data Additive'!$Q:$Q,"&lt;=-31",'Data Additive'!$Q:$Q,"&gt;=-60")</f>
        <v>75216.800000000003</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-150199.79999999999</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-137084.1</v>
      </c>
      <c r="F74" s="18">
        <f t="shared" si="11"/>
        <v>137084.1</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137084.1</v>
      </c>
      <c r="P74" s="19">
        <f>SUMIFS('Data Additive'!$D:$D,'Data Additive'!$P:$P,'Painel Additive'!$B16,'Data Additive'!$Q:$Q,"&lt;=0",'Data Additive'!$Q:$Q,"&gt;=-30")</f>
        <v>137084.1</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-137084.1</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166</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-99785</v>
      </c>
      <c r="F78" s="18">
        <f t="shared" si="11"/>
        <v>99785</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99785</v>
      </c>
      <c r="P78" s="19">
        <f>SUMIFS('Data Additive'!$D:$D,'Data Additive'!$P:$P,'Painel Additive'!$B19,'Data Additive'!$Q:$Q,"&lt;=0",'Data Additive'!$Q:$Q,"&gt;=-30")</f>
        <v>99785</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-99785</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-167464</v>
      </c>
      <c r="F79" s="18">
        <f t="shared" si="11"/>
        <v>167464</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167464</v>
      </c>
      <c r="P79" s="19">
        <f>SUMIFS('Data Additive'!$D:$D,'Data Additive'!$P:$P,'Painel Additive'!$B20,'Data Additive'!$Q:$Q,"&lt;=0",'Data Additive'!$Q:$Q,"&gt;=-30")</f>
        <v>167464</v>
      </c>
      <c r="Q79" s="19">
        <f>SUMIFS('Data Additive'!$D:$D,'Data Additive'!$P:$P,'Painel Additive'!$B20,'Data Additive'!$Q:$Q,"&lt;=-31",'Data Additive'!$Q:$Q,"&gt;=-60")</f>
        <v>0</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-167464</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167</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169</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170</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-20401.599999999999</v>
      </c>
      <c r="F88" s="18">
        <f t="shared" si="11"/>
        <v>20401.599999999999</v>
      </c>
      <c r="G88" s="19">
        <f>SUMIFS('Data Additive'!$D:$D,'Data Additive'!$P:$P,'Painel Additive'!$B25,'Data Additive'!$Q:$Q,"&gt;0",'Data Additive'!$Q:$Q,"&lt;=30")</f>
        <v>10200.799999999999</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10200.799999999999</v>
      </c>
      <c r="O88" s="19">
        <f t="shared" si="12"/>
        <v>10200.799999999999</v>
      </c>
      <c r="P88" s="19">
        <f>SUMIFS('Data Additive'!$D:$D,'Data Additive'!$P:$P,'Painel Additive'!$B25,'Data Additive'!$Q:$Q,"&lt;=0",'Data Additive'!$Q:$Q,"&gt;=-30")</f>
        <v>10200.799999999999</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-20401.599999999999</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0</v>
      </c>
      <c r="F92" s="18">
        <f t="shared" si="11"/>
        <v>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0</v>
      </c>
      <c r="P92" s="19">
        <f>SUMIFS('Data Additive'!$D:$D,'Data Additive'!$P:$P,'Painel Additive'!$B31,'Data Additive'!$Q:$Q,"&lt;=0",'Data Additive'!$Q:$Q,"&gt;=-30")</f>
        <v>0</v>
      </c>
      <c r="Q92" s="19">
        <f>SUMIFS('Data Additive'!$D:$D,'Data Additive'!$P:$P,'Painel Additive'!$B31,'Data Additive'!$Q:$Q,"&lt;=-31",'Data Additive'!$Q:$Q,"&gt;=-60")</f>
        <v>0</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176</v>
      </c>
      <c r="C94" s="93" cm="1">
        <f t="array" ref="C94">IFERROR(INDEX('Limite de crédito'!$D:$D, MATCH(MAX(IF('Limite de crédito'!$C:$C=$B94, 'Limite de crédito'!$A:$A)), 'Limite de crédito'!$A:$A, 0)),"")</f>
        <v>45803</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93</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147</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97</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107</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108</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109</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132</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189</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148</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116</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118</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115</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113</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192</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110</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117</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112</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120</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141</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121</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215</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236</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237</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238</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239</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240</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241</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242</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243</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244</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245</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246</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247</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249</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250</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251</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252</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254</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257</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261</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264</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267</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288</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289</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383</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301</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302</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303</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304</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296</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306</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307</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312</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313</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321</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322</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323</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327</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326</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325</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137</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265</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359</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354</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358</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362</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363</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364</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366</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368</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372</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388</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399</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400</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309</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397</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402</v>
      </c>
      <c r="C171" s="94" cm="1">
        <f t="array" ref="C171">IFERROR(INDEX('Limite de crédito'!$D:$D, MATCH(MAX(IF('Limite de crédito'!$C:$C=$B171, 'Limite de crédito'!$A:$A)), 'Limite de crédito'!$A:$A, 0)),"")</f>
        <v>45980</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431</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434</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25378735.139999997</v>
      </c>
      <c r="G1" s="9">
        <f t="shared" si="0"/>
        <v>0</v>
      </c>
      <c r="H1" s="9">
        <f t="shared" si="0"/>
        <v>0</v>
      </c>
      <c r="I1" s="9">
        <f t="shared" si="0"/>
        <v>0</v>
      </c>
      <c r="J1" s="9">
        <f t="shared" si="0"/>
        <v>0</v>
      </c>
      <c r="K1" s="9">
        <f t="shared" si="0"/>
        <v>0</v>
      </c>
      <c r="L1" s="9">
        <f t="shared" si="0"/>
        <v>988506.24</v>
      </c>
      <c r="M1" s="9">
        <f t="shared" si="0"/>
        <v>20866322.349999998</v>
      </c>
      <c r="N1" s="9">
        <f t="shared" si="0"/>
        <v>21854828.589999996</v>
      </c>
      <c r="O1" s="9">
        <f t="shared" ref="O1:W1" si="1">SUM(O4:O192)</f>
        <v>3523906.55</v>
      </c>
      <c r="P1" s="9">
        <f t="shared" si="1"/>
        <v>555463.6</v>
      </c>
      <c r="Q1" s="9">
        <f t="shared" si="1"/>
        <v>1906275.39</v>
      </c>
      <c r="R1" s="9">
        <f t="shared" si="1"/>
        <v>0</v>
      </c>
      <c r="S1" s="9">
        <f t="shared" si="1"/>
        <v>0</v>
      </c>
      <c r="T1" s="9">
        <f t="shared" si="1"/>
        <v>1062167.56</v>
      </c>
      <c r="U1" s="9">
        <f t="shared" si="1"/>
        <v>0</v>
      </c>
      <c r="V1" s="9">
        <f t="shared" si="1"/>
        <v>0</v>
      </c>
      <c r="W1" s="9" t="e">
        <f t="shared" si="1"/>
        <v>#REF!</v>
      </c>
      <c r="X1" s="10"/>
      <c r="Y1" s="42">
        <f>N1/F1</f>
        <v>0.86114727426088733</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103"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17" t="s">
        <v>177</v>
      </c>
      <c r="C4" s="97" t="s">
        <v>476</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432</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770854.72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770854.72</v>
      </c>
      <c r="P5" s="19">
        <f>SUMIFS('Data Fertilizers'!$D:$D,'Data Fertilizers'!$P:$P,$B5,'Data Fertilizers'!$Q:$Q,"&lt;=0",'Data Fertilizers'!$Q:$Q,"&gt;=-30")</f>
        <v>464127.6</v>
      </c>
      <c r="Q5" s="19">
        <f>SUMIFS('Data Fertilizers'!$D:$D,'Data Fertilizers'!$P:$P,$B5,'Data Fertilizers'!$Q:$Q,"&lt;=-31",'Data Fertilizers'!$Q:$Q,"&gt;=-60")</f>
        <v>306727.12</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-770854.72</v>
      </c>
    </row>
    <row r="6" spans="1:38" ht="15.75" customHeight="1" x14ac:dyDescent="0.25">
      <c r="B6" s="41" t="s">
        <v>429</v>
      </c>
      <c r="C6" s="97" t="s">
        <v>476</v>
      </c>
      <c r="D6" s="107" cm="1">
        <f t="array" ref="D6">IFERROR(INDEX('Limite de crédito'!$F:$F, MATCH(MAX(IF('Limite de crédito'!$C:$C=$B6, 'Limite de crédito'!$A:$A)), 'Limite de crédito'!$A:$A, 0)),0)</f>
        <v>0</v>
      </c>
      <c r="E6" s="18">
        <f t="shared" si="2"/>
        <v>-3088531.0700000008</v>
      </c>
      <c r="F6" s="18">
        <f t="shared" si="3"/>
        <v>3088531.0700000008</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3088531.0700000008</v>
      </c>
      <c r="N6" s="19">
        <f>SUMIFS('Data Fertilizers'!$D:$D,'Data Fertilizers'!$P:$P,$B6,'Data Fertilizers'!$Q:$Q,"&gt;0")</f>
        <v>3088531.0700000008</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-3088531.0700000008</v>
      </c>
    </row>
    <row r="7" spans="1:38" ht="15.75" customHeight="1" x14ac:dyDescent="0.25">
      <c r="B7" s="17" t="s">
        <v>210</v>
      </c>
      <c r="C7" s="97" t="s">
        <v>476</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226</v>
      </c>
      <c r="AA7" s="21">
        <v>90</v>
      </c>
      <c r="AB7" s="5"/>
      <c r="AC7" s="19">
        <v>3000000</v>
      </c>
      <c r="AD7" s="20" t="s">
        <v>226</v>
      </c>
      <c r="AE7" s="22">
        <v>45655</v>
      </c>
      <c r="AF7" s="22" t="s">
        <v>232</v>
      </c>
      <c r="AG7" s="5"/>
      <c r="AH7" s="28">
        <f t="shared" si="5"/>
        <v>-44850.91999999946</v>
      </c>
      <c r="AI7" s="5"/>
      <c r="AJ7" s="26"/>
    </row>
    <row r="8" spans="1:38" ht="15.75" customHeight="1" x14ac:dyDescent="0.25">
      <c r="B8" s="17" t="s">
        <v>187</v>
      </c>
      <c r="C8" s="97" t="s">
        <v>476</v>
      </c>
      <c r="D8" s="107">
        <v>0</v>
      </c>
      <c r="E8" s="18">
        <f t="shared" si="2"/>
        <v>-2492842.0500000007</v>
      </c>
      <c r="F8" s="18">
        <f t="shared" si="3"/>
        <v>2492842.0500000007</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2492842.0500000007</v>
      </c>
      <c r="N8" s="19">
        <f>SUMIFS('Data Fertilizers'!$D:$D,'Data Fertilizers'!$P:$P,$B8,'Data Fertilizers'!$Q:$Q,"&gt;0")</f>
        <v>2492842.0500000007</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228</v>
      </c>
      <c r="AA8" s="21">
        <v>360</v>
      </c>
      <c r="AB8" s="5"/>
      <c r="AC8" s="19">
        <v>5517407.7000000002</v>
      </c>
      <c r="AD8" s="20" t="s">
        <v>226</v>
      </c>
      <c r="AE8" s="22">
        <v>45606</v>
      </c>
      <c r="AF8" s="22" t="s">
        <v>232</v>
      </c>
      <c r="AG8" s="5"/>
      <c r="AH8" s="28">
        <f t="shared" si="5"/>
        <v>3024565.6499999994</v>
      </c>
      <c r="AI8" s="5"/>
      <c r="AJ8" s="26"/>
    </row>
    <row r="9" spans="1:38" ht="15.75" customHeight="1" x14ac:dyDescent="0.25">
      <c r="B9" s="17" t="s">
        <v>197</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269056</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269056</v>
      </c>
      <c r="P9" s="19">
        <f>SUMIFS('Data Fertilizers'!$D:$D,'Data Fertilizers'!$P:$P,$B9,'Data Fertilizers'!$Q:$Q,"&lt;=0",'Data Fertilizers'!$Q:$Q,"&gt;=-30")</f>
        <v>0</v>
      </c>
      <c r="Q9" s="19">
        <f>SUMIFS('Data Fertilizers'!$D:$D,'Data Fertilizers'!$P:$P,$B9,'Data Fertilizers'!$Q:$Q,"&lt;=-31",'Data Fertilizers'!$Q:$Q,"&gt;=-60")</f>
        <v>137376</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226</v>
      </c>
      <c r="AA9" s="21">
        <v>360</v>
      </c>
      <c r="AB9" s="5"/>
      <c r="AC9" s="19">
        <v>0</v>
      </c>
      <c r="AD9" s="20">
        <v>0</v>
      </c>
      <c r="AE9" s="22"/>
      <c r="AF9" s="22"/>
      <c r="AG9" s="5"/>
      <c r="AH9" s="28">
        <f t="shared" si="5"/>
        <v>-269056</v>
      </c>
      <c r="AI9" s="5"/>
      <c r="AJ9" s="26"/>
    </row>
    <row r="10" spans="1:38" ht="15.75" customHeight="1" x14ac:dyDescent="0.25">
      <c r="B10" s="17" t="s">
        <v>195</v>
      </c>
      <c r="C10" s="97" t="s">
        <v>476</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226</v>
      </c>
      <c r="AA10" s="21">
        <v>360</v>
      </c>
      <c r="AB10" s="5"/>
      <c r="AC10" s="19">
        <v>1892359.96</v>
      </c>
      <c r="AD10" s="20" t="s">
        <v>226</v>
      </c>
      <c r="AE10" s="22">
        <v>45606</v>
      </c>
      <c r="AF10" s="22" t="s">
        <v>232</v>
      </c>
      <c r="AG10" s="5"/>
      <c r="AH10" s="28">
        <f t="shared" si="5"/>
        <v>29159.060000000056</v>
      </c>
      <c r="AI10" s="5"/>
      <c r="AJ10" s="26"/>
    </row>
    <row r="11" spans="1:38" ht="15.75" customHeight="1" x14ac:dyDescent="0.25">
      <c r="B11" s="17" t="s">
        <v>199</v>
      </c>
      <c r="C11" s="97" t="s">
        <v>476</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226</v>
      </c>
      <c r="AA11" s="21">
        <v>120</v>
      </c>
      <c r="AB11" s="5"/>
      <c r="AC11" s="19">
        <v>0</v>
      </c>
      <c r="AD11" s="20">
        <v>0</v>
      </c>
      <c r="AE11" s="22"/>
      <c r="AF11" s="22"/>
      <c r="AG11" s="5"/>
      <c r="AH11" s="28">
        <f t="shared" si="5"/>
        <v>-1702848.7400000002</v>
      </c>
      <c r="AI11" s="5"/>
      <c r="AJ11" s="26"/>
    </row>
    <row r="12" spans="1:38" ht="15.75" customHeight="1" x14ac:dyDescent="0.25">
      <c r="B12" s="17" t="s">
        <v>207</v>
      </c>
      <c r="C12" s="97" t="s">
        <v>476</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233</v>
      </c>
      <c r="AE12" s="22">
        <v>45505</v>
      </c>
      <c r="AF12" s="22" t="s">
        <v>232</v>
      </c>
      <c r="AG12" s="5"/>
      <c r="AH12" s="28">
        <f t="shared" si="5"/>
        <v>3123988.25</v>
      </c>
      <c r="AI12" s="5"/>
      <c r="AJ12" s="26"/>
    </row>
    <row r="13" spans="1:38" ht="15.75" customHeight="1" x14ac:dyDescent="0.25">
      <c r="B13" s="17" t="s">
        <v>206</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226</v>
      </c>
      <c r="AA13" s="21">
        <v>90</v>
      </c>
      <c r="AB13" s="5"/>
      <c r="AC13" s="19">
        <v>0</v>
      </c>
      <c r="AD13" s="20">
        <v>0</v>
      </c>
      <c r="AE13" s="22"/>
      <c r="AF13" s="22"/>
      <c r="AG13" s="5"/>
      <c r="AH13" s="28">
        <f t="shared" si="5"/>
        <v>0</v>
      </c>
      <c r="AI13" s="5"/>
      <c r="AJ13" s="26"/>
    </row>
    <row r="14" spans="1:38" ht="15.75" customHeight="1" x14ac:dyDescent="0.25">
      <c r="B14" s="17" t="s">
        <v>213</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226</v>
      </c>
      <c r="AA14" s="21">
        <v>120</v>
      </c>
      <c r="AB14" s="5"/>
      <c r="AC14" s="19">
        <v>0</v>
      </c>
      <c r="AD14" s="20">
        <v>0</v>
      </c>
      <c r="AE14" s="22"/>
      <c r="AF14" s="22"/>
      <c r="AG14" s="5"/>
      <c r="AH14" s="28">
        <f t="shared" si="5"/>
        <v>0</v>
      </c>
      <c r="AI14" s="5"/>
      <c r="AJ14" s="26"/>
    </row>
    <row r="15" spans="1:38" ht="15.75" customHeight="1" x14ac:dyDescent="0.25">
      <c r="B15" s="17" t="s">
        <v>182</v>
      </c>
      <c r="C15" s="104" cm="1">
        <f t="array" ref="C15">IFERROR(INDEX('Limite de crédito'!$D:$D, MATCH(MAX(IF('Limite de crédito'!$C:$C=$B15, 'Limite de crédito'!$A:$A)), 'Limite de crédito'!$A:$A, 0)),"")</f>
        <v>45890</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0</v>
      </c>
      <c r="Q15" s="19">
        <f>SUMIFS('Data Fertilizers'!$D:$D,'Data Fertilizers'!$P:$P,$B15,'Data Fertilizers'!$Q:$Q,"&lt;=-31",'Data Fertilizers'!$Q:$Q,"&gt;=-60")</f>
        <v>274733.36</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229</v>
      </c>
      <c r="AA15" s="21">
        <v>120</v>
      </c>
      <c r="AB15" s="5"/>
      <c r="AC15" s="19">
        <v>0</v>
      </c>
      <c r="AD15" s="20">
        <v>0</v>
      </c>
      <c r="AE15" s="22"/>
      <c r="AF15" s="22"/>
      <c r="AG15" s="5"/>
      <c r="AH15" s="28">
        <f t="shared" si="5"/>
        <v>-1200190.42</v>
      </c>
      <c r="AI15" s="5"/>
      <c r="AJ15" s="26"/>
    </row>
    <row r="16" spans="1:38" ht="15.75" customHeight="1" x14ac:dyDescent="0.25">
      <c r="B16" s="41" t="s">
        <v>335</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815729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815729</v>
      </c>
      <c r="P16" s="19">
        <f>SUMIFS('Data Fertilizers'!$D:$D,'Data Fertilizers'!$P:$P,$B16,'Data Fertilizers'!$Q:$Q,"&lt;=0",'Data Fertilizers'!$Q:$Q,"&gt;=-30")</f>
        <v>91336</v>
      </c>
      <c r="Q16" s="19">
        <f>SUMIFS('Data Fertilizers'!$D:$D,'Data Fertilizers'!$P:$P,$B16,'Data Fertilizers'!$Q:$Q,"&lt;=-31",'Data Fertilizers'!$Q:$Q,"&gt;=-60")</f>
        <v>724393</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-815729</v>
      </c>
      <c r="AJ16" s="26"/>
    </row>
    <row r="17" spans="2:36" ht="15.75" customHeight="1" x14ac:dyDescent="0.25">
      <c r="B17" s="41" t="s">
        <v>424</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435</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433</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0</v>
      </c>
      <c r="Q19" s="19">
        <f>SUMIFS('Data Fertilizers'!$D:$D,'Data Fertilizers'!$P:$P,$B19,'Data Fertilizers'!$Q:$Q,"&lt;=-31",'Data Fertilizers'!$Q:$Q,"&gt;=-60")</f>
        <v>133718</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270</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988506.24</v>
      </c>
      <c r="M20" s="23">
        <f>SUMIFS('Data Fertilizers'!$D:$D,'Data Fertilizers'!$P:$P,$B20,'Data Fertilizers'!$Q:$Q,"&gt;360")</f>
        <v>0</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212</v>
      </c>
      <c r="C21" s="97" t="s">
        <v>476</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231</v>
      </c>
      <c r="AA21" s="21">
        <v>180</v>
      </c>
      <c r="AB21" s="5"/>
      <c r="AC21" s="19">
        <v>0</v>
      </c>
      <c r="AD21" s="20">
        <v>0</v>
      </c>
      <c r="AE21" s="22"/>
      <c r="AF21" s="22"/>
      <c r="AG21" s="5"/>
      <c r="AH21" s="28">
        <f t="shared" si="5"/>
        <v>0</v>
      </c>
      <c r="AI21" s="5"/>
      <c r="AJ21" s="26"/>
    </row>
    <row r="22" spans="2:36" ht="15.75" customHeight="1" x14ac:dyDescent="0.25">
      <c r="B22" s="41" t="s">
        <v>314</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319</v>
      </c>
      <c r="AA22" s="21"/>
      <c r="AB22" s="5"/>
      <c r="AC22" s="19"/>
      <c r="AD22" s="20"/>
      <c r="AE22" s="22"/>
      <c r="AF22" s="22"/>
      <c r="AG22" s="5"/>
      <c r="AH22" s="28">
        <f t="shared" si="5"/>
        <v>0</v>
      </c>
      <c r="AJ22" s="26"/>
    </row>
    <row r="23" spans="2:36" x14ac:dyDescent="0.25">
      <c r="B23" s="41" t="s">
        <v>427</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357</v>
      </c>
      <c r="C24" s="97" cm="1">
        <f t="array" ref="C24">IFERROR(INDEX('Limite de crédito'!$D:$D, MATCH(MAX(IF('Limite de crédito'!$C:$C=$B24, 'Limite de crédito'!$A:$A)), 'Limite de crédito'!$A:$A, 0)),"")</f>
        <v>45566</v>
      </c>
      <c r="D24" s="107" t="str" cm="1">
        <f t="array" ref="D24">IFERROR(INDEX('Limite de crédito'!$F:$F, MATCH(MAX(IF('Limite de crédito'!$C:$C=$B24, 'Limite de crédito'!$A:$A)), 'Limite de crédito'!$A:$A, 0)),0)</f>
        <v>Sim</v>
      </c>
      <c r="E24" s="18" t="e">
        <f t="shared" si="2"/>
        <v>#VALUE!</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376</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260</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396</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157</v>
      </c>
      <c r="C28" s="97" t="s">
        <v>476</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122</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234</v>
      </c>
      <c r="AA29" s="21">
        <v>120</v>
      </c>
      <c r="AB29" s="5"/>
      <c r="AC29" s="19">
        <v>0</v>
      </c>
      <c r="AD29" s="20">
        <v>0</v>
      </c>
      <c r="AE29" s="22"/>
      <c r="AF29" s="22"/>
      <c r="AG29" s="5"/>
      <c r="AH29" s="28">
        <f t="shared" si="5"/>
        <v>0</v>
      </c>
      <c r="AI29" s="5"/>
      <c r="AJ29" s="26"/>
    </row>
    <row r="30" spans="2:36" x14ac:dyDescent="0.25">
      <c r="B30" s="41" t="s">
        <v>426</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0</v>
      </c>
      <c r="T30" s="19">
        <f>SUMIFS('Data Fertilizers'!$D:$D,'Data Fertilizers'!$P:$P,$B30,'Data Fertilizers'!$Q:$Q,"&lt;=-121",'Data Fertilizers'!$Q:$Q,"&gt;=-180")</f>
        <v>5030.5</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375</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377</v>
      </c>
      <c r="C32" s="97" cm="1">
        <f t="array" ref="C32">IFERROR(INDEX('Limite de crédito'!$D:$D, MATCH(MAX(IF('Limite de crédito'!$C:$C=$B32, 'Limite de crédito'!$A:$A)), 'Limite de crédito'!$A:$A, 0)),"")</f>
        <v>45876</v>
      </c>
      <c r="D32" s="107" t="str" cm="1">
        <f t="array" ref="D32">IFERROR(INDEX('Limite de crédito'!$F:$F, MATCH(MAX(IF('Limite de crédito'!$C:$C=$B32, 'Limite de crédito'!$A:$A)), 'Limite de crédito'!$A:$A, 0)),0)</f>
        <v>Sim</v>
      </c>
      <c r="E32" s="18" t="e">
        <f t="shared" si="2"/>
        <v>#VALUE!</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0</v>
      </c>
      <c r="Q32" s="19">
        <f>SUMIFS('Data Fertilizers'!$D:$D,'Data Fertilizers'!$P:$P,$B32,'Data Fertilizers'!$Q:$Q,"&lt;=-31",'Data Fertilizers'!$Q:$Q,"&gt;=-60")</f>
        <v>329327.90999999997</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172</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180</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227</v>
      </c>
      <c r="AA34" s="21">
        <v>120</v>
      </c>
      <c r="AB34" s="5"/>
      <c r="AC34" s="19">
        <v>0</v>
      </c>
      <c r="AD34" s="20">
        <v>0</v>
      </c>
      <c r="AE34" s="22"/>
      <c r="AF34" s="22"/>
      <c r="AG34" s="5"/>
      <c r="AH34" s="28">
        <f t="shared" si="5"/>
        <v>0</v>
      </c>
      <c r="AI34" s="5"/>
      <c r="AJ34" s="26"/>
    </row>
    <row r="35" spans="2:36" x14ac:dyDescent="0.25">
      <c r="B35" s="17" t="s">
        <v>184</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227</v>
      </c>
      <c r="AA35" s="21">
        <v>120</v>
      </c>
      <c r="AB35" s="5"/>
      <c r="AC35" s="19">
        <v>0</v>
      </c>
      <c r="AD35" s="20">
        <v>0</v>
      </c>
      <c r="AE35" s="22"/>
      <c r="AF35" s="22"/>
      <c r="AG35" s="5"/>
      <c r="AH35" s="28">
        <f t="shared" si="5"/>
        <v>0</v>
      </c>
      <c r="AI35" s="5"/>
      <c r="AJ35" s="26"/>
    </row>
    <row r="36" spans="2:36" x14ac:dyDescent="0.25">
      <c r="B36" s="17" t="s">
        <v>185</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230</v>
      </c>
      <c r="AA36" s="21">
        <v>90</v>
      </c>
      <c r="AB36" s="5"/>
      <c r="AC36" s="19">
        <v>0</v>
      </c>
      <c r="AD36" s="20">
        <v>0</v>
      </c>
      <c r="AE36" s="22"/>
      <c r="AF36" s="22"/>
      <c r="AG36" s="5"/>
      <c r="AH36" s="28">
        <f t="shared" ref="AH36:AH62" si="9">AC36-F36</f>
        <v>0</v>
      </c>
      <c r="AI36" s="5"/>
      <c r="AJ36" s="26"/>
    </row>
    <row r="37" spans="2:36" x14ac:dyDescent="0.25">
      <c r="B37" s="17" t="s">
        <v>193</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226</v>
      </c>
      <c r="AA37" s="21">
        <v>360</v>
      </c>
      <c r="AB37" s="5"/>
      <c r="AC37" s="19">
        <v>0</v>
      </c>
      <c r="AD37" s="20">
        <v>0</v>
      </c>
      <c r="AE37" s="22"/>
      <c r="AF37" s="22"/>
      <c r="AG37" s="5"/>
      <c r="AH37" s="28">
        <f t="shared" si="9"/>
        <v>0</v>
      </c>
      <c r="AI37" s="5"/>
      <c r="AJ37" s="26"/>
    </row>
    <row r="38" spans="2:36" x14ac:dyDescent="0.25">
      <c r="B38" s="17" t="s">
        <v>203</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205</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209</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214</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268</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269</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297</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299</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300</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226</v>
      </c>
      <c r="AE46" s="22" t="s">
        <v>318</v>
      </c>
      <c r="AF46" s="22" t="s">
        <v>318</v>
      </c>
      <c r="AG46" s="5"/>
      <c r="AH46" s="28">
        <f t="shared" si="9"/>
        <v>1300000</v>
      </c>
      <c r="AJ46" s="26"/>
    </row>
    <row r="47" spans="2:36" x14ac:dyDescent="0.25">
      <c r="B47" s="47" t="s">
        <v>311</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316</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324</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328</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331</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332</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353</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356</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367</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369</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371</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370</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386</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387</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204</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228</v>
      </c>
      <c r="AA61" s="21">
        <v>0</v>
      </c>
      <c r="AB61" s="5"/>
      <c r="AC61" s="19">
        <v>0</v>
      </c>
      <c r="AD61" s="20">
        <v>0</v>
      </c>
      <c r="AE61" s="22"/>
      <c r="AF61" s="22"/>
      <c r="AG61" s="5"/>
      <c r="AH61" s="28">
        <f t="shared" si="9"/>
        <v>0</v>
      </c>
      <c r="AI61" s="5"/>
      <c r="AJ61" s="26"/>
    </row>
    <row r="62" spans="2:38" x14ac:dyDescent="0.25">
      <c r="B62" s="111" t="s">
        <v>151</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472</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4317255.3900000006</v>
      </c>
      <c r="G1" s="9">
        <f t="shared" si="0"/>
        <v>0</v>
      </c>
      <c r="H1" s="9">
        <f t="shared" si="0"/>
        <v>0</v>
      </c>
      <c r="I1" s="9">
        <f t="shared" si="0"/>
        <v>14548.35</v>
      </c>
      <c r="J1" s="9">
        <f t="shared" si="0"/>
        <v>0</v>
      </c>
      <c r="K1" s="9">
        <f t="shared" si="0"/>
        <v>0</v>
      </c>
      <c r="L1" s="9">
        <f t="shared" si="0"/>
        <v>0</v>
      </c>
      <c r="M1" s="9">
        <f t="shared" si="0"/>
        <v>0</v>
      </c>
      <c r="N1" s="9">
        <f t="shared" si="0"/>
        <v>14548.35</v>
      </c>
      <c r="O1" s="9">
        <f t="shared" ref="O1:W1" si="1">SUM(O4:O129)</f>
        <v>4302707.04</v>
      </c>
      <c r="P1" s="9">
        <f t="shared" si="1"/>
        <v>946071.63</v>
      </c>
      <c r="Q1" s="9">
        <f t="shared" si="1"/>
        <v>0</v>
      </c>
      <c r="R1" s="9">
        <f t="shared" si="1"/>
        <v>3280155.1799999997</v>
      </c>
      <c r="S1" s="9">
        <f t="shared" si="1"/>
        <v>0</v>
      </c>
      <c r="T1" s="9">
        <f t="shared" si="1"/>
        <v>0</v>
      </c>
      <c r="U1" s="9">
        <f t="shared" si="1"/>
        <v>76480.23</v>
      </c>
      <c r="V1" s="9">
        <f t="shared" si="1"/>
        <v>0</v>
      </c>
      <c r="W1" s="9" t="e">
        <f t="shared" si="1"/>
        <v>#REF!</v>
      </c>
      <c r="X1" s="10"/>
      <c r="Y1" s="42">
        <f>N1/F1</f>
        <v>3.3698145432160776E-3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3.8" thickTop="1" x14ac:dyDescent="0.25">
      <c r="B4" s="41" t="s">
        <v>337</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330</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374</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293</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295</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128</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361</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423</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403</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131</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129</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157607.13</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157607.13</v>
      </c>
      <c r="P14" s="19">
        <f>SUMIFS('Data International'!$D:$D,'Data International'!$P:$P,'Painel International'!$B6,'Data International'!$Q:$Q,"&lt;=0",'Data International'!$Q:$Q,"&gt;=-30")</f>
        <v>157607.13</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-157607.13</v>
      </c>
      <c r="AI14" s="5"/>
    </row>
    <row r="15" spans="1:38" x14ac:dyDescent="0.25">
      <c r="B15" s="17" t="s">
        <v>126</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510391.22</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510391.22</v>
      </c>
      <c r="P15" s="19">
        <f>SUMIFS('Data International'!$D:$D,'Data International'!$P:$P,'Painel International'!$B7,'Data International'!$Q:$Q,"&lt;=0",'Data International'!$Q:$Q,"&gt;=-30")</f>
        <v>510391.22</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-510391.22</v>
      </c>
      <c r="AI15" s="5"/>
    </row>
    <row r="16" spans="1:38" x14ac:dyDescent="0.25">
      <c r="B16" s="17" t="s">
        <v>130</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145895</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145895</v>
      </c>
      <c r="P16" s="19">
        <f>SUMIFS('Data International'!$D:$D,'Data International'!$P:$P,'Painel International'!$B8,'Data International'!$Q:$Q,"&lt;=0",'Data International'!$Q:$Q,"&gt;=-30")</f>
        <v>145895</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-145895</v>
      </c>
      <c r="AI16" s="5"/>
    </row>
    <row r="17" spans="2:35" x14ac:dyDescent="0.25">
      <c r="B17" s="17" t="s">
        <v>186</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134</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14548.35</v>
      </c>
      <c r="J18" s="19">
        <f>SUMIFS('Data International'!$D:$D,'Data International'!$P:$P,'Painel International'!$B11,'Data International'!$Q:$Q,"&gt;90",'Data International'!$Q:$Q,"&lt;=120")</f>
        <v>0</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135</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0</v>
      </c>
      <c r="F19" s="18">
        <f t="shared" si="3"/>
        <v>0</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0</v>
      </c>
      <c r="P19" s="19">
        <f>SUMIFS('Data International'!$D:$D,'Data International'!$P:$P,'Painel International'!$B12,'Data International'!$Q:$Q,"&lt;=0",'Data International'!$Q:$Q,"&gt;=-30")</f>
        <v>0</v>
      </c>
      <c r="Q19" s="19">
        <f>SUMIFS('Data International'!$D:$D,'Data International'!$P:$P,'Painel International'!$B12,'Data International'!$Q:$Q,"&lt;=-31",'Data International'!$Q:$Q,"&gt;=-60")</f>
        <v>0</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0</v>
      </c>
      <c r="AI19" s="5"/>
    </row>
    <row r="20" spans="2:35" x14ac:dyDescent="0.25">
      <c r="B20" s="17" t="s">
        <v>248</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0</v>
      </c>
      <c r="R20" s="19">
        <f>SUMIFS('Data International'!$D:$D,'Data International'!$P:$P,'Painel International'!$B13,'Data International'!$Q:$Q,"&lt;=-61",'Data International'!$Q:$Q,"&gt;=-90")</f>
        <v>3280155.1799999997</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262</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382</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305</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132178.28</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132178.28</v>
      </c>
      <c r="P23" s="19">
        <f>SUMIFS('Data International'!$D:$D,'Data International'!$P:$P,'Painel International'!$B17,'Data International'!$Q:$Q,"&lt;=0",'Data International'!$Q:$Q,"&gt;=-30")</f>
        <v>132178.28</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-132178.28</v>
      </c>
    </row>
    <row r="24" spans="2:35" x14ac:dyDescent="0.25">
      <c r="B24" s="17" t="s">
        <v>308</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329</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355</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179</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133</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360</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385</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392</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393</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394</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418</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398</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413</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395</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438</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8"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46112</v>
      </c>
      <c r="C1" s="11"/>
      <c r="D1" s="11"/>
      <c r="E1" s="11"/>
      <c r="F1" s="11"/>
      <c r="G1" s="9">
        <f t="shared" ref="G1:P1" si="0">SUBTOTAL(9,G4:G103)</f>
        <v>5540381.379999999</v>
      </c>
      <c r="H1" s="9">
        <f t="shared" si="0"/>
        <v>0</v>
      </c>
      <c r="I1" s="9">
        <f t="shared" si="0"/>
        <v>0</v>
      </c>
      <c r="J1" s="9">
        <f t="shared" si="0"/>
        <v>14548.35</v>
      </c>
      <c r="K1" s="9">
        <f t="shared" si="0"/>
        <v>0</v>
      </c>
      <c r="L1" s="9">
        <f t="shared" si="0"/>
        <v>252226.12</v>
      </c>
      <c r="M1" s="9">
        <f t="shared" si="0"/>
        <v>197808.84999999998</v>
      </c>
      <c r="N1" s="9">
        <f t="shared" si="0"/>
        <v>0</v>
      </c>
      <c r="O1" s="9">
        <f t="shared" si="0"/>
        <v>464583.31999999995</v>
      </c>
      <c r="P1" s="9">
        <f t="shared" si="0"/>
        <v>5075798.0599999987</v>
      </c>
      <c r="Q1" s="9">
        <f t="shared" ref="Q1:W1" si="1">SUM(Q4:Q104)</f>
        <v>1410908.4700000002</v>
      </c>
      <c r="R1" s="9">
        <f t="shared" si="1"/>
        <v>262535.71999999997</v>
      </c>
      <c r="S1" s="9">
        <f t="shared" si="1"/>
        <v>3325873.6399999997</v>
      </c>
      <c r="T1" s="9">
        <f t="shared" si="1"/>
        <v>0</v>
      </c>
      <c r="U1" s="9">
        <f t="shared" si="1"/>
        <v>0</v>
      </c>
      <c r="V1" s="9">
        <f t="shared" si="1"/>
        <v>76480.23</v>
      </c>
      <c r="W1" s="9">
        <f t="shared" si="1"/>
        <v>0</v>
      </c>
      <c r="X1" s="9">
        <f>SUBTOTAL(9,X4:X103)</f>
        <v>13501.0491</v>
      </c>
      <c r="Y1" s="10"/>
      <c r="Z1" s="10"/>
      <c r="AA1" s="9">
        <f>SUBTOTAL(9,AA4:AA204)</f>
        <v>26620000</v>
      </c>
      <c r="AD1" s="10"/>
      <c r="AE1" s="14"/>
      <c r="AF1" s="10"/>
      <c r="AG1" s="27">
        <f>SUBTOTAL(9,AG4:AG207)</f>
        <v>21079618.619999997</v>
      </c>
      <c r="AH1" s="10"/>
      <c r="AI1" s="10"/>
      <c r="AJ1" s="233">
        <f>O1/G1</f>
        <v>8.3854032445686982E-2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482</v>
      </c>
      <c r="AK2" s="39"/>
      <c r="AL2" s="39"/>
    </row>
    <row r="3" spans="1:38"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37" t="s">
        <v>662</v>
      </c>
      <c r="AJ3" s="112" t="s">
        <v>483</v>
      </c>
      <c r="AK3" s="113" t="s">
        <v>484</v>
      </c>
      <c r="AL3" s="113" t="s">
        <v>485</v>
      </c>
    </row>
    <row r="4" spans="1:38" ht="13.8" thickTop="1" x14ac:dyDescent="0.25">
      <c r="B4" s="41" t="s">
        <v>487</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2"/>
    </row>
    <row r="5" spans="1:38" x14ac:dyDescent="0.25">
      <c r="B5" s="41" t="s">
        <v>398</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2">
        <v>100000</v>
      </c>
    </row>
    <row r="6" spans="1:38" x14ac:dyDescent="0.25">
      <c r="B6" s="17" t="s">
        <v>126</v>
      </c>
      <c r="C6" s="19" t="str">
        <f>IFERROR(_xlfn.XLOOKUP(B6,'Limite de crédito'!C:C,'Limite de crédito'!L:L,),0)</f>
        <v>B</v>
      </c>
      <c r="D6" s="105"/>
      <c r="E6" s="105">
        <f>_xlfn.XLOOKUP(B6,'Limite de crédito'!C:C,'Limite de crédito'!G:G,0)</f>
        <v>962500</v>
      </c>
      <c r="F6" s="18">
        <f t="shared" si="3"/>
        <v>804892.87</v>
      </c>
      <c r="G6" s="18">
        <f t="shared" si="2"/>
        <v>157607.13</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157607.13</v>
      </c>
      <c r="Q6" s="19">
        <f>SUMIFS('Data International'!$D:$D,'Data International'!$P:$P,'Painel International'!$B6,'Data International'!$Q:$Q,"&lt;=0",'Data International'!$Q:$Q,"&gt;=-30")</f>
        <v>157607.13</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804892.87</v>
      </c>
      <c r="AH6" s="5"/>
      <c r="AI6" s="262"/>
    </row>
    <row r="7" spans="1:38" x14ac:dyDescent="0.25">
      <c r="B7" s="41" t="s">
        <v>295</v>
      </c>
      <c r="C7" s="19" t="str">
        <f>IFERROR(_xlfn.XLOOKUP(B7,'Limite de crédito'!C:C,'Limite de crédito'!L:L,),0)</f>
        <v>B</v>
      </c>
      <c r="D7" s="105"/>
      <c r="E7" s="105">
        <f>_xlfn.XLOOKUP(B7,'Limite de crédito'!C:C,'Limite de crédito'!G:G,0)</f>
        <v>550000</v>
      </c>
      <c r="F7" s="18">
        <f t="shared" si="3"/>
        <v>39608.780000000028</v>
      </c>
      <c r="G7" s="18">
        <f t="shared" si="2"/>
        <v>510391.22</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510391.22</v>
      </c>
      <c r="Q7" s="19">
        <f>SUMIFS('Data International'!$D:$D,'Data International'!$P:$P,'Painel International'!$B7,'Data International'!$Q:$Q,"&lt;=0",'Data International'!$Q:$Q,"&gt;=-30")</f>
        <v>510391.22</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39608.780000000028</v>
      </c>
      <c r="AI7" s="262"/>
    </row>
    <row r="8" spans="1:38" x14ac:dyDescent="0.25">
      <c r="B8" s="17" t="s">
        <v>130</v>
      </c>
      <c r="C8" s="19" t="str">
        <f>IFERROR(_xlfn.XLOOKUP(B8,'Limite de crédito'!C:C,'Limite de crédito'!L:L,),0)</f>
        <v>A</v>
      </c>
      <c r="D8" s="105"/>
      <c r="E8" s="105">
        <f>_xlfn.XLOOKUP(B8,'Limite de crédito'!C:C,'Limite de crédito'!G:G,0)</f>
        <v>687500</v>
      </c>
      <c r="F8" s="18">
        <f t="shared" si="3"/>
        <v>541605</v>
      </c>
      <c r="G8" s="18">
        <f t="shared" si="2"/>
        <v>145895</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145895</v>
      </c>
      <c r="Q8" s="19">
        <f>SUMIFS('Data International'!$D:$D,'Data International'!$P:$P,'Painel International'!$B8,'Data International'!$Q:$Q,"&lt;=0",'Data International'!$Q:$Q,"&gt;=-30")</f>
        <v>145895</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541605</v>
      </c>
      <c r="AH8" s="5"/>
      <c r="AI8" s="262"/>
    </row>
    <row r="9" spans="1:38" x14ac:dyDescent="0.25">
      <c r="B9" s="41" t="s">
        <v>491</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2">
        <v>20000</v>
      </c>
    </row>
    <row r="10" spans="1:38" x14ac:dyDescent="0.25">
      <c r="B10" s="41" t="s">
        <v>492</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2">
        <v>10000</v>
      </c>
    </row>
    <row r="11" spans="1:38" x14ac:dyDescent="0.25">
      <c r="B11" s="41" t="s">
        <v>438</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14548.35</v>
      </c>
      <c r="K11" s="19">
        <f>SUMIFS('Data International'!$D:$D,'Data International'!$P:$P,'Painel International'!$B11,'Data International'!$Q:$Q,"&gt;90",'Data International'!$Q:$Q,"&lt;=120")</f>
        <v>0</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0</v>
      </c>
      <c r="Z11" s="5"/>
      <c r="AA11" s="19">
        <f>_xlfn.XLOOKUP(B11,'Limite de crédito'!C:C,'Limite de crédito'!O:O,0)</f>
        <v>275000</v>
      </c>
      <c r="AB11" s="19"/>
      <c r="AC11" s="20"/>
      <c r="AD11" s="22"/>
      <c r="AE11" s="22"/>
      <c r="AF11" s="5"/>
      <c r="AG11" s="28">
        <f t="shared" si="5"/>
        <v>260451.65</v>
      </c>
      <c r="AI11" s="262">
        <v>10000</v>
      </c>
    </row>
    <row r="12" spans="1:38" x14ac:dyDescent="0.25">
      <c r="B12" s="41" t="s">
        <v>403</v>
      </c>
      <c r="C12" s="19" t="str">
        <f>IFERROR(_xlfn.XLOOKUP(B12,'Limite de crédito'!C:C,'Limite de crédito'!L:L,),0)</f>
        <v>A</v>
      </c>
      <c r="D12" s="19"/>
      <c r="E12" s="105">
        <f>_xlfn.XLOOKUP(B12,'Limite de crédito'!C:C,'Limite de crédito'!G:G,0)</f>
        <v>660000</v>
      </c>
      <c r="F12" s="18">
        <f t="shared" si="3"/>
        <v>660000</v>
      </c>
      <c r="G12" s="18">
        <f t="shared" si="2"/>
        <v>0</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0</v>
      </c>
      <c r="Q12" s="19">
        <f>SUMIFS('Data International'!$D:$D,'Data International'!$P:$P,'Painel International'!$B12,'Data International'!$Q:$Q,"&lt;=0",'Data International'!$Q:$Q,"&gt;=-30")</f>
        <v>0</v>
      </c>
      <c r="R12" s="19">
        <f>SUMIFS('Data International'!$D:$D,'Data International'!$P:$P,'Painel International'!$B12,'Data International'!$Q:$Q,"&lt;=-31",'Data International'!$Q:$Q,"&gt;=-60")</f>
        <v>0</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660000</v>
      </c>
      <c r="AI12" s="262">
        <v>0</v>
      </c>
    </row>
    <row r="13" spans="1:38" x14ac:dyDescent="0.25">
      <c r="B13" s="41" t="s">
        <v>337</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0</v>
      </c>
      <c r="S13" s="19">
        <f>SUMIFS('Data International'!$D:$D,'Data International'!$P:$P,'Painel International'!$B13,'Data International'!$Q:$Q,"&lt;=-61",'Data International'!$Q:$Q,"&gt;=-90")</f>
        <v>3280155.1799999997</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3">
        <v>400000</v>
      </c>
    </row>
    <row r="14" spans="1:38" x14ac:dyDescent="0.25">
      <c r="B14" s="41" t="s">
        <v>374</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2">
        <v>200000</v>
      </c>
    </row>
    <row r="15" spans="1:38" x14ac:dyDescent="0.25">
      <c r="B15" s="41" t="s">
        <v>361</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2">
        <v>80000</v>
      </c>
    </row>
    <row r="16" spans="1:38" x14ac:dyDescent="0.25">
      <c r="B16" s="17" t="s">
        <v>133</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2">
        <v>50000</v>
      </c>
    </row>
    <row r="17" spans="2:35" x14ac:dyDescent="0.25">
      <c r="B17" s="41" t="s">
        <v>382</v>
      </c>
      <c r="C17" s="19" t="str">
        <f>IFERROR(_xlfn.XLOOKUP(B17,'Limite de crédito'!C:C,'Limite de crédito'!L:L,),0)</f>
        <v>B</v>
      </c>
      <c r="D17" s="19"/>
      <c r="E17" s="105">
        <f>_xlfn.XLOOKUP(B17,'Limite de crédito'!C:C,'Limite de crédito'!G:G,0)</f>
        <v>990000</v>
      </c>
      <c r="F17" s="18">
        <f t="shared" si="3"/>
        <v>857821.72</v>
      </c>
      <c r="G17" s="18">
        <f t="shared" si="2"/>
        <v>132178.28</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132178.28</v>
      </c>
      <c r="Q17" s="19">
        <f>SUMIFS('Data International'!$D:$D,'Data International'!$P:$P,'Painel International'!$B17,'Data International'!$Q:$Q,"&lt;=0",'Data International'!$Q:$Q,"&gt;=-30")</f>
        <v>132178.28</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857821.72</v>
      </c>
      <c r="AI17" s="262"/>
    </row>
    <row r="18" spans="2:35" x14ac:dyDescent="0.25">
      <c r="B18" s="17" t="s">
        <v>131</v>
      </c>
      <c r="C18" s="19" t="str">
        <f>IFERROR(_xlfn.XLOOKUP(B18,'Limite de crédito'!C:C,'Limite de crédito'!L:L,),0)</f>
        <v>B</v>
      </c>
      <c r="D18" s="106"/>
      <c r="E18" s="105">
        <f>_xlfn.XLOOKUP(B18,'Limite de crédito'!C:C,'Limite de crédito'!G:G,0)</f>
        <v>660000</v>
      </c>
      <c r="F18" s="18">
        <f t="shared" si="3"/>
        <v>446282.28</v>
      </c>
      <c r="G18" s="18">
        <f t="shared" si="2"/>
        <v>213717.72</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213717.72</v>
      </c>
      <c r="Q18" s="19">
        <f>SUMIFS('Data International'!$D:$D,'Data International'!$P:$P,'Painel International'!$B18,'Data International'!$Q:$Q,"&lt;=0",'Data International'!$Q:$Q,"&gt;=-30")</f>
        <v>94619.53</v>
      </c>
      <c r="R18" s="19">
        <f>SUMIFS('Data International'!$D:$D,'Data International'!$P:$P,'Painel International'!$B18,'Data International'!$Q:$Q,"&lt;=-31",'Data International'!$Q:$Q,"&gt;=-60")</f>
        <v>119098.19</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446282.28</v>
      </c>
      <c r="AH18" s="5"/>
      <c r="AI18" s="262"/>
    </row>
    <row r="19" spans="2:35" x14ac:dyDescent="0.25">
      <c r="B19" s="41" t="s">
        <v>497</v>
      </c>
      <c r="C19" s="19">
        <f>IFERROR(_xlfn.XLOOKUP(B19,'Limite de crédito'!C:C,'Limite de crédito'!L:L,),0)</f>
        <v>0</v>
      </c>
      <c r="D19" s="19"/>
      <c r="E19" s="105">
        <f>_xlfn.XLOOKUP(B19,'Limite de crédito'!C:C,'Limite de crédito'!G:G,0)</f>
        <v>0</v>
      </c>
      <c r="F19" s="18">
        <f t="shared" si="3"/>
        <v>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0</v>
      </c>
      <c r="AB19" s="19"/>
      <c r="AC19" s="20"/>
      <c r="AD19" s="22"/>
      <c r="AE19" s="22"/>
      <c r="AF19" s="5"/>
      <c r="AG19" s="28">
        <f t="shared" si="5"/>
        <v>0</v>
      </c>
      <c r="AI19" s="262">
        <v>20000</v>
      </c>
    </row>
    <row r="20" spans="2:35" ht="13.95" customHeight="1" x14ac:dyDescent="0.25">
      <c r="B20" s="41" t="s">
        <v>355</v>
      </c>
      <c r="C20" s="19" t="str">
        <f>IFERROR(_xlfn.XLOOKUP(B20,'Limite de crédito'!C:C,'Limite de crédito'!L:L,),0)</f>
        <v>A</v>
      </c>
      <c r="D20" s="19"/>
      <c r="E20" s="105">
        <f>_xlfn.XLOOKUP(B20,'Limite de crédito'!C:C,'Limite de crédito'!G:G,0)</f>
        <v>770000</v>
      </c>
      <c r="F20" s="18">
        <f t="shared" si="3"/>
        <v>545187.39</v>
      </c>
      <c r="G20" s="18">
        <f t="shared" si="2"/>
        <v>224812.61</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224812.61</v>
      </c>
      <c r="Q20" s="19">
        <f>SUMIFS('Data International'!$D:$D,'Data International'!$P:$P,'Painel International'!$B20,'Data International'!$Q:$Q,"&lt;=0",'Data International'!$Q:$Q,"&gt;=-30")</f>
        <v>224812.61</v>
      </c>
      <c r="R20" s="19">
        <f>SUMIFS('Data International'!$D:$D,'Data International'!$P:$P,'Painel International'!$B20,'Data International'!$Q:$Q,"&lt;=-31",'Data International'!$Q:$Q,"&gt;=-60")</f>
        <v>0</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545187.39</v>
      </c>
      <c r="AI20" s="262">
        <v>100000</v>
      </c>
    </row>
    <row r="21" spans="2:35" x14ac:dyDescent="0.25">
      <c r="B21" s="41" t="s">
        <v>179</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2"/>
    </row>
    <row r="22" spans="2:35" x14ac:dyDescent="0.25">
      <c r="B22" s="41" t="s">
        <v>534</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2">
        <v>0</v>
      </c>
    </row>
    <row r="23" spans="2:35" x14ac:dyDescent="0.25">
      <c r="B23" s="41" t="s">
        <v>535</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0</v>
      </c>
      <c r="R23" s="19">
        <f>SUMIFS('Data International'!$D:$D,'Data International'!$P:$P,'Painel International'!$B23,'Data International'!$Q:$Q,"&lt;=-31",'Data International'!$Q:$Q,"&gt;=-60")</f>
        <v>103419.88999999998</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2">
        <v>100000</v>
      </c>
    </row>
    <row r="24" spans="2:35" x14ac:dyDescent="0.25">
      <c r="B24" s="41" t="s">
        <v>330</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2">
        <v>200000</v>
      </c>
    </row>
    <row r="25" spans="2:35" x14ac:dyDescent="0.25">
      <c r="B25" s="41" t="s">
        <v>360</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0</v>
      </c>
      <c r="R25" s="19">
        <f>SUMIFS('Data International'!$D:$D,'Data International'!$P:$P,'Painel International'!$B25,'Data International'!$Q:$Q,"&lt;=-31",'Data International'!$Q:$Q,"&gt;=-60")</f>
        <v>40017.64</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2">
        <v>100000</v>
      </c>
    </row>
    <row r="26" spans="2:35" ht="13.95" customHeight="1" x14ac:dyDescent="0.25">
      <c r="B26" s="41" t="s">
        <v>393</v>
      </c>
      <c r="C26" s="19" t="str">
        <f>IFERROR(_xlfn.XLOOKUP(B26,'Limite de crédito'!C:C,'Limite de crédito'!L:L,),0)</f>
        <v>B</v>
      </c>
      <c r="D26" s="19"/>
      <c r="E26" s="105">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605000</v>
      </c>
      <c r="AI26" s="262">
        <v>100000</v>
      </c>
    </row>
    <row r="27" spans="2:35" x14ac:dyDescent="0.25">
      <c r="B27" s="41" t="s">
        <v>128</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252226.12</v>
      </c>
      <c r="M27" s="19">
        <f>SUMIFS('Data International'!$D:$D,'Data International'!$P:$P,'Painel International'!$B27,'Data International'!$Q:$Q,"&gt;180",'Data International'!$Q:$Q,"&lt;=360")</f>
        <v>197281.56999999998</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2">
        <v>20000</v>
      </c>
    </row>
    <row r="28" spans="2:35" x14ac:dyDescent="0.25">
      <c r="B28" s="41" t="s">
        <v>571</v>
      </c>
      <c r="C28" s="19" t="str">
        <f>IFERROR(_xlfn.XLOOKUP(B28,'Limite de crédito'!C:C,'Limite de crédito'!L:L,),0)</f>
        <v>B</v>
      </c>
      <c r="D28" s="19"/>
      <c r="E28" s="105">
        <f>_xlfn.XLOOKUP(B28,'Limite de crédito'!C:C,'Limite de crédito'!G:G,0)</f>
        <v>550000</v>
      </c>
      <c r="F28" s="18">
        <f t="shared" si="3"/>
        <v>550000</v>
      </c>
      <c r="G28" s="18">
        <f t="shared" si="2"/>
        <v>0</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0</v>
      </c>
      <c r="Q28" s="19">
        <f>SUMIFS('Data International'!$D:$D,'Data International'!$P:$P,'Painel International'!$B28,'Data International'!$Q:$Q,"&lt;=0",'Data International'!$Q:$Q,"&gt;=-30")</f>
        <v>0</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550000</v>
      </c>
      <c r="AI28" s="262"/>
    </row>
    <row r="29" spans="2:35" x14ac:dyDescent="0.25">
      <c r="B29" s="41" t="s">
        <v>591</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2"/>
    </row>
    <row r="30" spans="2:35" x14ac:dyDescent="0.25">
      <c r="B30" s="41" t="s">
        <v>648</v>
      </c>
      <c r="C30" s="19" t="str">
        <f>IFERROR(_xlfn.XLOOKUP(B30,'Limite de crédito'!C:C,'Limite de crédito'!L:L,),0)</f>
        <v>B</v>
      </c>
      <c r="D30" s="19"/>
      <c r="E30" s="105">
        <f>_xlfn.XLOOKUP(B30,'Limite de crédito'!C:C,'Limite de crédito'!G:G,0)</f>
        <v>550000</v>
      </c>
      <c r="F30" s="18">
        <f t="shared" ref="F30" si="9">E30-G30</f>
        <v>550000</v>
      </c>
      <c r="G30" s="18">
        <f t="shared" ref="G30" si="10">P30+O30</f>
        <v>0</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0</v>
      </c>
      <c r="Q30" s="19">
        <f>SUMIFS('Data International'!$D:$D,'Data International'!$P:$P,'Painel International'!$B30,'Data International'!$Q:$Q,"&lt;=0",'Data International'!$Q:$Q,"&gt;=-30")</f>
        <v>0</v>
      </c>
      <c r="R30" s="19">
        <f>SUMIFS('Data International'!$D:$D,'Data International'!$P:$P,'Painel International'!$B30,'Data International'!$Q:$Q,"&lt;=-31",'Data International'!$Q:$Q,"&gt;=-60")</f>
        <v>0</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550000</v>
      </c>
      <c r="AB30" s="19"/>
      <c r="AC30" s="20"/>
      <c r="AD30" s="22"/>
      <c r="AE30" s="22"/>
      <c r="AF30" s="5"/>
      <c r="AG30" s="28">
        <f t="shared" si="5"/>
        <v>550000</v>
      </c>
      <c r="AI30" s="262">
        <v>30000</v>
      </c>
    </row>
    <row r="31" spans="2:35" x14ac:dyDescent="0.25">
      <c r="B31" s="41" t="s">
        <v>305</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2">
        <v>20000</v>
      </c>
    </row>
    <row r="32" spans="2:35" x14ac:dyDescent="0.25">
      <c r="B32" s="41" t="s">
        <v>655</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61"/>
    </row>
    <row r="33" spans="2:35" x14ac:dyDescent="0.25">
      <c r="B33" s="41" t="s">
        <v>392</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61"/>
    </row>
    <row r="34" spans="2:35" x14ac:dyDescent="0.25">
      <c r="B34" s="41" t="s">
        <v>679</v>
      </c>
      <c r="C34" s="19">
        <f>IFERROR(_xlfn.XLOOKUP(B34,'Limite de crédito'!C:C,'Limite de crédito'!L:L,),0)</f>
        <v>0</v>
      </c>
      <c r="D34" s="19"/>
      <c r="E34" s="105">
        <f>_xlfn.XLOOKUP(B34,'Limite de crédito'!C:C,'Limite de crédito'!G:G,0)</f>
        <v>0</v>
      </c>
      <c r="F34" s="18">
        <f>E34-G34</f>
        <v>-527.28</v>
      </c>
      <c r="G34" s="18">
        <f>P34+O34</f>
        <v>527.28</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0</v>
      </c>
      <c r="Q34" s="19">
        <f>SUMIFS('Data International'!$D:$D,'Data International'!$P:$P,'Painel International'!$B34,'Data International'!$Q:$Q,"&lt;=0",'Data International'!$Q:$Q,"&gt;=-30")</f>
        <v>0</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-527.28</v>
      </c>
      <c r="AI34" s="261"/>
    </row>
    <row r="35" spans="2:35" x14ac:dyDescent="0.25">
      <c r="B35" s="41" t="s">
        <v>666</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61"/>
    </row>
    <row r="36" spans="2:35" x14ac:dyDescent="0.25">
      <c r="B36" s="41" t="s">
        <v>687</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61"/>
    </row>
    <row r="37" spans="2:35" x14ac:dyDescent="0.25">
      <c r="B37" s="41" t="s">
        <v>681</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61"/>
    </row>
    <row r="38" spans="2:35" x14ac:dyDescent="0.25">
      <c r="B38" s="41" t="s">
        <v>262</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61"/>
    </row>
    <row r="39" spans="2:35" x14ac:dyDescent="0.25">
      <c r="B39" s="41" t="s">
        <v>696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61"/>
    </row>
    <row r="40" spans="2:35" x14ac:dyDescent="0.25">
      <c r="B40" s="41" t="s">
        <v>394</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61"/>
    </row>
    <row r="41" spans="2:35" x14ac:dyDescent="0.25">
      <c r="B41" s="41" t="s">
        <v>700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61"/>
    </row>
    <row r="42" spans="2:35" x14ac:dyDescent="0.25">
      <c r="B42" s="41" t="s">
        <v>697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61"/>
    </row>
    <row r="43" spans="2:35" x14ac:dyDescent="0.25">
      <c r="B43" s="41" t="s">
        <v>129</v>
      </c>
      <c r="C43" s="19" t="str">
        <f>IFERROR(_xlfn.XLOOKUP(B43,'Limite de crédito'!C:C,'Limite de crédito'!L:L,),0)</f>
        <v>A</v>
      </c>
      <c r="D43" s="19"/>
      <c r="E43" s="105">
        <f>_xlfn.XLOOKUP(B43,'Limite de crédito'!C:C,'Limite de crédito'!G:G,0)</f>
        <v>1375000</v>
      </c>
      <c r="F43" s="18">
        <f t="shared" ref="F43" si="42">E43-G43</f>
        <v>1375000</v>
      </c>
      <c r="G43" s="18">
        <f t="shared" si="39"/>
        <v>0</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0</v>
      </c>
      <c r="Q43" s="19">
        <f>SUMIFS('Data International'!$D:$D,'Data International'!$P:$P,'Painel International'!$B43,'Data International'!$Q:$Q,"&lt;=0",'Data International'!$Q:$Q,"&gt;=-30")</f>
        <v>0</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1375000</v>
      </c>
      <c r="AI43" s="261"/>
    </row>
    <row r="44" spans="2:35" x14ac:dyDescent="0.25">
      <c r="B44" s="41" t="s">
        <v>635</v>
      </c>
      <c r="C44" s="19" t="str">
        <f>IFERROR(_xlfn.XLOOKUP(B44,'Limite de crédito'!C:C,'Limite de crédito'!L:L,),0)</f>
        <v>A</v>
      </c>
      <c r="D44" s="19"/>
      <c r="E44" s="105">
        <f>_xlfn.XLOOKUP(B44,'Limite de crédito'!C:C,'Limite de crédito'!G:G,0)</f>
        <v>1100000</v>
      </c>
      <c r="F44" s="18">
        <f t="shared" ref="F44" si="45">E44-G44</f>
        <v>1100000</v>
      </c>
      <c r="G44" s="18">
        <f t="shared" si="39"/>
        <v>0</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0</v>
      </c>
      <c r="Q44" s="19">
        <f>SUMIFS('Data International'!$D:$D,'Data International'!$P:$P,'Painel International'!$B44,'Data International'!$Q:$Q,"&lt;=0",'Data International'!$Q:$Q,"&gt;=-30")</f>
        <v>0</v>
      </c>
      <c r="R44" s="19">
        <f>SUMIFS('Data International'!$D:$D,'Data International'!$P:$P,'Painel International'!$B44,'Data International'!$Q:$Q,"&lt;=-31",'Data International'!$Q:$Q,"&gt;=-60")</f>
        <v>0</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1100000</v>
      </c>
      <c r="AI44" s="261"/>
    </row>
    <row r="45" spans="2:35" x14ac:dyDescent="0.25">
      <c r="B45" s="41" t="s">
        <v>622</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61"/>
    </row>
    <row r="46" spans="2:35" x14ac:dyDescent="0.25">
      <c r="B46" s="41" t="s">
        <v>759</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61"/>
    </row>
    <row r="47" spans="2:35" x14ac:dyDescent="0.25">
      <c r="B47" s="41" t="s">
        <v>845</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61"/>
    </row>
    <row r="48" spans="2:35" x14ac:dyDescent="0.25">
      <c r="B48" s="41" t="s">
        <v>853</v>
      </c>
      <c r="C48" s="19" t="str">
        <f>IFERROR(_xlfn.XLOOKUP(B48,'Limite de crédito'!C:C,'Limite de crédito'!L:L,),0)</f>
        <v>D</v>
      </c>
      <c r="D48" s="19"/>
      <c r="E48" s="105">
        <f>_xlfn.XLOOKUP(B48,'Limite de crédito'!C:C,'Limite de crédito'!G:G,0)</f>
        <v>275000</v>
      </c>
      <c r="F48" s="18">
        <f t="shared" ref="F48" si="57">E48-G48</f>
        <v>229281.54</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0</v>
      </c>
      <c r="S48" s="19">
        <f>SUMIFS('Data International'!$D:$D,'Data International'!$P:$P,'Painel International'!$B48,'Data International'!$Q:$Q,"&lt;=-61",'Data International'!$Q:$Q,"&gt;=-90")</f>
        <v>45718.46</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275000</v>
      </c>
      <c r="AB48" s="19"/>
      <c r="AC48" s="20"/>
      <c r="AD48" s="22"/>
      <c r="AE48" s="22"/>
      <c r="AF48" s="5"/>
      <c r="AG48" s="28">
        <f t="shared" ref="AG48" si="60">AA48-G48</f>
        <v>229281.54</v>
      </c>
      <c r="AI48" s="261"/>
    </row>
    <row r="49" spans="2:35" x14ac:dyDescent="0.25">
      <c r="B49" s="41" t="s">
        <v>907</v>
      </c>
      <c r="C49" s="19">
        <f>IFERROR(_xlfn.XLOOKUP(B49,'Limite de crédito'!C:C,'Limite de crédito'!L:L,),0)</f>
        <v>0</v>
      </c>
      <c r="D49" s="19"/>
      <c r="E49" s="105">
        <f>_xlfn.XLOOKUP(B49,'Limite de crédito'!C:C,'Limite de crédito'!G:G,0)</f>
        <v>0</v>
      </c>
      <c r="F49" s="18">
        <f t="shared" ref="F49" si="61">E49-G49</f>
        <v>-58715.6</v>
      </c>
      <c r="G49" s="18">
        <f t="shared" ref="G49" si="62">P49+O49</f>
        <v>58715.6</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58715.6</v>
      </c>
      <c r="Q49" s="19">
        <f>SUMIFS('Data International'!$D:$D,'Data International'!$P:$P,'Painel International'!$B49,'Data International'!$Q:$Q,"&lt;=0",'Data International'!$Q:$Q,"&gt;=-30")</f>
        <v>58715.6</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-58715.6</v>
      </c>
      <c r="AI49" s="261"/>
    </row>
  </sheetData>
  <autoFilter ref="A3:AL28" xr:uid="{8425CF93-5C5C-4FF0-82A9-E94788869630}"/>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35"/>
  <sheetViews>
    <sheetView topLeftCell="Q1" zoomScale="90" zoomScaleNormal="90" workbookViewId="0">
      <selection activeCell="Y1" sqref="Y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8" customFormat="1" ht="15" thickBot="1" x14ac:dyDescent="0.35">
      <c r="A1" s="277"/>
      <c r="B1" s="277"/>
      <c r="C1" s="278">
        <f>A1+B1</f>
        <v>0</v>
      </c>
      <c r="D1" s="269">
        <f>SUBTOTAL(9,D4:D999868)</f>
        <v>61722956.230000034</v>
      </c>
      <c r="E1" s="270"/>
      <c r="F1" s="270"/>
      <c r="H1" s="278">
        <f>G1-B1</f>
        <v>0</v>
      </c>
      <c r="I1" s="279">
        <v>46053</v>
      </c>
      <c r="M1" s="269">
        <f>SUM(Q1:U1)</f>
        <v>61722956.230000004</v>
      </c>
      <c r="O1" s="278">
        <f t="shared" ref="O1" si="0">SUBTOTAL(9,O4:O999868)</f>
        <v>0</v>
      </c>
      <c r="P1" s="278">
        <f>SUBTOTAL(9,P4:P999868)</f>
        <v>10610662.462299995</v>
      </c>
      <c r="Q1" s="278">
        <f t="shared" ref="Q1:U1" si="1">SUBTOTAL(9,Q4:Q999868)</f>
        <v>38686455.550000004</v>
      </c>
      <c r="R1" s="278">
        <f t="shared" si="1"/>
        <v>87042.16</v>
      </c>
      <c r="S1" s="278">
        <f t="shared" si="1"/>
        <v>266419.12</v>
      </c>
      <c r="T1" s="278">
        <f t="shared" si="1"/>
        <v>1186379.29</v>
      </c>
      <c r="U1" s="278">
        <f t="shared" si="1"/>
        <v>21496660.110000007</v>
      </c>
      <c r="V1" s="269"/>
      <c r="W1" s="269">
        <f t="shared" ref="W1" si="2">SUBTOTAL(9,W4:W999868)</f>
        <v>546989.49270000029</v>
      </c>
      <c r="X1" s="269">
        <f>SUBTOTAL(9,X4:X999868)</f>
        <v>16276779.139600003</v>
      </c>
      <c r="Y1" s="269">
        <f>SUBTOTAL(9,Y4:Y999868)</f>
        <v>16276779.139600003</v>
      </c>
      <c r="Z1" s="269">
        <f>SUBTOTAL(9,Z4:Z999868)</f>
        <v>17180404.18999999</v>
      </c>
      <c r="AA1" s="269">
        <f>SUBTOTAL(9,AA4:AA999868)</f>
        <v>-6213106.169999999</v>
      </c>
      <c r="AB1" s="269">
        <f>SUBTOTAL(9,AB4:AB999868)</f>
        <v>10610662.462299995</v>
      </c>
      <c r="AC1" s="269"/>
      <c r="AE1" s="269">
        <f>SUBTOTAL(9,AE4:AE869)</f>
        <v>8704255.3543999977</v>
      </c>
    </row>
    <row r="2" spans="1:31" s="271" customFormat="1" x14ac:dyDescent="0.25">
      <c r="I2" s="280"/>
      <c r="V2" s="169"/>
      <c r="W2" s="204"/>
      <c r="X2" s="205"/>
      <c r="Y2" s="169"/>
    </row>
    <row r="3" spans="1:31" ht="13.8" x14ac:dyDescent="0.25">
      <c r="A3" s="206" t="s">
        <v>4</v>
      </c>
      <c r="B3" s="206" t="s">
        <v>3</v>
      </c>
      <c r="C3" s="206" t="s">
        <v>0</v>
      </c>
      <c r="D3" s="207" t="s">
        <v>274</v>
      </c>
      <c r="E3" s="206" t="s">
        <v>217</v>
      </c>
      <c r="F3" s="206" t="s">
        <v>2</v>
      </c>
      <c r="G3" s="272" t="s">
        <v>216</v>
      </c>
      <c r="H3" s="206" t="s">
        <v>218</v>
      </c>
      <c r="I3" s="206" t="s">
        <v>219</v>
      </c>
      <c r="J3" s="206" t="s">
        <v>1</v>
      </c>
      <c r="K3" s="206" t="s">
        <v>220</v>
      </c>
      <c r="L3" s="206" t="s">
        <v>221</v>
      </c>
      <c r="M3" s="206" t="s">
        <v>222</v>
      </c>
      <c r="N3" s="208" t="s">
        <v>275</v>
      </c>
      <c r="O3" s="273" t="s">
        <v>738</v>
      </c>
      <c r="P3" s="208" t="s">
        <v>320</v>
      </c>
      <c r="Q3" s="208" t="s">
        <v>276</v>
      </c>
      <c r="R3" s="208" t="s">
        <v>277</v>
      </c>
      <c r="S3" s="208" t="s">
        <v>278</v>
      </c>
      <c r="T3" s="208" t="s">
        <v>279</v>
      </c>
      <c r="U3" s="208" t="s">
        <v>280</v>
      </c>
      <c r="V3" s="209" t="s">
        <v>281</v>
      </c>
      <c r="W3" s="209" t="s">
        <v>282</v>
      </c>
      <c r="X3" s="210" t="s">
        <v>283</v>
      </c>
      <c r="Y3" s="209" t="s">
        <v>284</v>
      </c>
      <c r="Z3" s="211" t="s">
        <v>285</v>
      </c>
      <c r="AA3" s="274" t="s">
        <v>286</v>
      </c>
      <c r="AB3" s="274" t="s">
        <v>287</v>
      </c>
      <c r="AC3" s="211" t="s">
        <v>538</v>
      </c>
      <c r="AD3" s="211" t="s">
        <v>539</v>
      </c>
      <c r="AE3" s="274" t="s">
        <v>705</v>
      </c>
    </row>
    <row r="4" spans="1:31" x14ac:dyDescent="0.25">
      <c r="A4">
        <v>1953</v>
      </c>
      <c r="B4" t="s">
        <v>414</v>
      </c>
      <c r="C4" t="s">
        <v>884</v>
      </c>
      <c r="D4" s="35">
        <v>1200</v>
      </c>
      <c r="E4">
        <v>1246268567</v>
      </c>
      <c r="F4" s="328">
        <v>46116</v>
      </c>
      <c r="H4" t="s">
        <v>28</v>
      </c>
      <c r="I4" t="s">
        <v>29</v>
      </c>
      <c r="J4">
        <v>1246268567</v>
      </c>
      <c r="K4" s="328">
        <v>46101</v>
      </c>
      <c r="L4">
        <v>3042200</v>
      </c>
      <c r="M4" t="s">
        <v>859</v>
      </c>
      <c r="N4">
        <v>-4</v>
      </c>
      <c r="O4" s="32">
        <v>0</v>
      </c>
      <c r="P4" s="32">
        <v>0</v>
      </c>
      <c r="Q4" s="32">
        <v>1200</v>
      </c>
      <c r="R4" s="32">
        <v>0</v>
      </c>
      <c r="S4" s="32">
        <v>0</v>
      </c>
      <c r="T4" s="32">
        <v>0</v>
      </c>
      <c r="U4" s="32">
        <v>0</v>
      </c>
      <c r="V4" s="32">
        <v>0</v>
      </c>
      <c r="W4" s="32">
        <v>0</v>
      </c>
      <c r="X4" s="32">
        <v>0</v>
      </c>
      <c r="Y4" s="32">
        <v>0</v>
      </c>
      <c r="Z4" s="32">
        <v>0</v>
      </c>
      <c r="AA4" s="32">
        <v>0</v>
      </c>
      <c r="AB4" s="32">
        <v>0</v>
      </c>
      <c r="AC4" s="32" t="s">
        <v>475</v>
      </c>
      <c r="AD4" s="32"/>
      <c r="AE4" s="32">
        <v>0</v>
      </c>
    </row>
    <row r="5" spans="1:31" x14ac:dyDescent="0.25">
      <c r="A5">
        <v>1787</v>
      </c>
      <c r="B5" t="s">
        <v>531</v>
      </c>
      <c r="C5" t="s">
        <v>68</v>
      </c>
      <c r="D5" s="35">
        <v>3600</v>
      </c>
      <c r="E5">
        <v>1246031589</v>
      </c>
      <c r="F5" s="328">
        <v>44784</v>
      </c>
      <c r="H5" t="s">
        <v>28</v>
      </c>
      <c r="I5" t="s">
        <v>29</v>
      </c>
      <c r="J5">
        <v>1246031589</v>
      </c>
      <c r="K5" s="328">
        <v>44769</v>
      </c>
      <c r="L5">
        <v>3041000</v>
      </c>
      <c r="M5" t="s">
        <v>138</v>
      </c>
      <c r="N5">
        <v>1328</v>
      </c>
      <c r="O5" s="32">
        <v>0</v>
      </c>
      <c r="P5" s="32">
        <v>3600</v>
      </c>
      <c r="Q5" s="32">
        <v>0</v>
      </c>
      <c r="R5" s="32">
        <v>0</v>
      </c>
      <c r="S5" s="32">
        <v>0</v>
      </c>
      <c r="T5" s="32">
        <v>0</v>
      </c>
      <c r="U5" s="32">
        <v>3600</v>
      </c>
      <c r="V5" s="32">
        <v>0</v>
      </c>
      <c r="W5" s="32">
        <v>108</v>
      </c>
      <c r="X5" s="32">
        <v>3492</v>
      </c>
      <c r="Y5" s="32">
        <v>3492</v>
      </c>
      <c r="Z5" s="32">
        <v>3600</v>
      </c>
      <c r="AA5" s="32">
        <v>0</v>
      </c>
      <c r="AB5" s="32">
        <v>3600</v>
      </c>
      <c r="AC5" s="32" t="s">
        <v>540</v>
      </c>
      <c r="AD5" s="32"/>
      <c r="AE5" s="32">
        <v>3600</v>
      </c>
    </row>
    <row r="6" spans="1:31" x14ac:dyDescent="0.25">
      <c r="A6">
        <v>1787</v>
      </c>
      <c r="B6" t="s">
        <v>531</v>
      </c>
      <c r="C6" t="s">
        <v>68</v>
      </c>
      <c r="D6" s="35">
        <v>2700</v>
      </c>
      <c r="E6">
        <v>1246055596</v>
      </c>
      <c r="F6" s="328">
        <v>44889</v>
      </c>
      <c r="H6" t="s">
        <v>28</v>
      </c>
      <c r="I6" t="s">
        <v>29</v>
      </c>
      <c r="J6">
        <v>1246055596</v>
      </c>
      <c r="K6" s="328">
        <v>44889</v>
      </c>
      <c r="L6">
        <v>3041000</v>
      </c>
      <c r="M6" t="s">
        <v>138</v>
      </c>
      <c r="N6">
        <v>1223</v>
      </c>
      <c r="O6" s="32">
        <v>0</v>
      </c>
      <c r="P6" s="32">
        <v>2700</v>
      </c>
      <c r="Q6" s="32">
        <v>0</v>
      </c>
      <c r="R6" s="32">
        <v>0</v>
      </c>
      <c r="S6" s="32">
        <v>0</v>
      </c>
      <c r="T6" s="32">
        <v>0</v>
      </c>
      <c r="U6" s="32">
        <v>2700</v>
      </c>
      <c r="V6" s="32">
        <v>0</v>
      </c>
      <c r="W6" s="32">
        <v>81</v>
      </c>
      <c r="X6" s="32">
        <v>2619</v>
      </c>
      <c r="Y6" s="32">
        <v>2619</v>
      </c>
      <c r="Z6" s="32">
        <v>2700</v>
      </c>
      <c r="AA6" s="32">
        <v>0</v>
      </c>
      <c r="AB6" s="32">
        <v>2700</v>
      </c>
      <c r="AC6" s="32" t="s">
        <v>540</v>
      </c>
      <c r="AD6" s="32"/>
      <c r="AE6" s="32">
        <v>2700</v>
      </c>
    </row>
    <row r="7" spans="1:31" x14ac:dyDescent="0.25">
      <c r="A7">
        <v>1788</v>
      </c>
      <c r="B7" t="s">
        <v>531</v>
      </c>
      <c r="C7" t="s">
        <v>70</v>
      </c>
      <c r="D7" s="35">
        <v>5400</v>
      </c>
      <c r="E7">
        <v>1246055599</v>
      </c>
      <c r="F7" s="328">
        <v>44889</v>
      </c>
      <c r="H7" t="s">
        <v>28</v>
      </c>
      <c r="I7" t="s">
        <v>29</v>
      </c>
      <c r="J7">
        <v>1246055599</v>
      </c>
      <c r="K7" s="328">
        <v>44889</v>
      </c>
      <c r="L7">
        <v>3041000</v>
      </c>
      <c r="M7" t="s">
        <v>138</v>
      </c>
      <c r="N7">
        <v>1223</v>
      </c>
      <c r="O7" s="32">
        <v>0</v>
      </c>
      <c r="P7" s="32">
        <v>5400</v>
      </c>
      <c r="Q7" s="32">
        <v>0</v>
      </c>
      <c r="R7" s="32">
        <v>0</v>
      </c>
      <c r="S7" s="32">
        <v>0</v>
      </c>
      <c r="T7" s="32">
        <v>0</v>
      </c>
      <c r="U7" s="32">
        <v>5400</v>
      </c>
      <c r="V7" s="32">
        <v>0</v>
      </c>
      <c r="W7" s="32">
        <v>162</v>
      </c>
      <c r="X7" s="32">
        <v>5238</v>
      </c>
      <c r="Y7" s="32">
        <v>5238</v>
      </c>
      <c r="Z7" s="32">
        <v>5400</v>
      </c>
      <c r="AA7" s="32">
        <v>0</v>
      </c>
      <c r="AB7" s="32">
        <v>5400</v>
      </c>
      <c r="AC7" s="32" t="s">
        <v>540</v>
      </c>
      <c r="AD7" s="32"/>
      <c r="AE7" s="32">
        <v>5400</v>
      </c>
    </row>
    <row r="8" spans="1:31" x14ac:dyDescent="0.25">
      <c r="A8">
        <v>1788</v>
      </c>
      <c r="B8" t="s">
        <v>531</v>
      </c>
      <c r="C8" t="s">
        <v>70</v>
      </c>
      <c r="D8" s="35">
        <v>1200</v>
      </c>
      <c r="E8">
        <v>1246190701</v>
      </c>
      <c r="F8" s="328">
        <v>45674</v>
      </c>
      <c r="H8" t="s">
        <v>28</v>
      </c>
      <c r="I8" t="s">
        <v>29</v>
      </c>
      <c r="J8">
        <v>1246190701</v>
      </c>
      <c r="K8" s="328">
        <v>45659</v>
      </c>
      <c r="L8">
        <v>3041000</v>
      </c>
      <c r="M8" t="s">
        <v>138</v>
      </c>
      <c r="N8">
        <v>438</v>
      </c>
      <c r="O8" s="32">
        <v>0</v>
      </c>
      <c r="P8" s="32">
        <v>1200</v>
      </c>
      <c r="Q8" s="32">
        <v>0</v>
      </c>
      <c r="R8" s="32">
        <v>0</v>
      </c>
      <c r="S8" s="32">
        <v>0</v>
      </c>
      <c r="T8" s="32">
        <v>0</v>
      </c>
      <c r="U8" s="32">
        <v>1200</v>
      </c>
      <c r="V8" s="32">
        <v>0</v>
      </c>
      <c r="W8" s="32">
        <v>36</v>
      </c>
      <c r="X8" s="32">
        <v>1164</v>
      </c>
      <c r="Y8" s="32">
        <v>1164</v>
      </c>
      <c r="Z8" s="32">
        <v>1200</v>
      </c>
      <c r="AA8" s="32">
        <v>0</v>
      </c>
      <c r="AB8" s="32">
        <v>1200</v>
      </c>
      <c r="AC8" s="32" t="s">
        <v>540</v>
      </c>
      <c r="AD8" s="32"/>
      <c r="AE8" s="32">
        <v>1200</v>
      </c>
    </row>
    <row r="9" spans="1:31" x14ac:dyDescent="0.25">
      <c r="A9">
        <v>1789</v>
      </c>
      <c r="B9" t="s">
        <v>531</v>
      </c>
      <c r="C9" t="s">
        <v>72</v>
      </c>
      <c r="D9" s="35">
        <v>2700</v>
      </c>
      <c r="E9">
        <v>1246120461</v>
      </c>
      <c r="F9" s="328">
        <v>45294</v>
      </c>
      <c r="H9" t="s">
        <v>28</v>
      </c>
      <c r="I9" t="s">
        <v>29</v>
      </c>
      <c r="J9">
        <v>191223</v>
      </c>
      <c r="K9" s="328">
        <v>45279</v>
      </c>
      <c r="L9">
        <v>3041000</v>
      </c>
      <c r="M9" t="s">
        <v>138</v>
      </c>
      <c r="N9">
        <v>818</v>
      </c>
      <c r="O9" s="32">
        <v>0</v>
      </c>
      <c r="P9" s="32">
        <v>2700</v>
      </c>
      <c r="Q9" s="32">
        <v>0</v>
      </c>
      <c r="R9" s="32">
        <v>0</v>
      </c>
      <c r="S9" s="32">
        <v>0</v>
      </c>
      <c r="T9" s="32">
        <v>0</v>
      </c>
      <c r="U9" s="32">
        <v>2700</v>
      </c>
      <c r="V9" s="32">
        <v>0</v>
      </c>
      <c r="W9" s="32">
        <v>81</v>
      </c>
      <c r="X9" s="32">
        <v>2619</v>
      </c>
      <c r="Y9" s="32">
        <v>2619</v>
      </c>
      <c r="Z9" s="32">
        <v>2700</v>
      </c>
      <c r="AA9" s="32">
        <v>0</v>
      </c>
      <c r="AB9" s="32">
        <v>2700</v>
      </c>
      <c r="AC9" s="32" t="s">
        <v>540</v>
      </c>
      <c r="AD9" s="32"/>
      <c r="AE9" s="32">
        <v>2700</v>
      </c>
    </row>
    <row r="10" spans="1:31" x14ac:dyDescent="0.25">
      <c r="A10">
        <v>1789</v>
      </c>
      <c r="B10" t="s">
        <v>531</v>
      </c>
      <c r="C10" t="s">
        <v>72</v>
      </c>
      <c r="D10" s="35">
        <v>900</v>
      </c>
      <c r="E10">
        <v>1246146095</v>
      </c>
      <c r="F10" s="328">
        <v>45428</v>
      </c>
      <c r="H10" t="s">
        <v>28</v>
      </c>
      <c r="I10" t="s">
        <v>29</v>
      </c>
      <c r="J10">
        <v>1246120461</v>
      </c>
      <c r="K10" s="328">
        <v>45428</v>
      </c>
      <c r="L10">
        <v>3041000</v>
      </c>
      <c r="M10" t="s">
        <v>138</v>
      </c>
      <c r="N10">
        <v>684</v>
      </c>
      <c r="O10" s="32">
        <v>0</v>
      </c>
      <c r="P10" s="32">
        <v>900</v>
      </c>
      <c r="Q10" s="32">
        <v>0</v>
      </c>
      <c r="R10" s="32">
        <v>0</v>
      </c>
      <c r="S10" s="32">
        <v>0</v>
      </c>
      <c r="T10" s="32">
        <v>0</v>
      </c>
      <c r="U10" s="32">
        <v>900</v>
      </c>
      <c r="V10" s="32">
        <v>0</v>
      </c>
      <c r="W10" s="32">
        <v>27</v>
      </c>
      <c r="X10" s="32">
        <v>873</v>
      </c>
      <c r="Y10" s="32">
        <v>873</v>
      </c>
      <c r="Z10" s="32">
        <v>900</v>
      </c>
      <c r="AA10" s="32">
        <v>0</v>
      </c>
      <c r="AB10" s="32">
        <v>900</v>
      </c>
      <c r="AC10" s="32" t="s">
        <v>540</v>
      </c>
      <c r="AD10" s="32"/>
      <c r="AE10" s="32">
        <v>900</v>
      </c>
    </row>
    <row r="11" spans="1:31" x14ac:dyDescent="0.25">
      <c r="A11">
        <v>1159</v>
      </c>
      <c r="B11" t="s">
        <v>420</v>
      </c>
      <c r="C11" t="s">
        <v>61</v>
      </c>
      <c r="D11" s="35">
        <v>1800</v>
      </c>
      <c r="E11">
        <v>1246087936</v>
      </c>
      <c r="F11" s="328">
        <v>45112</v>
      </c>
      <c r="H11" t="s">
        <v>28</v>
      </c>
      <c r="I11" t="s">
        <v>29</v>
      </c>
      <c r="J11">
        <v>1246087936</v>
      </c>
      <c r="K11" s="328">
        <v>45097</v>
      </c>
      <c r="L11">
        <v>3041000</v>
      </c>
      <c r="M11" t="s">
        <v>138</v>
      </c>
      <c r="N11">
        <v>1000</v>
      </c>
      <c r="O11" s="32">
        <v>0</v>
      </c>
      <c r="P11" s="32">
        <v>1800</v>
      </c>
      <c r="Q11" s="32">
        <v>0</v>
      </c>
      <c r="R11" s="32">
        <v>0</v>
      </c>
      <c r="S11" s="32">
        <v>0</v>
      </c>
      <c r="T11" s="32">
        <v>0</v>
      </c>
      <c r="U11" s="32">
        <v>1800</v>
      </c>
      <c r="V11" s="32">
        <v>0</v>
      </c>
      <c r="W11" s="32">
        <v>54</v>
      </c>
      <c r="X11" s="32">
        <v>1746</v>
      </c>
      <c r="Y11" s="32">
        <v>1746</v>
      </c>
      <c r="Z11" s="32">
        <v>1800</v>
      </c>
      <c r="AA11" s="32">
        <v>0</v>
      </c>
      <c r="AB11" s="32">
        <v>1800</v>
      </c>
      <c r="AC11" s="32" t="s">
        <v>540</v>
      </c>
      <c r="AD11" s="32"/>
      <c r="AE11" s="32">
        <v>1800</v>
      </c>
    </row>
    <row r="12" spans="1:31" x14ac:dyDescent="0.25">
      <c r="A12">
        <v>1159</v>
      </c>
      <c r="B12" t="s">
        <v>420</v>
      </c>
      <c r="C12" t="s">
        <v>61</v>
      </c>
      <c r="D12" s="35">
        <v>2700</v>
      </c>
      <c r="E12">
        <v>1246087941</v>
      </c>
      <c r="F12" s="328">
        <v>45112</v>
      </c>
      <c r="H12" t="s">
        <v>28</v>
      </c>
      <c r="I12" t="s">
        <v>29</v>
      </c>
      <c r="J12">
        <v>1246087941</v>
      </c>
      <c r="K12" s="328">
        <v>45097</v>
      </c>
      <c r="L12">
        <v>3041000</v>
      </c>
      <c r="M12" t="s">
        <v>138</v>
      </c>
      <c r="N12">
        <v>1000</v>
      </c>
      <c r="O12" s="32">
        <v>0</v>
      </c>
      <c r="P12" s="32">
        <v>2700</v>
      </c>
      <c r="Q12" s="32">
        <v>0</v>
      </c>
      <c r="R12" s="32">
        <v>0</v>
      </c>
      <c r="S12" s="32">
        <v>0</v>
      </c>
      <c r="T12" s="32">
        <v>0</v>
      </c>
      <c r="U12" s="32">
        <v>2700</v>
      </c>
      <c r="V12" s="32">
        <v>0</v>
      </c>
      <c r="W12" s="32">
        <v>81</v>
      </c>
      <c r="X12" s="32">
        <v>2619</v>
      </c>
      <c r="Y12" s="32">
        <v>2619</v>
      </c>
      <c r="Z12" s="32">
        <v>2700</v>
      </c>
      <c r="AA12" s="32">
        <v>0</v>
      </c>
      <c r="AB12" s="32">
        <v>2700</v>
      </c>
      <c r="AC12" s="32" t="s">
        <v>540</v>
      </c>
      <c r="AD12" s="32"/>
      <c r="AE12" s="32">
        <v>2700</v>
      </c>
    </row>
    <row r="13" spans="1:31" x14ac:dyDescent="0.25">
      <c r="A13">
        <v>1159</v>
      </c>
      <c r="B13" t="s">
        <v>420</v>
      </c>
      <c r="C13" t="s">
        <v>61</v>
      </c>
      <c r="D13" s="35">
        <v>1800</v>
      </c>
      <c r="E13">
        <v>1246087939</v>
      </c>
      <c r="F13" s="328">
        <v>45112</v>
      </c>
      <c r="H13" t="s">
        <v>28</v>
      </c>
      <c r="I13" t="s">
        <v>29</v>
      </c>
      <c r="J13">
        <v>1246087939</v>
      </c>
      <c r="K13" s="328">
        <v>45097</v>
      </c>
      <c r="L13">
        <v>3041000</v>
      </c>
      <c r="M13" t="s">
        <v>138</v>
      </c>
      <c r="N13">
        <v>1000</v>
      </c>
      <c r="O13" s="32">
        <v>0</v>
      </c>
      <c r="P13" s="32">
        <v>1800</v>
      </c>
      <c r="Q13" s="32">
        <v>0</v>
      </c>
      <c r="R13" s="32">
        <v>0</v>
      </c>
      <c r="S13" s="32">
        <v>0</v>
      </c>
      <c r="T13" s="32">
        <v>0</v>
      </c>
      <c r="U13" s="32">
        <v>1800</v>
      </c>
      <c r="V13" s="32">
        <v>0</v>
      </c>
      <c r="W13" s="32">
        <v>54</v>
      </c>
      <c r="X13" s="32">
        <v>1746</v>
      </c>
      <c r="Y13" s="32">
        <v>1746</v>
      </c>
      <c r="Z13" s="32">
        <v>1800</v>
      </c>
      <c r="AA13" s="32">
        <v>0</v>
      </c>
      <c r="AB13" s="32">
        <v>1800</v>
      </c>
      <c r="AC13" s="32" t="s">
        <v>540</v>
      </c>
      <c r="AD13" s="32"/>
      <c r="AE13" s="32">
        <v>1800</v>
      </c>
    </row>
    <row r="14" spans="1:31" x14ac:dyDescent="0.25">
      <c r="A14">
        <v>1159</v>
      </c>
      <c r="B14" t="s">
        <v>420</v>
      </c>
      <c r="C14" t="s">
        <v>61</v>
      </c>
      <c r="D14" s="35">
        <v>1800</v>
      </c>
      <c r="E14">
        <v>1246087937</v>
      </c>
      <c r="F14" s="328">
        <v>45112</v>
      </c>
      <c r="H14" t="s">
        <v>28</v>
      </c>
      <c r="I14" t="s">
        <v>29</v>
      </c>
      <c r="J14">
        <v>1246087937</v>
      </c>
      <c r="K14" s="328">
        <v>45097</v>
      </c>
      <c r="L14">
        <v>3041000</v>
      </c>
      <c r="M14" t="s">
        <v>138</v>
      </c>
      <c r="N14">
        <v>1000</v>
      </c>
      <c r="O14" s="32">
        <v>0</v>
      </c>
      <c r="P14" s="32">
        <v>1800</v>
      </c>
      <c r="Q14" s="32">
        <v>0</v>
      </c>
      <c r="R14" s="32">
        <v>0</v>
      </c>
      <c r="S14" s="32">
        <v>0</v>
      </c>
      <c r="T14" s="32">
        <v>0</v>
      </c>
      <c r="U14" s="32">
        <v>1800</v>
      </c>
      <c r="V14" s="32">
        <v>0</v>
      </c>
      <c r="W14" s="32">
        <v>54</v>
      </c>
      <c r="X14" s="32">
        <v>1746</v>
      </c>
      <c r="Y14" s="32">
        <v>1746</v>
      </c>
      <c r="Z14" s="32">
        <v>1800</v>
      </c>
      <c r="AA14" s="32">
        <v>0</v>
      </c>
      <c r="AB14" s="32">
        <v>1800</v>
      </c>
      <c r="AC14" s="32" t="s">
        <v>540</v>
      </c>
      <c r="AD14" s="32"/>
      <c r="AE14" s="32">
        <v>1800</v>
      </c>
    </row>
    <row r="15" spans="1:31" x14ac:dyDescent="0.25">
      <c r="A15">
        <v>1159</v>
      </c>
      <c r="B15" t="s">
        <v>420</v>
      </c>
      <c r="C15" t="s">
        <v>61</v>
      </c>
      <c r="D15" s="35">
        <v>1800</v>
      </c>
      <c r="E15">
        <v>1246087943</v>
      </c>
      <c r="F15" s="328">
        <v>45112</v>
      </c>
      <c r="H15" t="s">
        <v>28</v>
      </c>
      <c r="I15" t="s">
        <v>29</v>
      </c>
      <c r="J15">
        <v>1246087943</v>
      </c>
      <c r="K15" s="328">
        <v>45097</v>
      </c>
      <c r="L15">
        <v>3041000</v>
      </c>
      <c r="M15" t="s">
        <v>138</v>
      </c>
      <c r="N15">
        <v>1000</v>
      </c>
      <c r="O15" s="32">
        <v>0</v>
      </c>
      <c r="P15" s="32">
        <v>1800</v>
      </c>
      <c r="Q15" s="32">
        <v>0</v>
      </c>
      <c r="R15" s="32">
        <v>0</v>
      </c>
      <c r="S15" s="32">
        <v>0</v>
      </c>
      <c r="T15" s="32">
        <v>0</v>
      </c>
      <c r="U15" s="32">
        <v>1800</v>
      </c>
      <c r="V15" s="32">
        <v>0</v>
      </c>
      <c r="W15" s="32">
        <v>54</v>
      </c>
      <c r="X15" s="32">
        <v>1746</v>
      </c>
      <c r="Y15" s="32">
        <v>1746</v>
      </c>
      <c r="Z15" s="32">
        <v>1800</v>
      </c>
      <c r="AA15" s="32">
        <v>0</v>
      </c>
      <c r="AB15" s="32">
        <v>1800</v>
      </c>
      <c r="AC15" s="32" t="s">
        <v>540</v>
      </c>
      <c r="AD15" s="32"/>
      <c r="AE15" s="32">
        <v>1800</v>
      </c>
    </row>
    <row r="16" spans="1:31" x14ac:dyDescent="0.25">
      <c r="A16">
        <v>1159</v>
      </c>
      <c r="B16" t="s">
        <v>420</v>
      </c>
      <c r="C16" t="s">
        <v>61</v>
      </c>
      <c r="D16" s="35">
        <v>2700</v>
      </c>
      <c r="E16">
        <v>1246121301</v>
      </c>
      <c r="F16" s="328">
        <v>45297</v>
      </c>
      <c r="H16" t="s">
        <v>28</v>
      </c>
      <c r="I16" t="s">
        <v>29</v>
      </c>
      <c r="J16">
        <v>1246121301</v>
      </c>
      <c r="K16" s="328">
        <v>45282</v>
      </c>
      <c r="L16">
        <v>3041000</v>
      </c>
      <c r="M16" t="s">
        <v>138</v>
      </c>
      <c r="N16">
        <v>815</v>
      </c>
      <c r="O16" s="32">
        <v>0</v>
      </c>
      <c r="P16" s="32">
        <v>2700</v>
      </c>
      <c r="Q16" s="32">
        <v>0</v>
      </c>
      <c r="R16" s="32">
        <v>0</v>
      </c>
      <c r="S16" s="32">
        <v>0</v>
      </c>
      <c r="T16" s="32">
        <v>0</v>
      </c>
      <c r="U16" s="32">
        <v>2700</v>
      </c>
      <c r="V16" s="32">
        <v>0</v>
      </c>
      <c r="W16" s="32">
        <v>81</v>
      </c>
      <c r="X16" s="32">
        <v>2619</v>
      </c>
      <c r="Y16" s="32">
        <v>2619</v>
      </c>
      <c r="Z16" s="32">
        <v>2700</v>
      </c>
      <c r="AA16" s="32">
        <v>0</v>
      </c>
      <c r="AB16" s="32">
        <v>2700</v>
      </c>
      <c r="AC16" s="32" t="s">
        <v>540</v>
      </c>
      <c r="AD16" s="32"/>
      <c r="AE16" s="32">
        <v>2700</v>
      </c>
    </row>
    <row r="17" spans="1:31" x14ac:dyDescent="0.25">
      <c r="A17">
        <v>1159</v>
      </c>
      <c r="B17" t="s">
        <v>420</v>
      </c>
      <c r="C17" t="s">
        <v>61</v>
      </c>
      <c r="D17" s="35">
        <v>4800</v>
      </c>
      <c r="E17">
        <v>1246121285</v>
      </c>
      <c r="F17" s="328">
        <v>45297</v>
      </c>
      <c r="H17" t="s">
        <v>28</v>
      </c>
      <c r="I17" t="s">
        <v>29</v>
      </c>
      <c r="J17">
        <v>1246121285</v>
      </c>
      <c r="K17" s="328">
        <v>45282</v>
      </c>
      <c r="L17">
        <v>3041000</v>
      </c>
      <c r="M17" t="s">
        <v>138</v>
      </c>
      <c r="N17">
        <v>815</v>
      </c>
      <c r="O17" s="32">
        <v>0</v>
      </c>
      <c r="P17" s="32">
        <v>4800</v>
      </c>
      <c r="Q17" s="32">
        <v>0</v>
      </c>
      <c r="R17" s="32">
        <v>0</v>
      </c>
      <c r="S17" s="32">
        <v>0</v>
      </c>
      <c r="T17" s="32">
        <v>0</v>
      </c>
      <c r="U17" s="32">
        <v>4800</v>
      </c>
      <c r="V17" s="32">
        <v>0</v>
      </c>
      <c r="W17" s="32">
        <v>144</v>
      </c>
      <c r="X17" s="32">
        <v>4656</v>
      </c>
      <c r="Y17" s="32">
        <v>4656</v>
      </c>
      <c r="Z17" s="32">
        <v>4800</v>
      </c>
      <c r="AA17" s="32">
        <v>0</v>
      </c>
      <c r="AB17" s="32">
        <v>4800</v>
      </c>
      <c r="AC17" s="32" t="s">
        <v>540</v>
      </c>
      <c r="AD17" s="32"/>
      <c r="AE17" s="32">
        <v>4800</v>
      </c>
    </row>
    <row r="18" spans="1:31" x14ac:dyDescent="0.25">
      <c r="A18">
        <v>1159</v>
      </c>
      <c r="B18" t="s">
        <v>420</v>
      </c>
      <c r="C18" t="s">
        <v>61</v>
      </c>
      <c r="D18" s="35">
        <v>2700</v>
      </c>
      <c r="E18">
        <v>1246121300</v>
      </c>
      <c r="F18" s="328">
        <v>45297</v>
      </c>
      <c r="H18" t="s">
        <v>28</v>
      </c>
      <c r="I18" t="s">
        <v>29</v>
      </c>
      <c r="J18">
        <v>1246121300</v>
      </c>
      <c r="K18" s="328">
        <v>45282</v>
      </c>
      <c r="L18">
        <v>3041000</v>
      </c>
      <c r="M18" t="s">
        <v>138</v>
      </c>
      <c r="N18">
        <v>815</v>
      </c>
      <c r="O18" s="32">
        <v>0</v>
      </c>
      <c r="P18" s="32">
        <v>2700</v>
      </c>
      <c r="Q18" s="32">
        <v>0</v>
      </c>
      <c r="R18" s="32">
        <v>0</v>
      </c>
      <c r="S18" s="32">
        <v>0</v>
      </c>
      <c r="T18" s="32">
        <v>0</v>
      </c>
      <c r="U18" s="32">
        <v>2700</v>
      </c>
      <c r="V18" s="32">
        <v>0</v>
      </c>
      <c r="W18" s="32">
        <v>81</v>
      </c>
      <c r="X18" s="32">
        <v>2619</v>
      </c>
      <c r="Y18" s="32">
        <v>2619</v>
      </c>
      <c r="Z18" s="32">
        <v>2700</v>
      </c>
      <c r="AA18" s="32">
        <v>0</v>
      </c>
      <c r="AB18" s="32">
        <v>2700</v>
      </c>
      <c r="AC18" s="32" t="s">
        <v>540</v>
      </c>
      <c r="AD18" s="32"/>
      <c r="AE18" s="32">
        <v>2700</v>
      </c>
    </row>
    <row r="19" spans="1:31" x14ac:dyDescent="0.25">
      <c r="A19">
        <v>1159</v>
      </c>
      <c r="B19" t="s">
        <v>420</v>
      </c>
      <c r="C19" t="s">
        <v>61</v>
      </c>
      <c r="D19" s="35">
        <v>1800</v>
      </c>
      <c r="E19">
        <v>1246121298</v>
      </c>
      <c r="F19" s="328">
        <v>45297</v>
      </c>
      <c r="H19" t="s">
        <v>28</v>
      </c>
      <c r="I19" t="s">
        <v>29</v>
      </c>
      <c r="J19">
        <v>1246121298</v>
      </c>
      <c r="K19" s="328">
        <v>45282</v>
      </c>
      <c r="L19">
        <v>3041000</v>
      </c>
      <c r="M19" t="s">
        <v>138</v>
      </c>
      <c r="N19">
        <v>815</v>
      </c>
      <c r="O19" s="32">
        <v>0</v>
      </c>
      <c r="P19" s="32">
        <v>1800</v>
      </c>
      <c r="Q19" s="32">
        <v>0</v>
      </c>
      <c r="R19" s="32">
        <v>0</v>
      </c>
      <c r="S19" s="32">
        <v>0</v>
      </c>
      <c r="T19" s="32">
        <v>0</v>
      </c>
      <c r="U19" s="32">
        <v>1800</v>
      </c>
      <c r="V19" s="32">
        <v>0</v>
      </c>
      <c r="W19" s="32">
        <v>54</v>
      </c>
      <c r="X19" s="32">
        <v>1746</v>
      </c>
      <c r="Y19" s="32">
        <v>1746</v>
      </c>
      <c r="Z19" s="32">
        <v>1800</v>
      </c>
      <c r="AA19" s="32">
        <v>0</v>
      </c>
      <c r="AB19" s="32">
        <v>1800</v>
      </c>
      <c r="AC19" s="32" t="s">
        <v>540</v>
      </c>
      <c r="AD19" s="32"/>
      <c r="AE19" s="32">
        <v>1800</v>
      </c>
    </row>
    <row r="20" spans="1:31" x14ac:dyDescent="0.25">
      <c r="A20">
        <v>1159</v>
      </c>
      <c r="B20" t="s">
        <v>420</v>
      </c>
      <c r="C20" t="s">
        <v>61</v>
      </c>
      <c r="D20" s="35">
        <v>2700</v>
      </c>
      <c r="E20">
        <v>1246121302</v>
      </c>
      <c r="F20" s="328">
        <v>45297</v>
      </c>
      <c r="H20" t="s">
        <v>28</v>
      </c>
      <c r="I20" t="s">
        <v>29</v>
      </c>
      <c r="J20">
        <v>1246121302</v>
      </c>
      <c r="K20" s="328">
        <v>45282</v>
      </c>
      <c r="L20">
        <v>3041000</v>
      </c>
      <c r="M20" t="s">
        <v>138</v>
      </c>
      <c r="N20">
        <v>815</v>
      </c>
      <c r="O20" s="32">
        <v>0</v>
      </c>
      <c r="P20" s="32">
        <v>2700</v>
      </c>
      <c r="Q20" s="32">
        <v>0</v>
      </c>
      <c r="R20" s="32">
        <v>0</v>
      </c>
      <c r="S20" s="32">
        <v>0</v>
      </c>
      <c r="T20" s="32">
        <v>0</v>
      </c>
      <c r="U20" s="32">
        <v>2700</v>
      </c>
      <c r="V20" s="32">
        <v>0</v>
      </c>
      <c r="W20" s="32">
        <v>81</v>
      </c>
      <c r="X20" s="32">
        <v>2619</v>
      </c>
      <c r="Y20" s="32">
        <v>2619</v>
      </c>
      <c r="Z20" s="32">
        <v>2700</v>
      </c>
      <c r="AA20" s="32">
        <v>0</v>
      </c>
      <c r="AB20" s="32">
        <v>2700</v>
      </c>
      <c r="AC20" s="32" t="s">
        <v>540</v>
      </c>
      <c r="AD20" s="32"/>
      <c r="AE20" s="32">
        <v>2700</v>
      </c>
    </row>
    <row r="21" spans="1:31" x14ac:dyDescent="0.25">
      <c r="A21">
        <v>1159</v>
      </c>
      <c r="B21" t="s">
        <v>420</v>
      </c>
      <c r="C21" t="s">
        <v>61</v>
      </c>
      <c r="D21" s="35">
        <v>1200</v>
      </c>
      <c r="E21">
        <v>1246121295</v>
      </c>
      <c r="F21" s="328">
        <v>45297</v>
      </c>
      <c r="H21" t="s">
        <v>28</v>
      </c>
      <c r="I21" t="s">
        <v>29</v>
      </c>
      <c r="J21">
        <v>1246121295</v>
      </c>
      <c r="K21" s="328">
        <v>45282</v>
      </c>
      <c r="L21">
        <v>3041000</v>
      </c>
      <c r="M21" t="s">
        <v>138</v>
      </c>
      <c r="N21">
        <v>815</v>
      </c>
      <c r="O21" s="32">
        <v>0</v>
      </c>
      <c r="P21" s="32">
        <v>1200</v>
      </c>
      <c r="Q21" s="32">
        <v>0</v>
      </c>
      <c r="R21" s="32">
        <v>0</v>
      </c>
      <c r="S21" s="32">
        <v>0</v>
      </c>
      <c r="T21" s="32">
        <v>0</v>
      </c>
      <c r="U21" s="32">
        <v>1200</v>
      </c>
      <c r="V21" s="32">
        <v>0</v>
      </c>
      <c r="W21" s="32">
        <v>36</v>
      </c>
      <c r="X21" s="32">
        <v>1164</v>
      </c>
      <c r="Y21" s="32">
        <v>1164</v>
      </c>
      <c r="Z21" s="32">
        <v>1200</v>
      </c>
      <c r="AA21" s="32">
        <v>0</v>
      </c>
      <c r="AB21" s="32">
        <v>1200</v>
      </c>
      <c r="AC21" s="32" t="s">
        <v>540</v>
      </c>
      <c r="AD21" s="32"/>
      <c r="AE21" s="32">
        <v>1200</v>
      </c>
    </row>
    <row r="22" spans="1:31" x14ac:dyDescent="0.25">
      <c r="A22">
        <v>1159</v>
      </c>
      <c r="B22" t="s">
        <v>420</v>
      </c>
      <c r="C22" t="s">
        <v>61</v>
      </c>
      <c r="D22" s="35">
        <v>2700</v>
      </c>
      <c r="E22">
        <v>1246121297</v>
      </c>
      <c r="F22" s="328">
        <v>45297</v>
      </c>
      <c r="H22" t="s">
        <v>28</v>
      </c>
      <c r="I22" t="s">
        <v>29</v>
      </c>
      <c r="J22">
        <v>1246121297</v>
      </c>
      <c r="K22" s="328">
        <v>45282</v>
      </c>
      <c r="L22">
        <v>3041000</v>
      </c>
      <c r="M22" t="s">
        <v>138</v>
      </c>
      <c r="N22">
        <v>815</v>
      </c>
      <c r="O22" s="32">
        <v>0</v>
      </c>
      <c r="P22" s="32">
        <v>2700</v>
      </c>
      <c r="Q22" s="32">
        <v>0</v>
      </c>
      <c r="R22" s="32">
        <v>0</v>
      </c>
      <c r="S22" s="32">
        <v>0</v>
      </c>
      <c r="T22" s="32">
        <v>0</v>
      </c>
      <c r="U22" s="32">
        <v>2700</v>
      </c>
      <c r="V22" s="32">
        <v>0</v>
      </c>
      <c r="W22" s="32">
        <v>81</v>
      </c>
      <c r="X22" s="32">
        <v>2619</v>
      </c>
      <c r="Y22" s="32">
        <v>2619</v>
      </c>
      <c r="Z22" s="32">
        <v>2700</v>
      </c>
      <c r="AA22" s="32">
        <v>0</v>
      </c>
      <c r="AB22" s="32">
        <v>2700</v>
      </c>
      <c r="AC22" s="32" t="s">
        <v>540</v>
      </c>
      <c r="AD22" s="32"/>
      <c r="AE22" s="32">
        <v>2700</v>
      </c>
    </row>
    <row r="23" spans="1:31" x14ac:dyDescent="0.25">
      <c r="A23">
        <v>1159</v>
      </c>
      <c r="B23" t="s">
        <v>420</v>
      </c>
      <c r="C23" t="s">
        <v>61</v>
      </c>
      <c r="D23" s="35">
        <v>6300</v>
      </c>
      <c r="E23">
        <v>1246121299</v>
      </c>
      <c r="F23" s="328">
        <v>45297</v>
      </c>
      <c r="H23" t="s">
        <v>28</v>
      </c>
      <c r="I23" t="s">
        <v>29</v>
      </c>
      <c r="J23">
        <v>1246121299</v>
      </c>
      <c r="K23" s="328">
        <v>45282</v>
      </c>
      <c r="L23">
        <v>3041000</v>
      </c>
      <c r="M23" t="s">
        <v>138</v>
      </c>
      <c r="N23">
        <v>815</v>
      </c>
      <c r="O23" s="32">
        <v>0</v>
      </c>
      <c r="P23" s="32">
        <v>6300</v>
      </c>
      <c r="Q23" s="32">
        <v>0</v>
      </c>
      <c r="R23" s="32">
        <v>0</v>
      </c>
      <c r="S23" s="32">
        <v>0</v>
      </c>
      <c r="T23" s="32">
        <v>0</v>
      </c>
      <c r="U23" s="32">
        <v>6300</v>
      </c>
      <c r="V23" s="32">
        <v>0</v>
      </c>
      <c r="W23" s="32">
        <v>189</v>
      </c>
      <c r="X23" s="32">
        <v>6111</v>
      </c>
      <c r="Y23" s="32">
        <v>6111</v>
      </c>
      <c r="Z23" s="32">
        <v>6300</v>
      </c>
      <c r="AA23" s="32">
        <v>0</v>
      </c>
      <c r="AB23" s="32">
        <v>6300</v>
      </c>
      <c r="AC23" s="32" t="s">
        <v>540</v>
      </c>
      <c r="AD23" s="32"/>
      <c r="AE23" s="32">
        <v>6300</v>
      </c>
    </row>
    <row r="24" spans="1:31" x14ac:dyDescent="0.25">
      <c r="A24">
        <v>1159</v>
      </c>
      <c r="B24" t="s">
        <v>420</v>
      </c>
      <c r="C24" t="s">
        <v>61</v>
      </c>
      <c r="D24" s="35">
        <v>3600</v>
      </c>
      <c r="E24">
        <v>1246121296</v>
      </c>
      <c r="F24" s="328">
        <v>45297</v>
      </c>
      <c r="H24" t="s">
        <v>28</v>
      </c>
      <c r="I24" t="s">
        <v>29</v>
      </c>
      <c r="J24">
        <v>1246121296</v>
      </c>
      <c r="K24" s="328">
        <v>45282</v>
      </c>
      <c r="L24">
        <v>3041000</v>
      </c>
      <c r="M24" t="s">
        <v>138</v>
      </c>
      <c r="N24">
        <v>815</v>
      </c>
      <c r="O24" s="32">
        <v>0</v>
      </c>
      <c r="P24" s="32">
        <v>3600</v>
      </c>
      <c r="Q24" s="32">
        <v>0</v>
      </c>
      <c r="R24" s="32">
        <v>0</v>
      </c>
      <c r="S24" s="32">
        <v>0</v>
      </c>
      <c r="T24" s="32">
        <v>0</v>
      </c>
      <c r="U24" s="32">
        <v>3600</v>
      </c>
      <c r="V24" s="32">
        <v>0</v>
      </c>
      <c r="W24" s="32">
        <v>108</v>
      </c>
      <c r="X24" s="32">
        <v>3492</v>
      </c>
      <c r="Y24" s="32">
        <v>3492</v>
      </c>
      <c r="Z24" s="32">
        <v>3600</v>
      </c>
      <c r="AA24" s="32">
        <v>0</v>
      </c>
      <c r="AB24" s="32">
        <v>3600</v>
      </c>
      <c r="AC24" s="32" t="s">
        <v>540</v>
      </c>
      <c r="AD24" s="32"/>
      <c r="AE24" s="32">
        <v>3600</v>
      </c>
    </row>
    <row r="25" spans="1:31" x14ac:dyDescent="0.25">
      <c r="A25">
        <v>1159</v>
      </c>
      <c r="B25" t="s">
        <v>420</v>
      </c>
      <c r="C25" t="s">
        <v>61</v>
      </c>
      <c r="D25" s="35">
        <v>1200</v>
      </c>
      <c r="E25">
        <v>1246135390</v>
      </c>
      <c r="F25" s="328">
        <v>45388</v>
      </c>
      <c r="H25" t="s">
        <v>28</v>
      </c>
      <c r="I25" t="s">
        <v>29</v>
      </c>
      <c r="J25">
        <v>1246135390</v>
      </c>
      <c r="K25" s="328">
        <v>45373</v>
      </c>
      <c r="L25">
        <v>3041000</v>
      </c>
      <c r="M25" t="s">
        <v>138</v>
      </c>
      <c r="N25">
        <v>724</v>
      </c>
      <c r="O25" s="32">
        <v>0</v>
      </c>
      <c r="P25" s="32">
        <v>1200</v>
      </c>
      <c r="Q25" s="32">
        <v>0</v>
      </c>
      <c r="R25" s="32">
        <v>0</v>
      </c>
      <c r="S25" s="32">
        <v>0</v>
      </c>
      <c r="T25" s="32">
        <v>0</v>
      </c>
      <c r="U25" s="32">
        <v>1200</v>
      </c>
      <c r="V25" s="32">
        <v>0</v>
      </c>
      <c r="W25" s="32">
        <v>36</v>
      </c>
      <c r="X25" s="32">
        <v>1164</v>
      </c>
      <c r="Y25" s="32">
        <v>1164</v>
      </c>
      <c r="Z25" s="32">
        <v>1200</v>
      </c>
      <c r="AA25" s="32">
        <v>0</v>
      </c>
      <c r="AB25" s="32">
        <v>1200</v>
      </c>
      <c r="AC25" s="32" t="s">
        <v>540</v>
      </c>
      <c r="AD25" s="32"/>
      <c r="AE25" s="32">
        <v>1200</v>
      </c>
    </row>
    <row r="26" spans="1:31" x14ac:dyDescent="0.25">
      <c r="A26">
        <v>1159</v>
      </c>
      <c r="B26" t="s">
        <v>420</v>
      </c>
      <c r="C26" t="s">
        <v>61</v>
      </c>
      <c r="D26" s="35">
        <v>2400</v>
      </c>
      <c r="E26">
        <v>1246135388</v>
      </c>
      <c r="F26" s="328">
        <v>45388</v>
      </c>
      <c r="H26" t="s">
        <v>28</v>
      </c>
      <c r="I26" t="s">
        <v>29</v>
      </c>
      <c r="J26">
        <v>1246135388</v>
      </c>
      <c r="K26" s="328">
        <v>45373</v>
      </c>
      <c r="L26">
        <v>3041000</v>
      </c>
      <c r="M26" t="s">
        <v>138</v>
      </c>
      <c r="N26">
        <v>724</v>
      </c>
      <c r="O26" s="32">
        <v>0</v>
      </c>
      <c r="P26" s="32">
        <v>2400</v>
      </c>
      <c r="Q26" s="32">
        <v>0</v>
      </c>
      <c r="R26" s="32">
        <v>0</v>
      </c>
      <c r="S26" s="32">
        <v>0</v>
      </c>
      <c r="T26" s="32">
        <v>0</v>
      </c>
      <c r="U26" s="32">
        <v>2400</v>
      </c>
      <c r="V26" s="32">
        <v>0</v>
      </c>
      <c r="W26" s="32">
        <v>72</v>
      </c>
      <c r="X26" s="32">
        <v>2328</v>
      </c>
      <c r="Y26" s="32">
        <v>2328</v>
      </c>
      <c r="Z26" s="32">
        <v>2400</v>
      </c>
      <c r="AA26" s="32">
        <v>0</v>
      </c>
      <c r="AB26" s="32">
        <v>2400</v>
      </c>
      <c r="AC26" s="32" t="s">
        <v>540</v>
      </c>
      <c r="AD26" s="32"/>
      <c r="AE26" s="32">
        <v>2400</v>
      </c>
    </row>
    <row r="27" spans="1:31" x14ac:dyDescent="0.25">
      <c r="A27">
        <v>1159</v>
      </c>
      <c r="B27" t="s">
        <v>420</v>
      </c>
      <c r="C27" t="s">
        <v>61</v>
      </c>
      <c r="D27" s="35">
        <v>1200</v>
      </c>
      <c r="E27">
        <v>1246135385</v>
      </c>
      <c r="F27" s="328">
        <v>45388</v>
      </c>
      <c r="H27" t="s">
        <v>28</v>
      </c>
      <c r="I27" t="s">
        <v>29</v>
      </c>
      <c r="J27">
        <v>1246135385</v>
      </c>
      <c r="K27" s="328">
        <v>45373</v>
      </c>
      <c r="L27">
        <v>3041000</v>
      </c>
      <c r="M27" t="s">
        <v>138</v>
      </c>
      <c r="N27">
        <v>724</v>
      </c>
      <c r="O27" s="32">
        <v>0</v>
      </c>
      <c r="P27" s="32">
        <v>1200</v>
      </c>
      <c r="Q27" s="32">
        <v>0</v>
      </c>
      <c r="R27" s="32">
        <v>0</v>
      </c>
      <c r="S27" s="32">
        <v>0</v>
      </c>
      <c r="T27" s="32">
        <v>0</v>
      </c>
      <c r="U27" s="32">
        <v>1200</v>
      </c>
      <c r="V27" s="32">
        <v>0</v>
      </c>
      <c r="W27" s="32">
        <v>36</v>
      </c>
      <c r="X27" s="32">
        <v>1164</v>
      </c>
      <c r="Y27" s="32">
        <v>1164</v>
      </c>
      <c r="Z27" s="32">
        <v>1200</v>
      </c>
      <c r="AA27" s="32">
        <v>0</v>
      </c>
      <c r="AB27" s="32">
        <v>1200</v>
      </c>
      <c r="AC27" s="32" t="s">
        <v>540</v>
      </c>
      <c r="AD27" s="32"/>
      <c r="AE27" s="32">
        <v>1200</v>
      </c>
    </row>
    <row r="28" spans="1:31" x14ac:dyDescent="0.25">
      <c r="A28">
        <v>1159</v>
      </c>
      <c r="B28" t="s">
        <v>420</v>
      </c>
      <c r="C28" t="s">
        <v>61</v>
      </c>
      <c r="D28" s="35">
        <v>3600</v>
      </c>
      <c r="E28">
        <v>1246135391</v>
      </c>
      <c r="F28" s="328">
        <v>45388</v>
      </c>
      <c r="H28" t="s">
        <v>28</v>
      </c>
      <c r="I28" t="s">
        <v>29</v>
      </c>
      <c r="J28">
        <v>1246135391</v>
      </c>
      <c r="K28" s="328">
        <v>45373</v>
      </c>
      <c r="L28">
        <v>3041000</v>
      </c>
      <c r="M28" t="s">
        <v>138</v>
      </c>
      <c r="N28">
        <v>724</v>
      </c>
      <c r="O28" s="32">
        <v>0</v>
      </c>
      <c r="P28" s="32">
        <v>3600</v>
      </c>
      <c r="Q28" s="32">
        <v>0</v>
      </c>
      <c r="R28" s="32">
        <v>0</v>
      </c>
      <c r="S28" s="32">
        <v>0</v>
      </c>
      <c r="T28" s="32">
        <v>0</v>
      </c>
      <c r="U28" s="32">
        <v>3600</v>
      </c>
      <c r="V28" s="32">
        <v>0</v>
      </c>
      <c r="W28" s="32">
        <v>108</v>
      </c>
      <c r="X28" s="32">
        <v>3492</v>
      </c>
      <c r="Y28" s="32">
        <v>3492</v>
      </c>
      <c r="Z28" s="32">
        <v>3600</v>
      </c>
      <c r="AA28" s="32">
        <v>0</v>
      </c>
      <c r="AB28" s="32">
        <v>3600</v>
      </c>
      <c r="AC28" s="32" t="s">
        <v>540</v>
      </c>
      <c r="AD28" s="32"/>
      <c r="AE28" s="32">
        <v>3600</v>
      </c>
    </row>
    <row r="29" spans="1:31" x14ac:dyDescent="0.25">
      <c r="A29">
        <v>1159</v>
      </c>
      <c r="B29" t="s">
        <v>420</v>
      </c>
      <c r="C29" t="s">
        <v>61</v>
      </c>
      <c r="D29" s="35">
        <v>2400</v>
      </c>
      <c r="E29">
        <v>1246135382</v>
      </c>
      <c r="F29" s="328">
        <v>45388</v>
      </c>
      <c r="H29" t="s">
        <v>28</v>
      </c>
      <c r="I29" t="s">
        <v>29</v>
      </c>
      <c r="J29">
        <v>1246135382</v>
      </c>
      <c r="K29" s="328">
        <v>45373</v>
      </c>
      <c r="L29">
        <v>3041000</v>
      </c>
      <c r="M29" t="s">
        <v>138</v>
      </c>
      <c r="N29">
        <v>724</v>
      </c>
      <c r="O29" s="32">
        <v>0</v>
      </c>
      <c r="P29" s="32">
        <v>2400</v>
      </c>
      <c r="Q29" s="32">
        <v>0</v>
      </c>
      <c r="R29" s="32">
        <v>0</v>
      </c>
      <c r="S29" s="32">
        <v>0</v>
      </c>
      <c r="T29" s="32">
        <v>0</v>
      </c>
      <c r="U29" s="32">
        <v>2400</v>
      </c>
      <c r="V29" s="32">
        <v>0</v>
      </c>
      <c r="W29" s="32">
        <v>72</v>
      </c>
      <c r="X29" s="32">
        <v>2328</v>
      </c>
      <c r="Y29" s="32">
        <v>2328</v>
      </c>
      <c r="Z29" s="32">
        <v>2400</v>
      </c>
      <c r="AA29" s="32">
        <v>0</v>
      </c>
      <c r="AB29" s="32">
        <v>2400</v>
      </c>
      <c r="AC29" s="32" t="s">
        <v>540</v>
      </c>
      <c r="AD29" s="32"/>
      <c r="AE29" s="32">
        <v>2400</v>
      </c>
    </row>
    <row r="30" spans="1:31" x14ac:dyDescent="0.25">
      <c r="A30">
        <v>1159</v>
      </c>
      <c r="B30" t="s">
        <v>420</v>
      </c>
      <c r="C30" t="s">
        <v>61</v>
      </c>
      <c r="D30" s="35">
        <v>3600</v>
      </c>
      <c r="E30">
        <v>1246173258</v>
      </c>
      <c r="F30" s="328">
        <v>45575</v>
      </c>
      <c r="H30" t="s">
        <v>28</v>
      </c>
      <c r="I30" t="s">
        <v>29</v>
      </c>
      <c r="J30">
        <v>1246173258</v>
      </c>
      <c r="K30" s="328">
        <v>45560</v>
      </c>
      <c r="L30">
        <v>3041000</v>
      </c>
      <c r="M30" t="s">
        <v>138</v>
      </c>
      <c r="N30">
        <v>537</v>
      </c>
      <c r="O30" s="32">
        <v>0</v>
      </c>
      <c r="P30" s="32">
        <v>3600</v>
      </c>
      <c r="Q30" s="32">
        <v>0</v>
      </c>
      <c r="R30" s="32">
        <v>0</v>
      </c>
      <c r="S30" s="32">
        <v>0</v>
      </c>
      <c r="T30" s="32">
        <v>0</v>
      </c>
      <c r="U30" s="32">
        <v>3600</v>
      </c>
      <c r="V30" s="32">
        <v>0</v>
      </c>
      <c r="W30" s="32">
        <v>108</v>
      </c>
      <c r="X30" s="32">
        <v>3492</v>
      </c>
      <c r="Y30" s="32">
        <v>3492</v>
      </c>
      <c r="Z30" s="32">
        <v>3600</v>
      </c>
      <c r="AA30" s="32">
        <v>0</v>
      </c>
      <c r="AB30" s="32">
        <v>3600</v>
      </c>
      <c r="AC30" s="32" t="s">
        <v>540</v>
      </c>
      <c r="AD30" s="32"/>
      <c r="AE30" s="32">
        <v>3600</v>
      </c>
    </row>
    <row r="31" spans="1:31" x14ac:dyDescent="0.25">
      <c r="A31">
        <v>1159</v>
      </c>
      <c r="B31" t="s">
        <v>420</v>
      </c>
      <c r="C31" t="s">
        <v>61</v>
      </c>
      <c r="D31" s="35">
        <v>1200</v>
      </c>
      <c r="E31">
        <v>1246173256</v>
      </c>
      <c r="F31" s="328">
        <v>45575</v>
      </c>
      <c r="H31" t="s">
        <v>28</v>
      </c>
      <c r="I31" t="s">
        <v>29</v>
      </c>
      <c r="J31">
        <v>1246173256</v>
      </c>
      <c r="K31" s="328">
        <v>45560</v>
      </c>
      <c r="L31">
        <v>3041000</v>
      </c>
      <c r="M31" t="s">
        <v>138</v>
      </c>
      <c r="N31">
        <v>537</v>
      </c>
      <c r="O31" s="32">
        <v>0</v>
      </c>
      <c r="P31" s="32">
        <v>1200</v>
      </c>
      <c r="Q31" s="32">
        <v>0</v>
      </c>
      <c r="R31" s="32">
        <v>0</v>
      </c>
      <c r="S31" s="32">
        <v>0</v>
      </c>
      <c r="T31" s="32">
        <v>0</v>
      </c>
      <c r="U31" s="32">
        <v>1200</v>
      </c>
      <c r="V31" s="32">
        <v>0</v>
      </c>
      <c r="W31" s="32">
        <v>36</v>
      </c>
      <c r="X31" s="32">
        <v>1164</v>
      </c>
      <c r="Y31" s="32">
        <v>1164</v>
      </c>
      <c r="Z31" s="32">
        <v>1200</v>
      </c>
      <c r="AA31" s="32">
        <v>0</v>
      </c>
      <c r="AB31" s="32">
        <v>1200</v>
      </c>
      <c r="AC31" s="32" t="s">
        <v>540</v>
      </c>
      <c r="AD31" s="32"/>
      <c r="AE31" s="32">
        <v>1200</v>
      </c>
    </row>
    <row r="32" spans="1:31" x14ac:dyDescent="0.25">
      <c r="A32">
        <v>1159</v>
      </c>
      <c r="B32" t="s">
        <v>420</v>
      </c>
      <c r="C32" t="s">
        <v>61</v>
      </c>
      <c r="D32" s="35">
        <v>2400</v>
      </c>
      <c r="E32">
        <v>1246173253</v>
      </c>
      <c r="F32" s="328">
        <v>45575</v>
      </c>
      <c r="H32" t="s">
        <v>28</v>
      </c>
      <c r="I32" t="s">
        <v>29</v>
      </c>
      <c r="J32">
        <v>1246173253</v>
      </c>
      <c r="K32" s="328">
        <v>45560</v>
      </c>
      <c r="L32">
        <v>3041000</v>
      </c>
      <c r="M32" t="s">
        <v>138</v>
      </c>
      <c r="N32">
        <v>537</v>
      </c>
      <c r="O32" s="32">
        <v>0</v>
      </c>
      <c r="P32" s="32">
        <v>2400</v>
      </c>
      <c r="Q32" s="32">
        <v>0</v>
      </c>
      <c r="R32" s="32">
        <v>0</v>
      </c>
      <c r="S32" s="32">
        <v>0</v>
      </c>
      <c r="T32" s="32">
        <v>0</v>
      </c>
      <c r="U32" s="32">
        <v>2400</v>
      </c>
      <c r="V32" s="32">
        <v>0</v>
      </c>
      <c r="W32" s="32">
        <v>72</v>
      </c>
      <c r="X32" s="32">
        <v>2328</v>
      </c>
      <c r="Y32" s="32">
        <v>2328</v>
      </c>
      <c r="Z32" s="32">
        <v>2400</v>
      </c>
      <c r="AA32" s="32">
        <v>0</v>
      </c>
      <c r="AB32" s="32">
        <v>2400</v>
      </c>
      <c r="AC32" s="32" t="s">
        <v>540</v>
      </c>
      <c r="AD32" s="32"/>
      <c r="AE32" s="32">
        <v>2400</v>
      </c>
    </row>
    <row r="33" spans="1:31" x14ac:dyDescent="0.25">
      <c r="A33">
        <v>1159</v>
      </c>
      <c r="B33" t="s">
        <v>420</v>
      </c>
      <c r="C33" t="s">
        <v>61</v>
      </c>
      <c r="D33" s="35">
        <v>1200</v>
      </c>
      <c r="E33">
        <v>1246173257</v>
      </c>
      <c r="F33" s="328">
        <v>45575</v>
      </c>
      <c r="H33" t="s">
        <v>28</v>
      </c>
      <c r="I33" t="s">
        <v>29</v>
      </c>
      <c r="J33">
        <v>1246173257</v>
      </c>
      <c r="K33" s="328">
        <v>45560</v>
      </c>
      <c r="L33">
        <v>3041000</v>
      </c>
      <c r="M33" t="s">
        <v>138</v>
      </c>
      <c r="N33">
        <v>537</v>
      </c>
      <c r="O33" s="32">
        <v>0</v>
      </c>
      <c r="P33" s="32">
        <v>1200</v>
      </c>
      <c r="Q33" s="32">
        <v>0</v>
      </c>
      <c r="R33" s="32">
        <v>0</v>
      </c>
      <c r="S33" s="32">
        <v>0</v>
      </c>
      <c r="T33" s="32">
        <v>0</v>
      </c>
      <c r="U33" s="32">
        <v>1200</v>
      </c>
      <c r="V33" s="32">
        <v>0</v>
      </c>
      <c r="W33" s="32">
        <v>36</v>
      </c>
      <c r="X33" s="32">
        <v>1164</v>
      </c>
      <c r="Y33" s="32">
        <v>1164</v>
      </c>
      <c r="Z33" s="32">
        <v>1200</v>
      </c>
      <c r="AA33" s="32">
        <v>0</v>
      </c>
      <c r="AB33" s="32">
        <v>1200</v>
      </c>
      <c r="AC33" s="32" t="s">
        <v>540</v>
      </c>
      <c r="AD33" s="32"/>
      <c r="AE33" s="32">
        <v>1200</v>
      </c>
    </row>
    <row r="34" spans="1:31" x14ac:dyDescent="0.25">
      <c r="A34">
        <v>1159</v>
      </c>
      <c r="B34" t="s">
        <v>420</v>
      </c>
      <c r="C34" t="s">
        <v>61</v>
      </c>
      <c r="D34" s="35">
        <v>10800</v>
      </c>
      <c r="E34">
        <v>1246264138</v>
      </c>
      <c r="F34" s="328">
        <v>46087</v>
      </c>
      <c r="H34" t="s">
        <v>28</v>
      </c>
      <c r="I34" t="s">
        <v>29</v>
      </c>
      <c r="J34">
        <v>1246264138</v>
      </c>
      <c r="K34" s="328">
        <v>46072</v>
      </c>
      <c r="L34">
        <v>3042200</v>
      </c>
      <c r="M34" t="s">
        <v>859</v>
      </c>
      <c r="N34">
        <v>25</v>
      </c>
      <c r="O34" s="32">
        <v>0</v>
      </c>
      <c r="P34" s="32">
        <v>0</v>
      </c>
      <c r="Q34" s="32">
        <v>0</v>
      </c>
      <c r="R34" s="32">
        <v>10800</v>
      </c>
      <c r="S34" s="32">
        <v>0</v>
      </c>
      <c r="T34" s="32">
        <v>0</v>
      </c>
      <c r="U34" s="32">
        <v>0</v>
      </c>
      <c r="V34" s="32">
        <v>0</v>
      </c>
      <c r="W34" s="32">
        <v>0</v>
      </c>
      <c r="X34" s="32">
        <v>0</v>
      </c>
      <c r="Y34" s="32">
        <v>0</v>
      </c>
      <c r="Z34" s="32">
        <v>0</v>
      </c>
      <c r="AA34" s="32">
        <v>0</v>
      </c>
      <c r="AB34" s="32">
        <v>0</v>
      </c>
      <c r="AC34" s="32" t="s">
        <v>540</v>
      </c>
      <c r="AD34" s="32"/>
      <c r="AE34" s="32">
        <v>0</v>
      </c>
    </row>
    <row r="35" spans="1:31" x14ac:dyDescent="0.25">
      <c r="A35">
        <v>452</v>
      </c>
      <c r="B35" t="s">
        <v>578</v>
      </c>
      <c r="C35" t="s">
        <v>48</v>
      </c>
      <c r="D35" s="35">
        <v>1800</v>
      </c>
      <c r="E35">
        <v>1246055195</v>
      </c>
      <c r="F35" s="328">
        <v>44902</v>
      </c>
      <c r="H35" t="s">
        <v>28</v>
      </c>
      <c r="I35" t="s">
        <v>29</v>
      </c>
      <c r="J35">
        <v>1246055195</v>
      </c>
      <c r="K35" s="328">
        <v>44887</v>
      </c>
      <c r="L35">
        <v>3041000</v>
      </c>
      <c r="M35" t="s">
        <v>138</v>
      </c>
      <c r="N35">
        <v>1210</v>
      </c>
      <c r="O35" s="32">
        <v>0</v>
      </c>
      <c r="P35" s="32">
        <v>1800</v>
      </c>
      <c r="Q35" s="32">
        <v>0</v>
      </c>
      <c r="R35" s="32">
        <v>0</v>
      </c>
      <c r="S35" s="32">
        <v>0</v>
      </c>
      <c r="T35" s="32">
        <v>0</v>
      </c>
      <c r="U35" s="32">
        <v>1800</v>
      </c>
      <c r="V35" s="32">
        <v>0</v>
      </c>
      <c r="W35" s="32">
        <v>54</v>
      </c>
      <c r="X35" s="32">
        <v>1746</v>
      </c>
      <c r="Y35" s="32">
        <v>1746</v>
      </c>
      <c r="Z35" s="32">
        <v>1800</v>
      </c>
      <c r="AA35" s="32">
        <v>0</v>
      </c>
      <c r="AB35" s="32">
        <v>1800</v>
      </c>
      <c r="AC35" s="32" t="s">
        <v>540</v>
      </c>
      <c r="AD35" s="32"/>
      <c r="AE35" s="32">
        <v>1800</v>
      </c>
    </row>
    <row r="36" spans="1:31" x14ac:dyDescent="0.25">
      <c r="A36">
        <v>2559</v>
      </c>
      <c r="B36" t="s">
        <v>500</v>
      </c>
      <c r="C36" t="s">
        <v>79</v>
      </c>
      <c r="D36" s="35">
        <v>1200</v>
      </c>
      <c r="E36">
        <v>1246203587</v>
      </c>
      <c r="F36" s="328">
        <v>45750</v>
      </c>
      <c r="H36" t="s">
        <v>28</v>
      </c>
      <c r="I36" t="s">
        <v>29</v>
      </c>
      <c r="J36">
        <v>1246203587</v>
      </c>
      <c r="K36" s="328">
        <v>45735</v>
      </c>
      <c r="L36">
        <v>3041000</v>
      </c>
      <c r="M36" t="s">
        <v>138</v>
      </c>
      <c r="N36">
        <v>362</v>
      </c>
      <c r="O36" s="32">
        <v>0</v>
      </c>
      <c r="P36" s="32">
        <v>1200</v>
      </c>
      <c r="Q36" s="32">
        <v>0</v>
      </c>
      <c r="R36" s="32">
        <v>0</v>
      </c>
      <c r="S36" s="32">
        <v>0</v>
      </c>
      <c r="T36" s="32">
        <v>0</v>
      </c>
      <c r="U36" s="32">
        <v>1200</v>
      </c>
      <c r="V36" s="32">
        <v>0</v>
      </c>
      <c r="W36" s="32">
        <v>36</v>
      </c>
      <c r="X36" s="32">
        <v>1164</v>
      </c>
      <c r="Y36" s="32">
        <v>1164</v>
      </c>
      <c r="Z36" s="32">
        <v>1200</v>
      </c>
      <c r="AA36" s="32">
        <v>0</v>
      </c>
      <c r="AB36" s="32">
        <v>1200</v>
      </c>
      <c r="AC36" s="32" t="s">
        <v>540</v>
      </c>
      <c r="AD36" s="32"/>
      <c r="AE36" s="32">
        <v>1200</v>
      </c>
    </row>
    <row r="37" spans="1:31" x14ac:dyDescent="0.25">
      <c r="A37">
        <v>2559</v>
      </c>
      <c r="B37" t="s">
        <v>500</v>
      </c>
      <c r="C37" t="s">
        <v>79</v>
      </c>
      <c r="D37" s="35">
        <v>7200</v>
      </c>
      <c r="E37">
        <v>1246203586</v>
      </c>
      <c r="F37" s="328">
        <v>45750</v>
      </c>
      <c r="H37" t="s">
        <v>28</v>
      </c>
      <c r="I37" t="s">
        <v>29</v>
      </c>
      <c r="J37">
        <v>1246203586</v>
      </c>
      <c r="K37" s="328">
        <v>45735</v>
      </c>
      <c r="L37">
        <v>3041000</v>
      </c>
      <c r="M37" t="s">
        <v>138</v>
      </c>
      <c r="N37">
        <v>362</v>
      </c>
      <c r="O37" s="32">
        <v>0</v>
      </c>
      <c r="P37" s="32">
        <v>7200</v>
      </c>
      <c r="Q37" s="32">
        <v>0</v>
      </c>
      <c r="R37" s="32">
        <v>0</v>
      </c>
      <c r="S37" s="32">
        <v>0</v>
      </c>
      <c r="T37" s="32">
        <v>0</v>
      </c>
      <c r="U37" s="32">
        <v>7200</v>
      </c>
      <c r="V37" s="32">
        <v>0</v>
      </c>
      <c r="W37" s="32">
        <v>216</v>
      </c>
      <c r="X37" s="32">
        <v>6984</v>
      </c>
      <c r="Y37" s="32">
        <v>6984</v>
      </c>
      <c r="Z37" s="32">
        <v>7200</v>
      </c>
      <c r="AA37" s="32">
        <v>0</v>
      </c>
      <c r="AB37" s="32">
        <v>7200</v>
      </c>
      <c r="AC37" s="32" t="s">
        <v>540</v>
      </c>
      <c r="AD37" s="32"/>
      <c r="AE37" s="32">
        <v>7200</v>
      </c>
    </row>
    <row r="38" spans="1:31" x14ac:dyDescent="0.25">
      <c r="A38">
        <v>2559</v>
      </c>
      <c r="B38" t="s">
        <v>500</v>
      </c>
      <c r="C38" t="s">
        <v>79</v>
      </c>
      <c r="D38" s="35">
        <v>1200</v>
      </c>
      <c r="E38">
        <v>1246203585</v>
      </c>
      <c r="F38" s="328">
        <v>45750</v>
      </c>
      <c r="H38" t="s">
        <v>28</v>
      </c>
      <c r="I38" t="s">
        <v>29</v>
      </c>
      <c r="J38">
        <v>1246203585</v>
      </c>
      <c r="K38" s="328">
        <v>45735</v>
      </c>
      <c r="L38">
        <v>3041000</v>
      </c>
      <c r="M38" t="s">
        <v>138</v>
      </c>
      <c r="N38">
        <v>362</v>
      </c>
      <c r="O38" s="32">
        <v>0</v>
      </c>
      <c r="P38" s="32">
        <v>1200</v>
      </c>
      <c r="Q38" s="32">
        <v>0</v>
      </c>
      <c r="R38" s="32">
        <v>0</v>
      </c>
      <c r="S38" s="32">
        <v>0</v>
      </c>
      <c r="T38" s="32">
        <v>0</v>
      </c>
      <c r="U38" s="32">
        <v>1200</v>
      </c>
      <c r="V38" s="32">
        <v>0</v>
      </c>
      <c r="W38" s="32">
        <v>36</v>
      </c>
      <c r="X38" s="32">
        <v>1164</v>
      </c>
      <c r="Y38" s="32">
        <v>1164</v>
      </c>
      <c r="Z38" s="32">
        <v>1200</v>
      </c>
      <c r="AA38" s="32">
        <v>0</v>
      </c>
      <c r="AB38" s="32">
        <v>1200</v>
      </c>
      <c r="AC38" s="32" t="s">
        <v>540</v>
      </c>
      <c r="AD38" s="32"/>
      <c r="AE38" s="32">
        <v>1200</v>
      </c>
    </row>
    <row r="39" spans="1:31" x14ac:dyDescent="0.25">
      <c r="A39">
        <v>2559</v>
      </c>
      <c r="B39" t="s">
        <v>500</v>
      </c>
      <c r="C39" t="s">
        <v>79</v>
      </c>
      <c r="D39" s="35">
        <v>6000</v>
      </c>
      <c r="E39">
        <v>1246244748</v>
      </c>
      <c r="F39" s="328">
        <v>45968</v>
      </c>
      <c r="H39" t="s">
        <v>28</v>
      </c>
      <c r="I39" t="s">
        <v>29</v>
      </c>
      <c r="J39">
        <v>1246244748</v>
      </c>
      <c r="K39" s="328">
        <v>45953</v>
      </c>
      <c r="L39">
        <v>3041000</v>
      </c>
      <c r="M39" t="s">
        <v>138</v>
      </c>
      <c r="N39">
        <v>144</v>
      </c>
      <c r="O39" s="32">
        <v>0</v>
      </c>
      <c r="P39" s="32">
        <v>180</v>
      </c>
      <c r="Q39" s="32">
        <v>0</v>
      </c>
      <c r="R39" s="32">
        <v>0</v>
      </c>
      <c r="S39" s="32">
        <v>6000</v>
      </c>
      <c r="T39" s="32">
        <v>0</v>
      </c>
      <c r="U39" s="32">
        <v>0</v>
      </c>
      <c r="V39" s="32">
        <v>0</v>
      </c>
      <c r="W39" s="32">
        <v>180</v>
      </c>
      <c r="X39" s="32">
        <v>0</v>
      </c>
      <c r="Y39" s="32">
        <v>0</v>
      </c>
      <c r="Z39" s="32">
        <v>0</v>
      </c>
      <c r="AA39" s="32">
        <v>0</v>
      </c>
      <c r="AB39" s="32">
        <v>180</v>
      </c>
      <c r="AC39" s="32" t="s">
        <v>540</v>
      </c>
      <c r="AD39" s="32"/>
      <c r="AE39" s="32">
        <v>0</v>
      </c>
    </row>
    <row r="40" spans="1:31" x14ac:dyDescent="0.25">
      <c r="A40">
        <v>7102</v>
      </c>
      <c r="B40" t="s">
        <v>500</v>
      </c>
      <c r="C40" t="s">
        <v>567</v>
      </c>
      <c r="D40" s="35">
        <v>4800</v>
      </c>
      <c r="E40">
        <v>1246247639</v>
      </c>
      <c r="F40" s="328">
        <v>45982</v>
      </c>
      <c r="H40" t="s">
        <v>28</v>
      </c>
      <c r="I40" t="s">
        <v>29</v>
      </c>
      <c r="J40">
        <v>1246247639</v>
      </c>
      <c r="K40" s="328">
        <v>45967</v>
      </c>
      <c r="L40">
        <v>3041000</v>
      </c>
      <c r="M40" t="s">
        <v>138</v>
      </c>
      <c r="N40">
        <v>130</v>
      </c>
      <c r="O40" s="32">
        <v>0</v>
      </c>
      <c r="P40" s="32">
        <v>144</v>
      </c>
      <c r="Q40" s="32">
        <v>0</v>
      </c>
      <c r="R40" s="32">
        <v>0</v>
      </c>
      <c r="S40" s="32">
        <v>4800</v>
      </c>
      <c r="T40" s="32">
        <v>0</v>
      </c>
      <c r="U40" s="32">
        <v>0</v>
      </c>
      <c r="V40" s="32">
        <v>0</v>
      </c>
      <c r="W40" s="32">
        <v>144</v>
      </c>
      <c r="X40" s="32">
        <v>0</v>
      </c>
      <c r="Y40" s="32">
        <v>0</v>
      </c>
      <c r="Z40" s="32">
        <v>0</v>
      </c>
      <c r="AA40" s="32">
        <v>0</v>
      </c>
      <c r="AB40" s="32">
        <v>144</v>
      </c>
      <c r="AC40" s="32" t="s">
        <v>540</v>
      </c>
      <c r="AD40" s="32"/>
      <c r="AE40" s="32">
        <v>0</v>
      </c>
    </row>
    <row r="41" spans="1:31" x14ac:dyDescent="0.25">
      <c r="A41">
        <v>6477</v>
      </c>
      <c r="B41" t="s">
        <v>500</v>
      </c>
      <c r="C41" t="s">
        <v>99</v>
      </c>
      <c r="D41" s="35">
        <v>5400</v>
      </c>
      <c r="E41">
        <v>1246054441</v>
      </c>
      <c r="F41" s="328">
        <v>44897</v>
      </c>
      <c r="H41" t="s">
        <v>28</v>
      </c>
      <c r="I41" t="s">
        <v>29</v>
      </c>
      <c r="J41">
        <v>1246054441</v>
      </c>
      <c r="K41" s="328">
        <v>44882</v>
      </c>
      <c r="L41">
        <v>3041000</v>
      </c>
      <c r="M41" t="s">
        <v>138</v>
      </c>
      <c r="N41">
        <v>1215</v>
      </c>
      <c r="O41" s="32">
        <v>0</v>
      </c>
      <c r="P41" s="32">
        <v>5400</v>
      </c>
      <c r="Q41" s="32">
        <v>0</v>
      </c>
      <c r="R41" s="32">
        <v>0</v>
      </c>
      <c r="S41" s="32">
        <v>0</v>
      </c>
      <c r="T41" s="32">
        <v>0</v>
      </c>
      <c r="U41" s="32">
        <v>5400</v>
      </c>
      <c r="V41" s="32">
        <v>0</v>
      </c>
      <c r="W41" s="32">
        <v>162</v>
      </c>
      <c r="X41" s="32">
        <v>5238</v>
      </c>
      <c r="Y41" s="32">
        <v>5238</v>
      </c>
      <c r="Z41" s="32">
        <v>5400</v>
      </c>
      <c r="AA41" s="32">
        <v>0</v>
      </c>
      <c r="AB41" s="32">
        <v>5400</v>
      </c>
      <c r="AC41" s="32" t="s">
        <v>540</v>
      </c>
      <c r="AD41" s="32"/>
      <c r="AE41" s="32">
        <v>5400</v>
      </c>
    </row>
    <row r="42" spans="1:31" x14ac:dyDescent="0.25">
      <c r="A42">
        <v>7097</v>
      </c>
      <c r="B42" t="s">
        <v>500</v>
      </c>
      <c r="C42" t="s">
        <v>103</v>
      </c>
      <c r="D42" s="35">
        <v>11300</v>
      </c>
      <c r="E42">
        <v>1246058687</v>
      </c>
      <c r="F42" s="328">
        <v>44925</v>
      </c>
      <c r="H42" t="s">
        <v>28</v>
      </c>
      <c r="I42" t="s">
        <v>29</v>
      </c>
      <c r="J42">
        <v>1246058687</v>
      </c>
      <c r="K42" s="328">
        <v>44910</v>
      </c>
      <c r="L42">
        <v>3041000</v>
      </c>
      <c r="M42" t="s">
        <v>138</v>
      </c>
      <c r="N42">
        <v>1187</v>
      </c>
      <c r="O42" s="32">
        <v>0</v>
      </c>
      <c r="P42" s="32">
        <v>11300</v>
      </c>
      <c r="Q42" s="32">
        <v>0</v>
      </c>
      <c r="R42" s="32">
        <v>0</v>
      </c>
      <c r="S42" s="32">
        <v>0</v>
      </c>
      <c r="T42" s="32">
        <v>0</v>
      </c>
      <c r="U42" s="32">
        <v>11300</v>
      </c>
      <c r="V42" s="32">
        <v>0</v>
      </c>
      <c r="W42" s="32">
        <v>339</v>
      </c>
      <c r="X42" s="32">
        <v>10961</v>
      </c>
      <c r="Y42" s="32">
        <v>10961</v>
      </c>
      <c r="Z42" s="32">
        <v>11300</v>
      </c>
      <c r="AA42" s="32">
        <v>0</v>
      </c>
      <c r="AB42" s="32">
        <v>11300</v>
      </c>
      <c r="AC42" s="32" t="s">
        <v>540</v>
      </c>
      <c r="AD42" s="32"/>
      <c r="AE42" s="32">
        <v>11300</v>
      </c>
    </row>
    <row r="43" spans="1:31" x14ac:dyDescent="0.25">
      <c r="A43">
        <v>7097</v>
      </c>
      <c r="B43" t="s">
        <v>500</v>
      </c>
      <c r="C43" t="s">
        <v>103</v>
      </c>
      <c r="D43" s="35">
        <v>10183.120000000001</v>
      </c>
      <c r="E43">
        <v>1246057240</v>
      </c>
      <c r="F43" s="328">
        <v>44922</v>
      </c>
      <c r="H43" t="s">
        <v>28</v>
      </c>
      <c r="I43" t="s">
        <v>29</v>
      </c>
      <c r="J43">
        <v>71222</v>
      </c>
      <c r="K43" s="328">
        <v>44902</v>
      </c>
      <c r="L43">
        <v>3041000</v>
      </c>
      <c r="M43" t="s">
        <v>138</v>
      </c>
      <c r="N43">
        <v>1190</v>
      </c>
      <c r="O43" s="32">
        <v>0</v>
      </c>
      <c r="P43" s="32">
        <v>10183.120000000001</v>
      </c>
      <c r="Q43" s="32">
        <v>0</v>
      </c>
      <c r="R43" s="32">
        <v>0</v>
      </c>
      <c r="S43" s="32">
        <v>0</v>
      </c>
      <c r="T43" s="32">
        <v>0</v>
      </c>
      <c r="U43" s="32">
        <v>10183.120000000001</v>
      </c>
      <c r="V43" s="32">
        <v>0</v>
      </c>
      <c r="W43" s="32">
        <v>305.49360000000001</v>
      </c>
      <c r="X43" s="32">
        <v>9877.626400000001</v>
      </c>
      <c r="Y43" s="32">
        <v>9877.626400000001</v>
      </c>
      <c r="Z43" s="32">
        <v>10183.120000000001</v>
      </c>
      <c r="AA43" s="32">
        <v>0</v>
      </c>
      <c r="AB43" s="32">
        <v>10183.120000000001</v>
      </c>
      <c r="AC43" s="32" t="s">
        <v>540</v>
      </c>
      <c r="AD43" s="32"/>
      <c r="AE43" s="32">
        <v>10183.120000000001</v>
      </c>
    </row>
    <row r="44" spans="1:31" x14ac:dyDescent="0.25">
      <c r="A44">
        <v>7443</v>
      </c>
      <c r="B44" t="s">
        <v>500</v>
      </c>
      <c r="C44" t="s">
        <v>253</v>
      </c>
      <c r="D44" s="35">
        <v>1200</v>
      </c>
      <c r="E44">
        <v>1246156403</v>
      </c>
      <c r="F44" s="328">
        <v>45496</v>
      </c>
      <c r="H44" t="s">
        <v>28</v>
      </c>
      <c r="I44" t="s">
        <v>29</v>
      </c>
      <c r="J44">
        <v>1246156403</v>
      </c>
      <c r="K44" s="328">
        <v>45481</v>
      </c>
      <c r="L44">
        <v>3041000</v>
      </c>
      <c r="M44" t="s">
        <v>138</v>
      </c>
      <c r="N44">
        <v>616</v>
      </c>
      <c r="O44" s="32">
        <v>0</v>
      </c>
      <c r="P44" s="32">
        <v>1200</v>
      </c>
      <c r="Q44" s="32">
        <v>0</v>
      </c>
      <c r="R44" s="32">
        <v>0</v>
      </c>
      <c r="S44" s="32">
        <v>0</v>
      </c>
      <c r="T44" s="32">
        <v>0</v>
      </c>
      <c r="U44" s="32">
        <v>1200</v>
      </c>
      <c r="V44" s="32">
        <v>0</v>
      </c>
      <c r="W44" s="32">
        <v>36</v>
      </c>
      <c r="X44" s="32">
        <v>1164</v>
      </c>
      <c r="Y44" s="32">
        <v>1164</v>
      </c>
      <c r="Z44" s="32">
        <v>1200</v>
      </c>
      <c r="AA44" s="32">
        <v>0</v>
      </c>
      <c r="AB44" s="32">
        <v>1200</v>
      </c>
      <c r="AC44" s="32" t="s">
        <v>540</v>
      </c>
      <c r="AD44" s="32"/>
      <c r="AE44" s="32">
        <v>1200</v>
      </c>
    </row>
    <row r="45" spans="1:31" x14ac:dyDescent="0.25">
      <c r="A45">
        <v>7443</v>
      </c>
      <c r="B45" t="s">
        <v>500</v>
      </c>
      <c r="C45" t="s">
        <v>253</v>
      </c>
      <c r="D45" s="35">
        <v>1200</v>
      </c>
      <c r="E45">
        <v>1246156396</v>
      </c>
      <c r="F45" s="328">
        <v>45496</v>
      </c>
      <c r="H45" t="s">
        <v>28</v>
      </c>
      <c r="I45" t="s">
        <v>29</v>
      </c>
      <c r="J45">
        <v>1246156396</v>
      </c>
      <c r="K45" s="328">
        <v>45481</v>
      </c>
      <c r="L45">
        <v>3041000</v>
      </c>
      <c r="M45" t="s">
        <v>138</v>
      </c>
      <c r="N45">
        <v>616</v>
      </c>
      <c r="O45" s="32">
        <v>0</v>
      </c>
      <c r="P45" s="32">
        <v>1200</v>
      </c>
      <c r="Q45" s="32">
        <v>0</v>
      </c>
      <c r="R45" s="32">
        <v>0</v>
      </c>
      <c r="S45" s="32">
        <v>0</v>
      </c>
      <c r="T45" s="32">
        <v>0</v>
      </c>
      <c r="U45" s="32">
        <v>1200</v>
      </c>
      <c r="V45" s="32">
        <v>0</v>
      </c>
      <c r="W45" s="32">
        <v>36</v>
      </c>
      <c r="X45" s="32">
        <v>1164</v>
      </c>
      <c r="Y45" s="32">
        <v>1164</v>
      </c>
      <c r="Z45" s="32">
        <v>1200</v>
      </c>
      <c r="AA45" s="32">
        <v>0</v>
      </c>
      <c r="AB45" s="32">
        <v>1200</v>
      </c>
      <c r="AC45" s="32" t="s">
        <v>540</v>
      </c>
      <c r="AD45" s="32"/>
      <c r="AE45" s="32">
        <v>1200</v>
      </c>
    </row>
    <row r="46" spans="1:31" x14ac:dyDescent="0.25">
      <c r="A46">
        <v>7302</v>
      </c>
      <c r="B46" t="s">
        <v>500</v>
      </c>
      <c r="C46" t="s">
        <v>105</v>
      </c>
      <c r="D46" s="35">
        <v>1800</v>
      </c>
      <c r="E46">
        <v>1246045752</v>
      </c>
      <c r="F46" s="328">
        <v>44848</v>
      </c>
      <c r="H46" t="s">
        <v>28</v>
      </c>
      <c r="I46" t="s">
        <v>29</v>
      </c>
      <c r="J46">
        <v>290922</v>
      </c>
      <c r="K46" s="328">
        <v>44833</v>
      </c>
      <c r="L46">
        <v>3041000</v>
      </c>
      <c r="M46" t="s">
        <v>138</v>
      </c>
      <c r="N46">
        <v>1264</v>
      </c>
      <c r="O46" s="32">
        <v>0</v>
      </c>
      <c r="P46" s="32">
        <v>1800</v>
      </c>
      <c r="Q46" s="32">
        <v>0</v>
      </c>
      <c r="R46" s="32">
        <v>0</v>
      </c>
      <c r="S46" s="32">
        <v>0</v>
      </c>
      <c r="T46" s="32">
        <v>0</v>
      </c>
      <c r="U46" s="32">
        <v>1800</v>
      </c>
      <c r="V46" s="32">
        <v>0</v>
      </c>
      <c r="W46" s="32">
        <v>54</v>
      </c>
      <c r="X46" s="32">
        <v>1746</v>
      </c>
      <c r="Y46" s="32">
        <v>1746</v>
      </c>
      <c r="Z46" s="32">
        <v>1800</v>
      </c>
      <c r="AA46" s="32">
        <v>0</v>
      </c>
      <c r="AB46" s="32">
        <v>1800</v>
      </c>
      <c r="AC46" s="32" t="s">
        <v>540</v>
      </c>
      <c r="AD46" s="32"/>
      <c r="AE46" s="32">
        <v>1800</v>
      </c>
    </row>
    <row r="47" spans="1:31" x14ac:dyDescent="0.25">
      <c r="A47">
        <v>7302</v>
      </c>
      <c r="B47" t="s">
        <v>500</v>
      </c>
      <c r="C47" t="s">
        <v>105</v>
      </c>
      <c r="D47" s="35">
        <v>7200</v>
      </c>
      <c r="E47">
        <v>1246033417</v>
      </c>
      <c r="F47" s="328">
        <v>44792</v>
      </c>
      <c r="H47" t="s">
        <v>28</v>
      </c>
      <c r="I47" t="s">
        <v>29</v>
      </c>
      <c r="J47">
        <v>1246033417</v>
      </c>
      <c r="K47" s="328">
        <v>44777</v>
      </c>
      <c r="L47">
        <v>3041000</v>
      </c>
      <c r="M47" t="s">
        <v>138</v>
      </c>
      <c r="N47">
        <v>1320</v>
      </c>
      <c r="O47" s="32">
        <v>0</v>
      </c>
      <c r="P47" s="32">
        <v>7200</v>
      </c>
      <c r="Q47" s="32">
        <v>0</v>
      </c>
      <c r="R47" s="32">
        <v>0</v>
      </c>
      <c r="S47" s="32">
        <v>0</v>
      </c>
      <c r="T47" s="32">
        <v>0</v>
      </c>
      <c r="U47" s="32">
        <v>7200</v>
      </c>
      <c r="V47" s="32">
        <v>0</v>
      </c>
      <c r="W47" s="32">
        <v>216</v>
      </c>
      <c r="X47" s="32">
        <v>6984</v>
      </c>
      <c r="Y47" s="32">
        <v>6984</v>
      </c>
      <c r="Z47" s="32">
        <v>7200</v>
      </c>
      <c r="AA47" s="32">
        <v>0</v>
      </c>
      <c r="AB47" s="32">
        <v>7200</v>
      </c>
      <c r="AC47" s="32" t="s">
        <v>540</v>
      </c>
      <c r="AD47" s="32"/>
      <c r="AE47" s="32">
        <v>7200</v>
      </c>
    </row>
    <row r="48" spans="1:31" x14ac:dyDescent="0.25">
      <c r="A48">
        <v>7302</v>
      </c>
      <c r="B48" t="s">
        <v>500</v>
      </c>
      <c r="C48" t="s">
        <v>105</v>
      </c>
      <c r="D48" s="35">
        <v>9000</v>
      </c>
      <c r="E48">
        <v>1246054438</v>
      </c>
      <c r="F48" s="328">
        <v>44897</v>
      </c>
      <c r="H48" t="s">
        <v>28</v>
      </c>
      <c r="I48" t="s">
        <v>29</v>
      </c>
      <c r="J48">
        <v>1246054438</v>
      </c>
      <c r="K48" s="328">
        <v>44882</v>
      </c>
      <c r="L48">
        <v>3041000</v>
      </c>
      <c r="M48" t="s">
        <v>138</v>
      </c>
      <c r="N48">
        <v>1215</v>
      </c>
      <c r="O48" s="32">
        <v>0</v>
      </c>
      <c r="P48" s="32">
        <v>9000</v>
      </c>
      <c r="Q48" s="32">
        <v>0</v>
      </c>
      <c r="R48" s="32">
        <v>0</v>
      </c>
      <c r="S48" s="32">
        <v>0</v>
      </c>
      <c r="T48" s="32">
        <v>0</v>
      </c>
      <c r="U48" s="32">
        <v>9000</v>
      </c>
      <c r="V48" s="32">
        <v>0</v>
      </c>
      <c r="W48" s="32">
        <v>270</v>
      </c>
      <c r="X48" s="32">
        <v>8730</v>
      </c>
      <c r="Y48" s="32">
        <v>8730</v>
      </c>
      <c r="Z48" s="32">
        <v>9000</v>
      </c>
      <c r="AA48" s="32">
        <v>0</v>
      </c>
      <c r="AB48" s="32">
        <v>9000</v>
      </c>
      <c r="AC48" s="32" t="s">
        <v>540</v>
      </c>
      <c r="AD48" s="32"/>
      <c r="AE48" s="32">
        <v>9000</v>
      </c>
    </row>
    <row r="49" spans="1:31" x14ac:dyDescent="0.25">
      <c r="A49">
        <v>7302</v>
      </c>
      <c r="B49" t="s">
        <v>500</v>
      </c>
      <c r="C49" t="s">
        <v>105</v>
      </c>
      <c r="D49" s="35">
        <v>7200</v>
      </c>
      <c r="E49">
        <v>1246057914</v>
      </c>
      <c r="F49" s="328">
        <v>44922</v>
      </c>
      <c r="H49" t="s">
        <v>28</v>
      </c>
      <c r="I49" t="s">
        <v>29</v>
      </c>
      <c r="J49">
        <v>1246057914</v>
      </c>
      <c r="K49" s="328">
        <v>44907</v>
      </c>
      <c r="L49">
        <v>3041000</v>
      </c>
      <c r="M49" t="s">
        <v>138</v>
      </c>
      <c r="N49">
        <v>1190</v>
      </c>
      <c r="O49" s="32">
        <v>0</v>
      </c>
      <c r="P49" s="32">
        <v>7200</v>
      </c>
      <c r="Q49" s="32">
        <v>0</v>
      </c>
      <c r="R49" s="32">
        <v>0</v>
      </c>
      <c r="S49" s="32">
        <v>0</v>
      </c>
      <c r="T49" s="32">
        <v>0</v>
      </c>
      <c r="U49" s="32">
        <v>7200</v>
      </c>
      <c r="V49" s="32">
        <v>0</v>
      </c>
      <c r="W49" s="32">
        <v>216</v>
      </c>
      <c r="X49" s="32">
        <v>6984</v>
      </c>
      <c r="Y49" s="32">
        <v>6984</v>
      </c>
      <c r="Z49" s="32">
        <v>7200</v>
      </c>
      <c r="AA49" s="32">
        <v>0</v>
      </c>
      <c r="AB49" s="32">
        <v>7200</v>
      </c>
      <c r="AC49" s="32" t="s">
        <v>540</v>
      </c>
      <c r="AD49" s="32"/>
      <c r="AE49" s="32">
        <v>7200</v>
      </c>
    </row>
    <row r="50" spans="1:31" x14ac:dyDescent="0.25">
      <c r="A50">
        <v>6415</v>
      </c>
      <c r="B50" t="s">
        <v>500</v>
      </c>
      <c r="C50" t="s">
        <v>140</v>
      </c>
      <c r="D50" s="35">
        <v>3600</v>
      </c>
      <c r="E50">
        <v>1245985693</v>
      </c>
      <c r="F50" s="328">
        <v>44692</v>
      </c>
      <c r="H50" t="s">
        <v>28</v>
      </c>
      <c r="I50" t="s">
        <v>29</v>
      </c>
      <c r="J50">
        <v>1245985693</v>
      </c>
      <c r="K50" s="328">
        <v>44531</v>
      </c>
      <c r="L50">
        <v>3041000</v>
      </c>
      <c r="M50" t="s">
        <v>138</v>
      </c>
      <c r="N50">
        <v>1420</v>
      </c>
      <c r="O50" s="32">
        <v>0</v>
      </c>
      <c r="P50" s="32">
        <v>3600</v>
      </c>
      <c r="Q50" s="32">
        <v>0</v>
      </c>
      <c r="R50" s="32">
        <v>0</v>
      </c>
      <c r="S50" s="32">
        <v>0</v>
      </c>
      <c r="T50" s="32">
        <v>0</v>
      </c>
      <c r="U50" s="32">
        <v>3600</v>
      </c>
      <c r="V50" s="32">
        <v>0</v>
      </c>
      <c r="W50" s="32">
        <v>108</v>
      </c>
      <c r="X50" s="32">
        <v>3492</v>
      </c>
      <c r="Y50" s="32">
        <v>3492</v>
      </c>
      <c r="Z50" s="32">
        <v>3600</v>
      </c>
      <c r="AA50" s="32">
        <v>0</v>
      </c>
      <c r="AB50" s="32">
        <v>3600</v>
      </c>
      <c r="AC50" s="32" t="s">
        <v>540</v>
      </c>
      <c r="AD50" s="32"/>
      <c r="AE50" s="32">
        <v>3600</v>
      </c>
    </row>
    <row r="51" spans="1:31" x14ac:dyDescent="0.25">
      <c r="A51">
        <v>10434</v>
      </c>
      <c r="B51" t="s">
        <v>416</v>
      </c>
      <c r="C51" t="s">
        <v>111</v>
      </c>
      <c r="D51" s="35">
        <v>1200</v>
      </c>
      <c r="E51">
        <v>1246180341</v>
      </c>
      <c r="F51" s="328">
        <v>45615</v>
      </c>
      <c r="H51" t="s">
        <v>28</v>
      </c>
      <c r="I51" t="s">
        <v>29</v>
      </c>
      <c r="J51">
        <v>1246180341</v>
      </c>
      <c r="K51" s="328">
        <v>45600</v>
      </c>
      <c r="L51">
        <v>3041000</v>
      </c>
      <c r="M51" t="s">
        <v>138</v>
      </c>
      <c r="N51">
        <v>497</v>
      </c>
      <c r="O51" s="32">
        <v>0</v>
      </c>
      <c r="P51" s="32">
        <v>1200</v>
      </c>
      <c r="Q51" s="32">
        <v>0</v>
      </c>
      <c r="R51" s="32">
        <v>0</v>
      </c>
      <c r="S51" s="32">
        <v>0</v>
      </c>
      <c r="T51" s="32">
        <v>0</v>
      </c>
      <c r="U51" s="32">
        <v>1200</v>
      </c>
      <c r="V51" s="32">
        <v>0</v>
      </c>
      <c r="W51" s="32">
        <v>36</v>
      </c>
      <c r="X51" s="32">
        <v>1164</v>
      </c>
      <c r="Y51" s="32">
        <v>1164</v>
      </c>
      <c r="Z51" s="32">
        <v>1200</v>
      </c>
      <c r="AA51" s="32">
        <v>0</v>
      </c>
      <c r="AB51" s="32">
        <v>1200</v>
      </c>
      <c r="AC51" s="32" t="s">
        <v>540</v>
      </c>
      <c r="AD51" s="32"/>
      <c r="AE51" s="32">
        <v>1200</v>
      </c>
    </row>
    <row r="52" spans="1:31" x14ac:dyDescent="0.25">
      <c r="A52">
        <v>1257</v>
      </c>
      <c r="B52" t="s">
        <v>500</v>
      </c>
      <c r="C52" t="s">
        <v>63</v>
      </c>
      <c r="D52" s="35">
        <v>1980.8</v>
      </c>
      <c r="E52">
        <v>1246032946</v>
      </c>
      <c r="F52" s="328">
        <v>44774</v>
      </c>
      <c r="H52" t="s">
        <v>28</v>
      </c>
      <c r="I52" t="s">
        <v>29</v>
      </c>
      <c r="J52">
        <v>17935</v>
      </c>
      <c r="K52" s="328">
        <v>44714</v>
      </c>
      <c r="L52">
        <v>1010100</v>
      </c>
      <c r="M52" t="s">
        <v>35</v>
      </c>
      <c r="N52">
        <v>1338</v>
      </c>
      <c r="O52" s="32">
        <v>0</v>
      </c>
      <c r="P52" s="32">
        <v>1980.8</v>
      </c>
      <c r="Q52" s="32">
        <v>0</v>
      </c>
      <c r="R52" s="32">
        <v>0</v>
      </c>
      <c r="S52" s="32">
        <v>0</v>
      </c>
      <c r="T52" s="32">
        <v>0</v>
      </c>
      <c r="U52" s="32">
        <v>1980.8</v>
      </c>
      <c r="V52" s="32">
        <v>0</v>
      </c>
      <c r="W52" s="32">
        <v>59.423999999999999</v>
      </c>
      <c r="X52" s="32">
        <v>1921.376</v>
      </c>
      <c r="Y52" s="32">
        <v>1921.376</v>
      </c>
      <c r="Z52" s="32">
        <v>1980.8</v>
      </c>
      <c r="AA52" s="32">
        <v>0</v>
      </c>
      <c r="AB52" s="32">
        <v>1980.8</v>
      </c>
      <c r="AC52" s="32" t="s">
        <v>540</v>
      </c>
      <c r="AD52" s="32"/>
      <c r="AE52" s="32">
        <v>1980.8</v>
      </c>
    </row>
    <row r="53" spans="1:31" x14ac:dyDescent="0.25">
      <c r="A53">
        <v>1936</v>
      </c>
      <c r="B53" t="s">
        <v>416</v>
      </c>
      <c r="C53" t="s">
        <v>75</v>
      </c>
      <c r="D53" s="35">
        <v>39900</v>
      </c>
      <c r="E53">
        <v>1246267723</v>
      </c>
      <c r="F53" s="328">
        <v>46122</v>
      </c>
      <c r="H53" t="s">
        <v>28</v>
      </c>
      <c r="I53" t="s">
        <v>29</v>
      </c>
      <c r="J53">
        <v>10879</v>
      </c>
      <c r="K53" s="328">
        <v>46094</v>
      </c>
      <c r="L53">
        <v>1010100</v>
      </c>
      <c r="M53" t="s">
        <v>35</v>
      </c>
      <c r="N53">
        <v>-10</v>
      </c>
      <c r="O53" s="32">
        <v>0</v>
      </c>
      <c r="P53" s="32">
        <v>0</v>
      </c>
      <c r="Q53" s="32">
        <v>39900</v>
      </c>
      <c r="R53" s="32">
        <v>0</v>
      </c>
      <c r="S53" s="32">
        <v>0</v>
      </c>
      <c r="T53" s="32">
        <v>0</v>
      </c>
      <c r="U53" s="32">
        <v>0</v>
      </c>
      <c r="V53" s="32">
        <v>0</v>
      </c>
      <c r="W53" s="32">
        <v>0</v>
      </c>
      <c r="X53" s="32">
        <v>0</v>
      </c>
      <c r="Y53" s="32">
        <v>0</v>
      </c>
      <c r="Z53" s="32">
        <v>0</v>
      </c>
      <c r="AA53" s="32">
        <v>0</v>
      </c>
      <c r="AB53" s="32">
        <v>0</v>
      </c>
      <c r="AC53" s="32" t="s">
        <v>540</v>
      </c>
      <c r="AD53" s="32"/>
      <c r="AE53" s="32">
        <v>0</v>
      </c>
    </row>
    <row r="54" spans="1:31" x14ac:dyDescent="0.25">
      <c r="A54">
        <v>1936</v>
      </c>
      <c r="B54" t="s">
        <v>416</v>
      </c>
      <c r="C54" t="s">
        <v>75</v>
      </c>
      <c r="D54" s="35">
        <v>299800</v>
      </c>
      <c r="E54">
        <v>1246269445</v>
      </c>
      <c r="F54" s="328">
        <v>46136</v>
      </c>
      <c r="H54" t="s">
        <v>28</v>
      </c>
      <c r="I54" t="s">
        <v>29</v>
      </c>
      <c r="J54">
        <v>2849</v>
      </c>
      <c r="K54" s="328">
        <v>46108</v>
      </c>
      <c r="L54">
        <v>1010100</v>
      </c>
      <c r="M54" t="s">
        <v>35</v>
      </c>
      <c r="N54">
        <v>-24</v>
      </c>
      <c r="O54" s="32">
        <v>0</v>
      </c>
      <c r="P54" s="32">
        <v>0</v>
      </c>
      <c r="Q54" s="32">
        <v>299800</v>
      </c>
      <c r="R54" s="32">
        <v>0</v>
      </c>
      <c r="S54" s="32">
        <v>0</v>
      </c>
      <c r="T54" s="32">
        <v>0</v>
      </c>
      <c r="U54" s="32">
        <v>0</v>
      </c>
      <c r="V54" s="32">
        <v>0</v>
      </c>
      <c r="W54" s="32">
        <v>0</v>
      </c>
      <c r="X54" s="32">
        <v>0</v>
      </c>
      <c r="Y54" s="32">
        <v>0</v>
      </c>
      <c r="Z54" s="32">
        <v>0</v>
      </c>
      <c r="AA54" s="32">
        <v>0</v>
      </c>
      <c r="AB54" s="32">
        <v>0</v>
      </c>
      <c r="AC54" s="32" t="s">
        <v>540</v>
      </c>
      <c r="AD54" s="32"/>
      <c r="AE54" s="32">
        <v>0</v>
      </c>
    </row>
    <row r="55" spans="1:31" x14ac:dyDescent="0.25">
      <c r="A55">
        <v>2603</v>
      </c>
      <c r="B55" t="s">
        <v>500</v>
      </c>
      <c r="C55" t="s">
        <v>82</v>
      </c>
      <c r="D55" s="35">
        <v>4522.16</v>
      </c>
      <c r="E55">
        <v>1246097965</v>
      </c>
      <c r="F55" s="328">
        <v>45152</v>
      </c>
      <c r="H55" t="s">
        <v>28</v>
      </c>
      <c r="I55" t="s">
        <v>29</v>
      </c>
      <c r="J55">
        <v>21713</v>
      </c>
      <c r="K55" s="328">
        <v>45092</v>
      </c>
      <c r="L55">
        <v>1010100</v>
      </c>
      <c r="M55" t="s">
        <v>35</v>
      </c>
      <c r="N55">
        <v>960</v>
      </c>
      <c r="O55" s="32">
        <v>0</v>
      </c>
      <c r="P55" s="32">
        <v>4522.1599999999989</v>
      </c>
      <c r="Q55" s="32">
        <v>0</v>
      </c>
      <c r="R55" s="32">
        <v>0</v>
      </c>
      <c r="S55" s="32">
        <v>0</v>
      </c>
      <c r="T55" s="32">
        <v>0</v>
      </c>
      <c r="U55" s="32">
        <v>4522.16</v>
      </c>
      <c r="V55" s="32">
        <v>0</v>
      </c>
      <c r="W55" s="32">
        <v>135.66479999999999</v>
      </c>
      <c r="X55" s="32">
        <v>4386.4951999999994</v>
      </c>
      <c r="Y55" s="32">
        <v>4386.4951999999994</v>
      </c>
      <c r="Z55" s="32">
        <v>4522.16</v>
      </c>
      <c r="AA55" s="32">
        <v>0</v>
      </c>
      <c r="AB55" s="32">
        <v>4522.1599999999989</v>
      </c>
      <c r="AC55" s="32" t="s">
        <v>540</v>
      </c>
      <c r="AD55" s="32"/>
      <c r="AE55" s="32">
        <v>4522.1599999999989</v>
      </c>
    </row>
    <row r="56" spans="1:31" x14ac:dyDescent="0.25">
      <c r="A56">
        <v>6124</v>
      </c>
      <c r="B56" t="s">
        <v>500</v>
      </c>
      <c r="C56" t="s">
        <v>96</v>
      </c>
      <c r="D56" s="35">
        <v>419434</v>
      </c>
      <c r="E56">
        <v>1246264936</v>
      </c>
      <c r="F56" s="328">
        <v>46167</v>
      </c>
      <c r="H56" t="s">
        <v>28</v>
      </c>
      <c r="I56" t="s">
        <v>29</v>
      </c>
      <c r="J56">
        <v>2772</v>
      </c>
      <c r="K56" s="328">
        <v>46077</v>
      </c>
      <c r="L56">
        <v>1010100</v>
      </c>
      <c r="M56" t="s">
        <v>35</v>
      </c>
      <c r="N56">
        <v>-55</v>
      </c>
      <c r="O56" s="32">
        <v>0</v>
      </c>
      <c r="P56" s="32">
        <v>0</v>
      </c>
      <c r="Q56" s="32">
        <v>419434</v>
      </c>
      <c r="R56" s="32">
        <v>0</v>
      </c>
      <c r="S56" s="32">
        <v>0</v>
      </c>
      <c r="T56" s="32">
        <v>0</v>
      </c>
      <c r="U56" s="32">
        <v>0</v>
      </c>
      <c r="V56" s="32">
        <v>0</v>
      </c>
      <c r="W56" s="32">
        <v>0</v>
      </c>
      <c r="X56" s="32">
        <v>0</v>
      </c>
      <c r="Y56" s="32">
        <v>0</v>
      </c>
      <c r="Z56" s="32">
        <v>0</v>
      </c>
      <c r="AA56" s="32">
        <v>0</v>
      </c>
      <c r="AB56" s="32">
        <v>0</v>
      </c>
      <c r="AC56" s="32" t="s">
        <v>540</v>
      </c>
      <c r="AD56" s="32"/>
      <c r="AE56" s="32">
        <v>0</v>
      </c>
    </row>
    <row r="57" spans="1:31" x14ac:dyDescent="0.25">
      <c r="A57">
        <v>7745</v>
      </c>
      <c r="B57" t="s">
        <v>425</v>
      </c>
      <c r="C57" t="s">
        <v>875</v>
      </c>
      <c r="D57" s="35">
        <v>141108</v>
      </c>
      <c r="E57">
        <v>1246266794</v>
      </c>
      <c r="F57" s="328">
        <v>46121</v>
      </c>
      <c r="H57" t="s">
        <v>28</v>
      </c>
      <c r="I57" t="s">
        <v>29</v>
      </c>
      <c r="J57">
        <v>2797</v>
      </c>
      <c r="K57" s="328">
        <v>46086</v>
      </c>
      <c r="L57">
        <v>1010100</v>
      </c>
      <c r="M57" t="s">
        <v>35</v>
      </c>
      <c r="N57">
        <v>-9</v>
      </c>
      <c r="O57" s="32">
        <v>0</v>
      </c>
      <c r="P57" s="32">
        <v>0</v>
      </c>
      <c r="Q57" s="32">
        <v>141108</v>
      </c>
      <c r="R57" s="32">
        <v>0</v>
      </c>
      <c r="S57" s="32">
        <v>0</v>
      </c>
      <c r="T57" s="32">
        <v>0</v>
      </c>
      <c r="U57" s="32">
        <v>0</v>
      </c>
      <c r="V57" s="32">
        <v>0</v>
      </c>
      <c r="W57" s="32">
        <v>0</v>
      </c>
      <c r="X57" s="32">
        <v>0</v>
      </c>
      <c r="Y57" s="32">
        <v>0</v>
      </c>
      <c r="Z57" s="32">
        <v>0</v>
      </c>
      <c r="AA57" s="32">
        <v>0</v>
      </c>
      <c r="AB57" s="32">
        <v>0</v>
      </c>
      <c r="AC57" s="32" t="s">
        <v>475</v>
      </c>
      <c r="AD57" s="32"/>
      <c r="AE57" s="32">
        <v>0</v>
      </c>
    </row>
    <row r="58" spans="1:31" x14ac:dyDescent="0.25">
      <c r="A58">
        <v>7745</v>
      </c>
      <c r="B58" t="s">
        <v>425</v>
      </c>
      <c r="C58" t="s">
        <v>875</v>
      </c>
      <c r="D58" s="35">
        <v>26356</v>
      </c>
      <c r="E58">
        <v>1246266587</v>
      </c>
      <c r="F58" s="328">
        <v>46121</v>
      </c>
      <c r="H58" t="s">
        <v>28</v>
      </c>
      <c r="I58" t="s">
        <v>29</v>
      </c>
      <c r="J58">
        <v>10823</v>
      </c>
      <c r="K58" s="328">
        <v>46086</v>
      </c>
      <c r="L58">
        <v>1010100</v>
      </c>
      <c r="M58" t="s">
        <v>35</v>
      </c>
      <c r="N58">
        <v>-9</v>
      </c>
      <c r="O58" s="32">
        <v>0</v>
      </c>
      <c r="P58" s="32">
        <v>0</v>
      </c>
      <c r="Q58" s="32">
        <v>26356</v>
      </c>
      <c r="R58" s="32">
        <v>0</v>
      </c>
      <c r="S58" s="32">
        <v>0</v>
      </c>
      <c r="T58" s="32">
        <v>0</v>
      </c>
      <c r="U58" s="32">
        <v>0</v>
      </c>
      <c r="V58" s="32">
        <v>0</v>
      </c>
      <c r="W58" s="32">
        <v>0</v>
      </c>
      <c r="X58" s="32">
        <v>0</v>
      </c>
      <c r="Y58" s="32">
        <v>0</v>
      </c>
      <c r="Z58" s="32">
        <v>0</v>
      </c>
      <c r="AA58" s="32">
        <v>0</v>
      </c>
      <c r="AB58" s="32">
        <v>0</v>
      </c>
      <c r="AC58" s="32" t="s">
        <v>475</v>
      </c>
      <c r="AD58" s="32"/>
      <c r="AE58" s="32">
        <v>0</v>
      </c>
    </row>
    <row r="59" spans="1:31" x14ac:dyDescent="0.25">
      <c r="A59">
        <v>7479</v>
      </c>
      <c r="B59" t="s">
        <v>500</v>
      </c>
      <c r="C59" t="s">
        <v>851</v>
      </c>
      <c r="D59" s="35">
        <v>64104.800000000003</v>
      </c>
      <c r="E59">
        <v>1246264518</v>
      </c>
      <c r="F59" s="328">
        <v>46166</v>
      </c>
      <c r="H59" t="s">
        <v>28</v>
      </c>
      <c r="I59" t="s">
        <v>29</v>
      </c>
      <c r="J59">
        <v>10739</v>
      </c>
      <c r="K59" s="328">
        <v>46076</v>
      </c>
      <c r="L59">
        <v>1010100</v>
      </c>
      <c r="M59" t="s">
        <v>35</v>
      </c>
      <c r="N59">
        <v>-54</v>
      </c>
      <c r="O59" s="32">
        <v>0</v>
      </c>
      <c r="P59" s="32">
        <v>0</v>
      </c>
      <c r="Q59" s="32">
        <v>64104.800000000003</v>
      </c>
      <c r="R59" s="32">
        <v>0</v>
      </c>
      <c r="S59" s="32">
        <v>0</v>
      </c>
      <c r="T59" s="32">
        <v>0</v>
      </c>
      <c r="U59" s="32">
        <v>0</v>
      </c>
      <c r="V59" s="32">
        <v>0</v>
      </c>
      <c r="W59" s="32">
        <v>0</v>
      </c>
      <c r="X59" s="32">
        <v>0</v>
      </c>
      <c r="Y59" s="32">
        <v>0</v>
      </c>
      <c r="Z59" s="32">
        <v>0</v>
      </c>
      <c r="AA59" s="32">
        <v>0</v>
      </c>
      <c r="AB59" s="32">
        <v>0</v>
      </c>
      <c r="AC59" s="32" t="s">
        <v>540</v>
      </c>
      <c r="AD59" s="32"/>
      <c r="AE59" s="32">
        <v>0</v>
      </c>
    </row>
    <row r="60" spans="1:31" x14ac:dyDescent="0.25">
      <c r="A60">
        <v>7302</v>
      </c>
      <c r="B60" t="s">
        <v>500</v>
      </c>
      <c r="C60" t="s">
        <v>105</v>
      </c>
      <c r="D60" s="35">
        <v>54135</v>
      </c>
      <c r="E60">
        <v>1246259200</v>
      </c>
      <c r="F60" s="328">
        <v>46124</v>
      </c>
      <c r="H60" t="s">
        <v>28</v>
      </c>
      <c r="I60" t="s">
        <v>29</v>
      </c>
      <c r="J60">
        <v>10465</v>
      </c>
      <c r="K60" s="328">
        <v>46034</v>
      </c>
      <c r="L60">
        <v>1010100</v>
      </c>
      <c r="M60" t="s">
        <v>35</v>
      </c>
      <c r="N60">
        <v>-12</v>
      </c>
      <c r="O60" s="32">
        <v>0</v>
      </c>
      <c r="P60" s="32">
        <v>0</v>
      </c>
      <c r="Q60" s="32">
        <v>54135</v>
      </c>
      <c r="R60" s="32">
        <v>0</v>
      </c>
      <c r="S60" s="32">
        <v>0</v>
      </c>
      <c r="T60" s="32">
        <v>0</v>
      </c>
      <c r="U60" s="32">
        <v>0</v>
      </c>
      <c r="V60" s="32">
        <v>0</v>
      </c>
      <c r="W60" s="32">
        <v>0</v>
      </c>
      <c r="X60" s="32">
        <v>0</v>
      </c>
      <c r="Y60" s="32">
        <v>0</v>
      </c>
      <c r="Z60" s="32">
        <v>0</v>
      </c>
      <c r="AA60" s="32">
        <v>0</v>
      </c>
      <c r="AB60" s="32">
        <v>0</v>
      </c>
      <c r="AC60" s="32" t="s">
        <v>540</v>
      </c>
      <c r="AD60" s="32"/>
      <c r="AE60" s="32">
        <v>0</v>
      </c>
    </row>
    <row r="61" spans="1:31" x14ac:dyDescent="0.25">
      <c r="A61">
        <v>7302</v>
      </c>
      <c r="B61" t="s">
        <v>500</v>
      </c>
      <c r="C61" t="s">
        <v>105</v>
      </c>
      <c r="D61" s="35">
        <v>129924</v>
      </c>
      <c r="E61">
        <v>1246259804</v>
      </c>
      <c r="F61" s="328">
        <v>46128</v>
      </c>
      <c r="H61" t="s">
        <v>28</v>
      </c>
      <c r="I61" t="s">
        <v>29</v>
      </c>
      <c r="J61">
        <v>10510</v>
      </c>
      <c r="K61" s="328">
        <v>46038</v>
      </c>
      <c r="L61">
        <v>1010100</v>
      </c>
      <c r="M61" t="s">
        <v>35</v>
      </c>
      <c r="N61">
        <v>-16</v>
      </c>
      <c r="O61" s="32">
        <v>0</v>
      </c>
      <c r="P61" s="32">
        <v>0</v>
      </c>
      <c r="Q61" s="32">
        <v>129924</v>
      </c>
      <c r="R61" s="32">
        <v>0</v>
      </c>
      <c r="S61" s="32">
        <v>0</v>
      </c>
      <c r="T61" s="32">
        <v>0</v>
      </c>
      <c r="U61" s="32">
        <v>0</v>
      </c>
      <c r="V61" s="32">
        <v>0</v>
      </c>
      <c r="W61" s="32">
        <v>0</v>
      </c>
      <c r="X61" s="32">
        <v>0</v>
      </c>
      <c r="Y61" s="32">
        <v>0</v>
      </c>
      <c r="Z61" s="32">
        <v>0</v>
      </c>
      <c r="AA61" s="32">
        <v>0</v>
      </c>
      <c r="AB61" s="32">
        <v>0</v>
      </c>
      <c r="AC61" s="32" t="s">
        <v>540</v>
      </c>
      <c r="AD61" s="32"/>
      <c r="AE61" s="32">
        <v>0</v>
      </c>
    </row>
    <row r="62" spans="1:31" x14ac:dyDescent="0.25">
      <c r="A62">
        <v>7302</v>
      </c>
      <c r="B62" t="s">
        <v>500</v>
      </c>
      <c r="C62" t="s">
        <v>105</v>
      </c>
      <c r="D62" s="35">
        <v>22600</v>
      </c>
      <c r="E62">
        <v>1246261045</v>
      </c>
      <c r="F62" s="328">
        <v>46138</v>
      </c>
      <c r="H62" t="s">
        <v>28</v>
      </c>
      <c r="I62" t="s">
        <v>29</v>
      </c>
      <c r="J62">
        <v>10574</v>
      </c>
      <c r="K62" s="328">
        <v>46048</v>
      </c>
      <c r="L62">
        <v>1010100</v>
      </c>
      <c r="M62" t="s">
        <v>35</v>
      </c>
      <c r="N62">
        <v>-26</v>
      </c>
      <c r="O62" s="32">
        <v>0</v>
      </c>
      <c r="P62" s="32">
        <v>0</v>
      </c>
      <c r="Q62" s="32">
        <v>22600</v>
      </c>
      <c r="R62" s="32">
        <v>0</v>
      </c>
      <c r="S62" s="32">
        <v>0</v>
      </c>
      <c r="T62" s="32">
        <v>0</v>
      </c>
      <c r="U62" s="32">
        <v>0</v>
      </c>
      <c r="V62" s="32">
        <v>0</v>
      </c>
      <c r="W62" s="32">
        <v>0</v>
      </c>
      <c r="X62" s="32">
        <v>0</v>
      </c>
      <c r="Y62" s="32">
        <v>0</v>
      </c>
      <c r="Z62" s="32">
        <v>0</v>
      </c>
      <c r="AA62" s="32">
        <v>0</v>
      </c>
      <c r="AB62" s="32">
        <v>0</v>
      </c>
      <c r="AC62" s="32" t="s">
        <v>540</v>
      </c>
      <c r="AD62" s="32"/>
      <c r="AE62" s="32">
        <v>0</v>
      </c>
    </row>
    <row r="63" spans="1:31" x14ac:dyDescent="0.25">
      <c r="A63">
        <v>7302</v>
      </c>
      <c r="B63" t="s">
        <v>500</v>
      </c>
      <c r="C63" t="s">
        <v>105</v>
      </c>
      <c r="D63" s="35">
        <v>129924</v>
      </c>
      <c r="E63">
        <v>1246268530</v>
      </c>
      <c r="F63" s="328">
        <v>46191</v>
      </c>
      <c r="H63" t="s">
        <v>28</v>
      </c>
      <c r="I63" t="s">
        <v>29</v>
      </c>
      <c r="J63">
        <v>10941</v>
      </c>
      <c r="K63" s="328">
        <v>46101</v>
      </c>
      <c r="L63">
        <v>1010100</v>
      </c>
      <c r="M63" t="s">
        <v>35</v>
      </c>
      <c r="N63">
        <v>-79</v>
      </c>
      <c r="O63" s="32">
        <v>0</v>
      </c>
      <c r="P63" s="32">
        <v>0</v>
      </c>
      <c r="Q63" s="32">
        <v>129924</v>
      </c>
      <c r="R63" s="32">
        <v>0</v>
      </c>
      <c r="S63" s="32">
        <v>0</v>
      </c>
      <c r="T63" s="32">
        <v>0</v>
      </c>
      <c r="U63" s="32">
        <v>0</v>
      </c>
      <c r="V63" s="32">
        <v>0</v>
      </c>
      <c r="W63" s="32">
        <v>0</v>
      </c>
      <c r="X63" s="32">
        <v>0</v>
      </c>
      <c r="Y63" s="32">
        <v>0</v>
      </c>
      <c r="Z63" s="32">
        <v>0</v>
      </c>
      <c r="AA63" s="32">
        <v>0</v>
      </c>
      <c r="AB63" s="32">
        <v>0</v>
      </c>
      <c r="AC63" s="32" t="s">
        <v>540</v>
      </c>
      <c r="AD63" s="32"/>
      <c r="AE63" s="32">
        <v>0</v>
      </c>
    </row>
    <row r="64" spans="1:31" x14ac:dyDescent="0.25">
      <c r="A64">
        <v>14166</v>
      </c>
      <c r="B64" t="s">
        <v>432</v>
      </c>
      <c r="C64" t="s">
        <v>124</v>
      </c>
      <c r="D64" s="35">
        <v>131112.51999999999</v>
      </c>
      <c r="E64">
        <v>1246231981</v>
      </c>
      <c r="F64" s="328">
        <v>46143</v>
      </c>
      <c r="H64" t="s">
        <v>173</v>
      </c>
      <c r="I64" t="s">
        <v>174</v>
      </c>
      <c r="J64">
        <v>8941</v>
      </c>
      <c r="K64" s="328">
        <v>45889</v>
      </c>
      <c r="L64">
        <v>1010100</v>
      </c>
      <c r="M64" t="s">
        <v>35</v>
      </c>
      <c r="N64">
        <v>-31</v>
      </c>
      <c r="O64" s="32">
        <v>0</v>
      </c>
      <c r="P64" s="32">
        <v>0</v>
      </c>
      <c r="Q64" s="32">
        <v>131112.51999999999</v>
      </c>
      <c r="R64" s="32">
        <v>0</v>
      </c>
      <c r="S64" s="32">
        <v>0</v>
      </c>
      <c r="T64" s="32">
        <v>0</v>
      </c>
      <c r="U64" s="32">
        <v>0</v>
      </c>
      <c r="V64" s="32">
        <v>0</v>
      </c>
      <c r="W64" s="32">
        <v>0</v>
      </c>
      <c r="X64" s="32">
        <v>0</v>
      </c>
      <c r="Y64" s="32">
        <v>0</v>
      </c>
      <c r="Z64" s="32">
        <v>0</v>
      </c>
      <c r="AA64" s="32">
        <v>0</v>
      </c>
      <c r="AB64" s="32">
        <v>0</v>
      </c>
      <c r="AC64" s="32" t="s">
        <v>475</v>
      </c>
      <c r="AD64" s="32"/>
      <c r="AE64" s="32">
        <v>0</v>
      </c>
    </row>
    <row r="65" spans="1:31" x14ac:dyDescent="0.25">
      <c r="A65">
        <v>2</v>
      </c>
      <c r="B65" t="s">
        <v>418</v>
      </c>
      <c r="C65" t="s">
        <v>838</v>
      </c>
      <c r="D65" s="35">
        <v>2340</v>
      </c>
      <c r="E65">
        <v>1246268280</v>
      </c>
      <c r="F65" s="328">
        <v>46127</v>
      </c>
      <c r="H65" t="s">
        <v>839</v>
      </c>
      <c r="I65" t="s">
        <v>840</v>
      </c>
      <c r="J65">
        <v>2825</v>
      </c>
      <c r="K65" s="328">
        <v>46099</v>
      </c>
      <c r="L65">
        <v>1010100</v>
      </c>
      <c r="M65" t="s">
        <v>35</v>
      </c>
      <c r="N65">
        <v>-15</v>
      </c>
      <c r="O65" s="32">
        <v>0</v>
      </c>
      <c r="P65" s="32">
        <v>0</v>
      </c>
      <c r="Q65" s="32">
        <v>2340</v>
      </c>
      <c r="R65" s="32">
        <v>0</v>
      </c>
      <c r="S65" s="32">
        <v>0</v>
      </c>
      <c r="T65" s="32">
        <v>0</v>
      </c>
      <c r="U65" s="32">
        <v>0</v>
      </c>
      <c r="V65" s="32">
        <v>0</v>
      </c>
      <c r="W65" s="32">
        <v>0</v>
      </c>
      <c r="X65" s="32">
        <v>0</v>
      </c>
      <c r="Y65" s="32">
        <v>0</v>
      </c>
      <c r="Z65" s="32">
        <v>0</v>
      </c>
      <c r="AA65" s="32">
        <v>0</v>
      </c>
      <c r="AB65" s="32">
        <v>0</v>
      </c>
      <c r="AC65" s="32" t="s">
        <v>475</v>
      </c>
      <c r="AD65" s="32"/>
      <c r="AE65" s="32">
        <v>0</v>
      </c>
    </row>
    <row r="66" spans="1:31" x14ac:dyDescent="0.25">
      <c r="A66">
        <v>7302</v>
      </c>
      <c r="B66" t="s">
        <v>500</v>
      </c>
      <c r="C66" t="s">
        <v>105</v>
      </c>
      <c r="D66" s="35">
        <v>1431.76</v>
      </c>
      <c r="E66">
        <v>1246062794</v>
      </c>
      <c r="F66" s="328">
        <v>44939</v>
      </c>
      <c r="H66" t="s">
        <v>28</v>
      </c>
      <c r="I66" t="s">
        <v>29</v>
      </c>
      <c r="J66">
        <v>19884</v>
      </c>
      <c r="K66" s="328">
        <v>44879</v>
      </c>
      <c r="L66">
        <v>1010100</v>
      </c>
      <c r="M66" t="s">
        <v>35</v>
      </c>
      <c r="N66">
        <v>1173</v>
      </c>
      <c r="O66" s="32">
        <v>0</v>
      </c>
      <c r="P66" s="32">
        <v>1431.76</v>
      </c>
      <c r="Q66" s="32">
        <v>0</v>
      </c>
      <c r="R66" s="32">
        <v>0</v>
      </c>
      <c r="S66" s="32">
        <v>0</v>
      </c>
      <c r="T66" s="32">
        <v>0</v>
      </c>
      <c r="U66" s="32">
        <v>1431.76</v>
      </c>
      <c r="V66" s="32">
        <v>0</v>
      </c>
      <c r="W66" s="32">
        <v>42.952799999999996</v>
      </c>
      <c r="X66" s="32">
        <v>1388.8072</v>
      </c>
      <c r="Y66" s="32">
        <v>1388.8072</v>
      </c>
      <c r="Z66" s="32">
        <v>1431.76</v>
      </c>
      <c r="AA66" s="32">
        <v>0</v>
      </c>
      <c r="AB66" s="32">
        <v>1431.76</v>
      </c>
      <c r="AC66" s="32" t="s">
        <v>540</v>
      </c>
      <c r="AD66" s="32"/>
      <c r="AE66" s="32">
        <v>1431.76</v>
      </c>
    </row>
    <row r="67" spans="1:31" x14ac:dyDescent="0.25">
      <c r="A67">
        <v>205</v>
      </c>
      <c r="B67" t="s">
        <v>576</v>
      </c>
      <c r="C67" t="s">
        <v>548</v>
      </c>
      <c r="D67" s="35">
        <v>37800</v>
      </c>
      <c r="E67">
        <v>1246267728</v>
      </c>
      <c r="F67" s="328">
        <v>46122</v>
      </c>
      <c r="H67" t="s">
        <v>28</v>
      </c>
      <c r="I67" t="s">
        <v>29</v>
      </c>
      <c r="J67">
        <v>10881</v>
      </c>
      <c r="K67" s="328">
        <v>46094</v>
      </c>
      <c r="L67">
        <v>1010100</v>
      </c>
      <c r="M67" t="s">
        <v>35</v>
      </c>
      <c r="N67">
        <v>-10</v>
      </c>
      <c r="O67" s="32">
        <v>0</v>
      </c>
      <c r="P67" s="32">
        <v>0</v>
      </c>
      <c r="Q67" s="32">
        <v>37800</v>
      </c>
      <c r="R67" s="32">
        <v>0</v>
      </c>
      <c r="S67" s="32">
        <v>0</v>
      </c>
      <c r="T67" s="32">
        <v>0</v>
      </c>
      <c r="U67" s="32">
        <v>0</v>
      </c>
      <c r="V67" s="32">
        <v>0</v>
      </c>
      <c r="W67" s="32">
        <v>0</v>
      </c>
      <c r="X67" s="32">
        <v>0</v>
      </c>
      <c r="Y67" s="32">
        <v>0</v>
      </c>
      <c r="Z67" s="32">
        <v>0</v>
      </c>
      <c r="AA67" s="32">
        <v>0</v>
      </c>
      <c r="AB67" s="32">
        <v>0</v>
      </c>
      <c r="AC67" s="32" t="s">
        <v>475</v>
      </c>
      <c r="AD67" s="32"/>
      <c r="AE67" s="32">
        <v>0</v>
      </c>
    </row>
    <row r="68" spans="1:31" x14ac:dyDescent="0.25">
      <c r="A68">
        <v>205</v>
      </c>
      <c r="B68" t="s">
        <v>576</v>
      </c>
      <c r="C68" t="s">
        <v>548</v>
      </c>
      <c r="D68" s="35">
        <v>37638</v>
      </c>
      <c r="E68">
        <v>1246267750</v>
      </c>
      <c r="F68" s="328">
        <v>46122</v>
      </c>
      <c r="H68" t="s">
        <v>28</v>
      </c>
      <c r="I68" t="s">
        <v>29</v>
      </c>
      <c r="J68">
        <v>10883</v>
      </c>
      <c r="K68" s="328">
        <v>46094</v>
      </c>
      <c r="L68">
        <v>1010100</v>
      </c>
      <c r="M68" t="s">
        <v>35</v>
      </c>
      <c r="N68">
        <v>-10</v>
      </c>
      <c r="O68" s="32">
        <v>0</v>
      </c>
      <c r="P68" s="32">
        <v>0</v>
      </c>
      <c r="Q68" s="32">
        <v>37638</v>
      </c>
      <c r="R68" s="32">
        <v>0</v>
      </c>
      <c r="S68" s="32">
        <v>0</v>
      </c>
      <c r="T68" s="32">
        <v>0</v>
      </c>
      <c r="U68" s="32">
        <v>0</v>
      </c>
      <c r="V68" s="32">
        <v>0</v>
      </c>
      <c r="W68" s="32">
        <v>0</v>
      </c>
      <c r="X68" s="32">
        <v>0</v>
      </c>
      <c r="Y68" s="32">
        <v>0</v>
      </c>
      <c r="Z68" s="32">
        <v>0</v>
      </c>
      <c r="AA68" s="32">
        <v>0</v>
      </c>
      <c r="AB68" s="32">
        <v>0</v>
      </c>
      <c r="AC68" s="32" t="s">
        <v>475</v>
      </c>
      <c r="AD68" s="32"/>
      <c r="AE68" s="32">
        <v>0</v>
      </c>
    </row>
    <row r="69" spans="1:31" x14ac:dyDescent="0.25">
      <c r="A69">
        <v>205</v>
      </c>
      <c r="B69" t="s">
        <v>576</v>
      </c>
      <c r="C69" t="s">
        <v>548</v>
      </c>
      <c r="D69" s="35">
        <v>76330.8</v>
      </c>
      <c r="E69">
        <v>1246267832</v>
      </c>
      <c r="F69" s="328">
        <v>46125</v>
      </c>
      <c r="H69" t="s">
        <v>28</v>
      </c>
      <c r="I69" t="s">
        <v>29</v>
      </c>
      <c r="J69">
        <v>10892</v>
      </c>
      <c r="K69" s="328">
        <v>46097</v>
      </c>
      <c r="L69">
        <v>1010100</v>
      </c>
      <c r="M69" t="s">
        <v>35</v>
      </c>
      <c r="N69">
        <v>-13</v>
      </c>
      <c r="O69" s="32">
        <v>0</v>
      </c>
      <c r="P69" s="32">
        <v>0</v>
      </c>
      <c r="Q69" s="32">
        <v>76330.8</v>
      </c>
      <c r="R69" s="32">
        <v>0</v>
      </c>
      <c r="S69" s="32">
        <v>0</v>
      </c>
      <c r="T69" s="32">
        <v>0</v>
      </c>
      <c r="U69" s="32">
        <v>0</v>
      </c>
      <c r="V69" s="32">
        <v>0</v>
      </c>
      <c r="W69" s="32">
        <v>0</v>
      </c>
      <c r="X69" s="32">
        <v>0</v>
      </c>
      <c r="Y69" s="32">
        <v>0</v>
      </c>
      <c r="Z69" s="32">
        <v>0</v>
      </c>
      <c r="AA69" s="32">
        <v>0</v>
      </c>
      <c r="AB69" s="32">
        <v>0</v>
      </c>
      <c r="AC69" s="32" t="s">
        <v>475</v>
      </c>
      <c r="AD69" s="32"/>
      <c r="AE69" s="32">
        <v>0</v>
      </c>
    </row>
    <row r="70" spans="1:31" x14ac:dyDescent="0.25">
      <c r="A70">
        <v>205</v>
      </c>
      <c r="B70" t="s">
        <v>576</v>
      </c>
      <c r="C70" t="s">
        <v>548</v>
      </c>
      <c r="D70" s="35">
        <v>75196.800000000003</v>
      </c>
      <c r="E70">
        <v>1246268731</v>
      </c>
      <c r="F70" s="328">
        <v>46133</v>
      </c>
      <c r="H70" t="s">
        <v>28</v>
      </c>
      <c r="I70" t="s">
        <v>29</v>
      </c>
      <c r="J70">
        <v>10962</v>
      </c>
      <c r="K70" s="328">
        <v>46105</v>
      </c>
      <c r="L70">
        <v>1010100</v>
      </c>
      <c r="M70" t="s">
        <v>35</v>
      </c>
      <c r="N70">
        <v>-21</v>
      </c>
      <c r="O70" s="32">
        <v>0</v>
      </c>
      <c r="P70" s="32">
        <v>0</v>
      </c>
      <c r="Q70" s="32">
        <v>75196.800000000003</v>
      </c>
      <c r="R70" s="32">
        <v>0</v>
      </c>
      <c r="S70" s="32">
        <v>0</v>
      </c>
      <c r="T70" s="32">
        <v>0</v>
      </c>
      <c r="U70" s="32">
        <v>0</v>
      </c>
      <c r="V70" s="32">
        <v>0</v>
      </c>
      <c r="W70" s="32">
        <v>0</v>
      </c>
      <c r="X70" s="32">
        <v>0</v>
      </c>
      <c r="Y70" s="32">
        <v>0</v>
      </c>
      <c r="Z70" s="32">
        <v>0</v>
      </c>
      <c r="AA70" s="32">
        <v>0</v>
      </c>
      <c r="AB70" s="32">
        <v>0</v>
      </c>
      <c r="AC70" s="32" t="s">
        <v>475</v>
      </c>
      <c r="AD70" s="32"/>
      <c r="AE70" s="32">
        <v>0</v>
      </c>
    </row>
    <row r="71" spans="1:31" x14ac:dyDescent="0.25">
      <c r="A71">
        <v>205</v>
      </c>
      <c r="B71" t="s">
        <v>576</v>
      </c>
      <c r="C71" t="s">
        <v>548</v>
      </c>
      <c r="D71" s="35">
        <v>75952.800000000003</v>
      </c>
      <c r="E71">
        <v>1246269330</v>
      </c>
      <c r="F71" s="328">
        <v>46135</v>
      </c>
      <c r="H71" t="s">
        <v>28</v>
      </c>
      <c r="I71" t="s">
        <v>29</v>
      </c>
      <c r="J71">
        <v>10983</v>
      </c>
      <c r="K71" s="328">
        <v>46107</v>
      </c>
      <c r="L71">
        <v>1010100</v>
      </c>
      <c r="M71" t="s">
        <v>35</v>
      </c>
      <c r="N71">
        <v>-23</v>
      </c>
      <c r="O71" s="32">
        <v>0</v>
      </c>
      <c r="P71" s="32">
        <v>0</v>
      </c>
      <c r="Q71" s="32">
        <v>75952.800000000003</v>
      </c>
      <c r="R71" s="32">
        <v>0</v>
      </c>
      <c r="S71" s="32">
        <v>0</v>
      </c>
      <c r="T71" s="32">
        <v>0</v>
      </c>
      <c r="U71" s="32">
        <v>0</v>
      </c>
      <c r="V71" s="32">
        <v>0</v>
      </c>
      <c r="W71" s="32">
        <v>0</v>
      </c>
      <c r="X71" s="32">
        <v>0</v>
      </c>
      <c r="Y71" s="32">
        <v>0</v>
      </c>
      <c r="Z71" s="32">
        <v>0</v>
      </c>
      <c r="AA71" s="32">
        <v>0</v>
      </c>
      <c r="AB71" s="32">
        <v>0</v>
      </c>
      <c r="AC71" s="32" t="s">
        <v>475</v>
      </c>
      <c r="AD71" s="32"/>
      <c r="AE71" s="32">
        <v>0</v>
      </c>
    </row>
    <row r="72" spans="1:31" x14ac:dyDescent="0.25">
      <c r="A72">
        <v>205</v>
      </c>
      <c r="B72" t="s">
        <v>576</v>
      </c>
      <c r="C72" t="s">
        <v>548</v>
      </c>
      <c r="D72" s="35">
        <v>80816.399999999994</v>
      </c>
      <c r="E72">
        <v>1246267018</v>
      </c>
      <c r="F72" s="328">
        <v>46118</v>
      </c>
      <c r="H72" t="s">
        <v>28</v>
      </c>
      <c r="I72" t="s">
        <v>29</v>
      </c>
      <c r="J72">
        <v>10845</v>
      </c>
      <c r="K72" s="328">
        <v>46090</v>
      </c>
      <c r="L72">
        <v>1010100</v>
      </c>
      <c r="M72" t="s">
        <v>35</v>
      </c>
      <c r="N72">
        <v>-6</v>
      </c>
      <c r="O72" s="32">
        <v>0</v>
      </c>
      <c r="P72" s="32">
        <v>0</v>
      </c>
      <c r="Q72" s="32">
        <v>80816.399999999994</v>
      </c>
      <c r="R72" s="32">
        <v>0</v>
      </c>
      <c r="S72" s="32">
        <v>0</v>
      </c>
      <c r="T72" s="32">
        <v>0</v>
      </c>
      <c r="U72" s="32">
        <v>0</v>
      </c>
      <c r="V72" s="32">
        <v>0</v>
      </c>
      <c r="W72" s="32">
        <v>0</v>
      </c>
      <c r="X72" s="32">
        <v>0</v>
      </c>
      <c r="Y72" s="32">
        <v>0</v>
      </c>
      <c r="Z72" s="32">
        <v>0</v>
      </c>
      <c r="AA72" s="32">
        <v>0</v>
      </c>
      <c r="AB72" s="32">
        <v>0</v>
      </c>
      <c r="AC72" s="32" t="s">
        <v>475</v>
      </c>
      <c r="AD72" s="32"/>
      <c r="AE72" s="32">
        <v>0</v>
      </c>
    </row>
    <row r="73" spans="1:31" x14ac:dyDescent="0.25">
      <c r="A73">
        <v>205</v>
      </c>
      <c r="B73" t="s">
        <v>576</v>
      </c>
      <c r="C73" t="s">
        <v>548</v>
      </c>
      <c r="D73" s="35">
        <v>75474</v>
      </c>
      <c r="E73">
        <v>1246269597</v>
      </c>
      <c r="F73" s="328">
        <v>46139</v>
      </c>
      <c r="H73" t="s">
        <v>28</v>
      </c>
      <c r="I73" t="s">
        <v>29</v>
      </c>
      <c r="J73">
        <v>11003</v>
      </c>
      <c r="K73" s="328">
        <v>46111</v>
      </c>
      <c r="L73">
        <v>1010100</v>
      </c>
      <c r="M73" t="s">
        <v>35</v>
      </c>
      <c r="N73">
        <v>-27</v>
      </c>
      <c r="O73" s="32">
        <v>0</v>
      </c>
      <c r="P73" s="32">
        <v>0</v>
      </c>
      <c r="Q73" s="32">
        <v>75474</v>
      </c>
      <c r="R73" s="32">
        <v>0</v>
      </c>
      <c r="S73" s="32">
        <v>0</v>
      </c>
      <c r="T73" s="32">
        <v>0</v>
      </c>
      <c r="U73" s="32">
        <v>0</v>
      </c>
      <c r="V73" s="32">
        <v>0</v>
      </c>
      <c r="W73" s="32">
        <v>0</v>
      </c>
      <c r="X73" s="32">
        <v>0</v>
      </c>
      <c r="Y73" s="32">
        <v>0</v>
      </c>
      <c r="Z73" s="32">
        <v>0</v>
      </c>
      <c r="AA73" s="32">
        <v>0</v>
      </c>
      <c r="AB73" s="32">
        <v>0</v>
      </c>
      <c r="AC73" s="32" t="s">
        <v>475</v>
      </c>
      <c r="AD73" s="32"/>
      <c r="AE73" s="32">
        <v>0</v>
      </c>
    </row>
    <row r="74" spans="1:31" x14ac:dyDescent="0.25">
      <c r="A74">
        <v>205</v>
      </c>
      <c r="B74" t="s">
        <v>576</v>
      </c>
      <c r="C74" t="s">
        <v>548</v>
      </c>
      <c r="D74" s="35">
        <v>76255.199999999997</v>
      </c>
      <c r="E74">
        <v>1246267196</v>
      </c>
      <c r="F74" s="328">
        <v>46119</v>
      </c>
      <c r="H74" t="s">
        <v>28</v>
      </c>
      <c r="I74" t="s">
        <v>29</v>
      </c>
      <c r="J74">
        <v>10854</v>
      </c>
      <c r="K74" s="328">
        <v>46091</v>
      </c>
      <c r="L74">
        <v>1010100</v>
      </c>
      <c r="M74" t="s">
        <v>35</v>
      </c>
      <c r="N74">
        <v>-7</v>
      </c>
      <c r="O74" s="32">
        <v>0</v>
      </c>
      <c r="P74" s="32">
        <v>0</v>
      </c>
      <c r="Q74" s="32">
        <v>76255.199999999997</v>
      </c>
      <c r="R74" s="32">
        <v>0</v>
      </c>
      <c r="S74" s="32">
        <v>0</v>
      </c>
      <c r="T74" s="32">
        <v>0</v>
      </c>
      <c r="U74" s="32">
        <v>0</v>
      </c>
      <c r="V74" s="32">
        <v>0</v>
      </c>
      <c r="W74" s="32">
        <v>0</v>
      </c>
      <c r="X74" s="32">
        <v>0</v>
      </c>
      <c r="Y74" s="32">
        <v>0</v>
      </c>
      <c r="Z74" s="32">
        <v>0</v>
      </c>
      <c r="AA74" s="32">
        <v>0</v>
      </c>
      <c r="AB74" s="32">
        <v>0</v>
      </c>
      <c r="AC74" s="32" t="s">
        <v>475</v>
      </c>
      <c r="AD74" s="32"/>
      <c r="AE74" s="32">
        <v>0</v>
      </c>
    </row>
    <row r="75" spans="1:31" x14ac:dyDescent="0.25">
      <c r="A75">
        <v>205</v>
      </c>
      <c r="B75" t="s">
        <v>576</v>
      </c>
      <c r="C75" t="s">
        <v>548</v>
      </c>
      <c r="D75" s="35">
        <v>76179.600000000006</v>
      </c>
      <c r="E75">
        <v>1246268622</v>
      </c>
      <c r="F75" s="328">
        <v>46132</v>
      </c>
      <c r="H75" t="s">
        <v>28</v>
      </c>
      <c r="I75" t="s">
        <v>29</v>
      </c>
      <c r="J75">
        <v>10956</v>
      </c>
      <c r="K75" s="328">
        <v>46104</v>
      </c>
      <c r="L75">
        <v>1010100</v>
      </c>
      <c r="M75" t="s">
        <v>35</v>
      </c>
      <c r="N75">
        <v>-20</v>
      </c>
      <c r="O75" s="32">
        <v>0</v>
      </c>
      <c r="P75" s="32">
        <v>0</v>
      </c>
      <c r="Q75" s="32">
        <v>76179.600000000006</v>
      </c>
      <c r="R75" s="32">
        <v>0</v>
      </c>
      <c r="S75" s="32">
        <v>0</v>
      </c>
      <c r="T75" s="32">
        <v>0</v>
      </c>
      <c r="U75" s="32">
        <v>0</v>
      </c>
      <c r="V75" s="32">
        <v>0</v>
      </c>
      <c r="W75" s="32">
        <v>0</v>
      </c>
      <c r="X75" s="32">
        <v>0</v>
      </c>
      <c r="Y75" s="32">
        <v>0</v>
      </c>
      <c r="Z75" s="32">
        <v>0</v>
      </c>
      <c r="AA75" s="32">
        <v>0</v>
      </c>
      <c r="AB75" s="32">
        <v>0</v>
      </c>
      <c r="AC75" s="32" t="s">
        <v>475</v>
      </c>
      <c r="AD75" s="32"/>
      <c r="AE75" s="32">
        <v>0</v>
      </c>
    </row>
    <row r="76" spans="1:31" x14ac:dyDescent="0.25">
      <c r="A76">
        <v>1953</v>
      </c>
      <c r="B76" t="s">
        <v>414</v>
      </c>
      <c r="C76" t="s">
        <v>884</v>
      </c>
      <c r="D76" s="35">
        <v>58917.8</v>
      </c>
      <c r="E76">
        <v>1246267986</v>
      </c>
      <c r="F76" s="328">
        <v>46158</v>
      </c>
      <c r="H76" t="s">
        <v>28</v>
      </c>
      <c r="I76" t="s">
        <v>29</v>
      </c>
      <c r="J76">
        <v>10907</v>
      </c>
      <c r="K76" s="328">
        <v>46098</v>
      </c>
      <c r="L76">
        <v>1010100</v>
      </c>
      <c r="M76" t="s">
        <v>35</v>
      </c>
      <c r="N76">
        <v>-46</v>
      </c>
      <c r="O76" s="32">
        <v>0</v>
      </c>
      <c r="P76" s="32">
        <v>0</v>
      </c>
      <c r="Q76" s="32">
        <v>58917.8</v>
      </c>
      <c r="R76" s="32">
        <v>0</v>
      </c>
      <c r="S76" s="32">
        <v>0</v>
      </c>
      <c r="T76" s="32">
        <v>0</v>
      </c>
      <c r="U76" s="32">
        <v>0</v>
      </c>
      <c r="V76" s="32">
        <v>0</v>
      </c>
      <c r="W76" s="32">
        <v>0</v>
      </c>
      <c r="X76" s="32">
        <v>0</v>
      </c>
      <c r="Y76" s="32">
        <v>0</v>
      </c>
      <c r="Z76" s="32">
        <v>0</v>
      </c>
      <c r="AA76" s="32">
        <v>0</v>
      </c>
      <c r="AB76" s="32">
        <v>0</v>
      </c>
      <c r="AC76" s="32" t="s">
        <v>475</v>
      </c>
      <c r="AD76" s="32"/>
      <c r="AE76" s="32">
        <v>0</v>
      </c>
    </row>
    <row r="77" spans="1:31" x14ac:dyDescent="0.25">
      <c r="A77">
        <v>1787</v>
      </c>
      <c r="B77" t="s">
        <v>531</v>
      </c>
      <c r="C77" t="s">
        <v>68</v>
      </c>
      <c r="D77" s="35">
        <v>116928</v>
      </c>
      <c r="E77">
        <v>1246267948</v>
      </c>
      <c r="F77" s="328">
        <v>46187</v>
      </c>
      <c r="H77" t="s">
        <v>28</v>
      </c>
      <c r="I77" t="s">
        <v>29</v>
      </c>
      <c r="J77">
        <v>10899</v>
      </c>
      <c r="K77" s="328">
        <v>46097</v>
      </c>
      <c r="L77">
        <v>1010100</v>
      </c>
      <c r="M77" t="s">
        <v>35</v>
      </c>
      <c r="N77">
        <v>-75</v>
      </c>
      <c r="O77" s="32">
        <v>0</v>
      </c>
      <c r="P77" s="32">
        <v>0</v>
      </c>
      <c r="Q77" s="32">
        <v>116928</v>
      </c>
      <c r="R77" s="32">
        <v>0</v>
      </c>
      <c r="S77" s="32">
        <v>0</v>
      </c>
      <c r="T77" s="32">
        <v>0</v>
      </c>
      <c r="U77" s="32">
        <v>0</v>
      </c>
      <c r="V77" s="32">
        <v>0</v>
      </c>
      <c r="W77" s="32">
        <v>0</v>
      </c>
      <c r="X77" s="32">
        <v>0</v>
      </c>
      <c r="Y77" s="32">
        <v>0</v>
      </c>
      <c r="Z77" s="32">
        <v>0</v>
      </c>
      <c r="AA77" s="32">
        <v>0</v>
      </c>
      <c r="AB77" s="32">
        <v>0</v>
      </c>
      <c r="AC77" s="32" t="s">
        <v>540</v>
      </c>
      <c r="AD77" s="32"/>
      <c r="AE77" s="32">
        <v>0</v>
      </c>
    </row>
    <row r="78" spans="1:31" x14ac:dyDescent="0.25">
      <c r="A78">
        <v>1787</v>
      </c>
      <c r="B78" t="s">
        <v>531</v>
      </c>
      <c r="C78" t="s">
        <v>68</v>
      </c>
      <c r="D78" s="35">
        <v>115891.2</v>
      </c>
      <c r="E78">
        <v>1246262540</v>
      </c>
      <c r="F78" s="328">
        <v>46149</v>
      </c>
      <c r="H78" t="s">
        <v>28</v>
      </c>
      <c r="I78" t="s">
        <v>29</v>
      </c>
      <c r="J78">
        <v>10652</v>
      </c>
      <c r="K78" s="328">
        <v>46059</v>
      </c>
      <c r="L78">
        <v>1010100</v>
      </c>
      <c r="M78" t="s">
        <v>35</v>
      </c>
      <c r="N78">
        <v>-37</v>
      </c>
      <c r="O78" s="32">
        <v>0</v>
      </c>
      <c r="P78" s="32">
        <v>0</v>
      </c>
      <c r="Q78" s="32">
        <v>115891.2</v>
      </c>
      <c r="R78" s="32">
        <v>0</v>
      </c>
      <c r="S78" s="32">
        <v>0</v>
      </c>
      <c r="T78" s="32">
        <v>0</v>
      </c>
      <c r="U78" s="32">
        <v>0</v>
      </c>
      <c r="V78" s="32">
        <v>0</v>
      </c>
      <c r="W78" s="32">
        <v>0</v>
      </c>
      <c r="X78" s="32">
        <v>0</v>
      </c>
      <c r="Y78" s="32">
        <v>0</v>
      </c>
      <c r="Z78" s="32">
        <v>0</v>
      </c>
      <c r="AA78" s="32">
        <v>0</v>
      </c>
      <c r="AB78" s="32">
        <v>0</v>
      </c>
      <c r="AC78" s="32" t="s">
        <v>540</v>
      </c>
      <c r="AD78" s="32"/>
      <c r="AE78" s="32">
        <v>0</v>
      </c>
    </row>
    <row r="79" spans="1:31" x14ac:dyDescent="0.25">
      <c r="A79">
        <v>1787</v>
      </c>
      <c r="B79" t="s">
        <v>531</v>
      </c>
      <c r="C79" t="s">
        <v>68</v>
      </c>
      <c r="D79" s="35">
        <v>103795.2</v>
      </c>
      <c r="E79">
        <v>1246268633</v>
      </c>
      <c r="F79" s="328">
        <v>46194</v>
      </c>
      <c r="H79" t="s">
        <v>28</v>
      </c>
      <c r="I79" t="s">
        <v>29</v>
      </c>
      <c r="J79">
        <v>10957</v>
      </c>
      <c r="K79" s="328">
        <v>46104</v>
      </c>
      <c r="L79">
        <v>1010100</v>
      </c>
      <c r="M79" t="s">
        <v>35</v>
      </c>
      <c r="N79">
        <v>-82</v>
      </c>
      <c r="O79" s="32">
        <v>0</v>
      </c>
      <c r="P79" s="32">
        <v>0</v>
      </c>
      <c r="Q79" s="32">
        <v>103795.2</v>
      </c>
      <c r="R79" s="32">
        <v>0</v>
      </c>
      <c r="S79" s="32">
        <v>0</v>
      </c>
      <c r="T79" s="32">
        <v>0</v>
      </c>
      <c r="U79" s="32">
        <v>0</v>
      </c>
      <c r="V79" s="32">
        <v>0</v>
      </c>
      <c r="W79" s="32">
        <v>0</v>
      </c>
      <c r="X79" s="32">
        <v>0</v>
      </c>
      <c r="Y79" s="32">
        <v>0</v>
      </c>
      <c r="Z79" s="32">
        <v>0</v>
      </c>
      <c r="AA79" s="32">
        <v>0</v>
      </c>
      <c r="AB79" s="32">
        <v>0</v>
      </c>
      <c r="AC79" s="32" t="s">
        <v>540</v>
      </c>
      <c r="AD79" s="32"/>
      <c r="AE79" s="32">
        <v>0</v>
      </c>
    </row>
    <row r="80" spans="1:31" x14ac:dyDescent="0.25">
      <c r="A80">
        <v>1787</v>
      </c>
      <c r="B80" t="s">
        <v>531</v>
      </c>
      <c r="C80" t="s">
        <v>68</v>
      </c>
      <c r="D80" s="35">
        <v>111360</v>
      </c>
      <c r="E80">
        <v>1246268748</v>
      </c>
      <c r="F80" s="328">
        <v>46195</v>
      </c>
      <c r="H80" t="s">
        <v>28</v>
      </c>
      <c r="I80" t="s">
        <v>29</v>
      </c>
      <c r="J80">
        <v>10965</v>
      </c>
      <c r="K80" s="328">
        <v>46105</v>
      </c>
      <c r="L80">
        <v>1010100</v>
      </c>
      <c r="M80" t="s">
        <v>35</v>
      </c>
      <c r="N80">
        <v>-83</v>
      </c>
      <c r="O80" s="32">
        <v>0</v>
      </c>
      <c r="P80" s="32">
        <v>0</v>
      </c>
      <c r="Q80" s="32">
        <v>111360</v>
      </c>
      <c r="R80" s="32">
        <v>0</v>
      </c>
      <c r="S80" s="32">
        <v>0</v>
      </c>
      <c r="T80" s="32">
        <v>0</v>
      </c>
      <c r="U80" s="32">
        <v>0</v>
      </c>
      <c r="V80" s="32">
        <v>0</v>
      </c>
      <c r="W80" s="32">
        <v>0</v>
      </c>
      <c r="X80" s="32">
        <v>0</v>
      </c>
      <c r="Y80" s="32">
        <v>0</v>
      </c>
      <c r="Z80" s="32">
        <v>0</v>
      </c>
      <c r="AA80" s="32">
        <v>0</v>
      </c>
      <c r="AB80" s="32">
        <v>0</v>
      </c>
      <c r="AC80" s="32" t="s">
        <v>540</v>
      </c>
      <c r="AD80" s="32"/>
      <c r="AE80" s="32">
        <v>0</v>
      </c>
    </row>
    <row r="81" spans="1:31" x14ac:dyDescent="0.25">
      <c r="A81">
        <v>1787</v>
      </c>
      <c r="B81" t="s">
        <v>531</v>
      </c>
      <c r="C81" t="s">
        <v>68</v>
      </c>
      <c r="D81" s="35">
        <v>114700.8</v>
      </c>
      <c r="E81">
        <v>1246259163</v>
      </c>
      <c r="F81" s="328">
        <v>46124</v>
      </c>
      <c r="H81" t="s">
        <v>28</v>
      </c>
      <c r="I81" t="s">
        <v>29</v>
      </c>
      <c r="J81">
        <v>10462</v>
      </c>
      <c r="K81" s="328">
        <v>46034</v>
      </c>
      <c r="L81">
        <v>1010100</v>
      </c>
      <c r="M81" t="s">
        <v>35</v>
      </c>
      <c r="N81">
        <v>-12</v>
      </c>
      <c r="O81" s="32">
        <v>0</v>
      </c>
      <c r="P81" s="32">
        <v>0</v>
      </c>
      <c r="Q81" s="32">
        <v>114700.8</v>
      </c>
      <c r="R81" s="32">
        <v>0</v>
      </c>
      <c r="S81" s="32">
        <v>0</v>
      </c>
      <c r="T81" s="32">
        <v>0</v>
      </c>
      <c r="U81" s="32">
        <v>0</v>
      </c>
      <c r="V81" s="32">
        <v>0</v>
      </c>
      <c r="W81" s="32">
        <v>0</v>
      </c>
      <c r="X81" s="32">
        <v>0</v>
      </c>
      <c r="Y81" s="32">
        <v>0</v>
      </c>
      <c r="Z81" s="32">
        <v>0</v>
      </c>
      <c r="AA81" s="32">
        <v>0</v>
      </c>
      <c r="AB81" s="32">
        <v>0</v>
      </c>
      <c r="AC81" s="32" t="s">
        <v>540</v>
      </c>
      <c r="AD81" s="32"/>
      <c r="AE81" s="32">
        <v>0</v>
      </c>
    </row>
    <row r="82" spans="1:31" x14ac:dyDescent="0.25">
      <c r="A82">
        <v>1787</v>
      </c>
      <c r="B82" t="s">
        <v>531</v>
      </c>
      <c r="C82" t="s">
        <v>68</v>
      </c>
      <c r="D82" s="35">
        <v>107212.8</v>
      </c>
      <c r="E82">
        <v>1246259993</v>
      </c>
      <c r="F82" s="328">
        <v>46131</v>
      </c>
      <c r="H82" t="s">
        <v>28</v>
      </c>
      <c r="I82" t="s">
        <v>29</v>
      </c>
      <c r="J82">
        <v>10516</v>
      </c>
      <c r="K82" s="328">
        <v>46041</v>
      </c>
      <c r="L82">
        <v>1010100</v>
      </c>
      <c r="M82" t="s">
        <v>35</v>
      </c>
      <c r="N82">
        <v>-19</v>
      </c>
      <c r="O82" s="32">
        <v>0</v>
      </c>
      <c r="P82" s="32">
        <v>0</v>
      </c>
      <c r="Q82" s="32">
        <v>107212.8</v>
      </c>
      <c r="R82" s="32">
        <v>0</v>
      </c>
      <c r="S82" s="32">
        <v>0</v>
      </c>
      <c r="T82" s="32">
        <v>0</v>
      </c>
      <c r="U82" s="32">
        <v>0</v>
      </c>
      <c r="V82" s="32">
        <v>0</v>
      </c>
      <c r="W82" s="32">
        <v>0</v>
      </c>
      <c r="X82" s="32">
        <v>0</v>
      </c>
      <c r="Y82" s="32">
        <v>0</v>
      </c>
      <c r="Z82" s="32">
        <v>0</v>
      </c>
      <c r="AA82" s="32">
        <v>0</v>
      </c>
      <c r="AB82" s="32">
        <v>0</v>
      </c>
      <c r="AC82" s="32" t="s">
        <v>540</v>
      </c>
      <c r="AD82" s="32"/>
      <c r="AE82" s="32">
        <v>0</v>
      </c>
    </row>
    <row r="83" spans="1:31" x14ac:dyDescent="0.25">
      <c r="A83">
        <v>1787</v>
      </c>
      <c r="B83" t="s">
        <v>531</v>
      </c>
      <c r="C83" t="s">
        <v>68</v>
      </c>
      <c r="D83" s="35">
        <v>114662.39999999999</v>
      </c>
      <c r="E83">
        <v>1246268585</v>
      </c>
      <c r="F83" s="328">
        <v>46161</v>
      </c>
      <c r="H83" t="s">
        <v>28</v>
      </c>
      <c r="I83" t="s">
        <v>29</v>
      </c>
      <c r="J83">
        <v>10953</v>
      </c>
      <c r="K83" s="328">
        <v>46101</v>
      </c>
      <c r="L83">
        <v>1010100</v>
      </c>
      <c r="M83" t="s">
        <v>35</v>
      </c>
      <c r="N83">
        <v>-49</v>
      </c>
      <c r="O83" s="32">
        <v>0</v>
      </c>
      <c r="P83" s="32">
        <v>0</v>
      </c>
      <c r="Q83" s="32">
        <v>114662.39999999999</v>
      </c>
      <c r="R83" s="32">
        <v>0</v>
      </c>
      <c r="S83" s="32">
        <v>0</v>
      </c>
      <c r="T83" s="32">
        <v>0</v>
      </c>
      <c r="U83" s="32">
        <v>0</v>
      </c>
      <c r="V83" s="32">
        <v>0</v>
      </c>
      <c r="W83" s="32">
        <v>0</v>
      </c>
      <c r="X83" s="32">
        <v>0</v>
      </c>
      <c r="Y83" s="32">
        <v>0</v>
      </c>
      <c r="Z83" s="32">
        <v>0</v>
      </c>
      <c r="AA83" s="32">
        <v>0</v>
      </c>
      <c r="AB83" s="32">
        <v>0</v>
      </c>
      <c r="AC83" s="32" t="s">
        <v>540</v>
      </c>
      <c r="AD83" s="32"/>
      <c r="AE83" s="32">
        <v>0</v>
      </c>
    </row>
    <row r="84" spans="1:31" x14ac:dyDescent="0.25">
      <c r="A84">
        <v>1787</v>
      </c>
      <c r="B84" t="s">
        <v>531</v>
      </c>
      <c r="C84" t="s">
        <v>68</v>
      </c>
      <c r="D84" s="35">
        <v>114969.60000000001</v>
      </c>
      <c r="E84">
        <v>1246264543</v>
      </c>
      <c r="F84" s="328">
        <v>46166</v>
      </c>
      <c r="H84" t="s">
        <v>28</v>
      </c>
      <c r="I84" t="s">
        <v>29</v>
      </c>
      <c r="J84">
        <v>10746</v>
      </c>
      <c r="K84" s="328">
        <v>46076</v>
      </c>
      <c r="L84">
        <v>1010100</v>
      </c>
      <c r="M84" t="s">
        <v>35</v>
      </c>
      <c r="N84">
        <v>-54</v>
      </c>
      <c r="O84" s="32">
        <v>0</v>
      </c>
      <c r="P84" s="32">
        <v>0</v>
      </c>
      <c r="Q84" s="32">
        <v>114969.60000000001</v>
      </c>
      <c r="R84" s="32">
        <v>0</v>
      </c>
      <c r="S84" s="32">
        <v>0</v>
      </c>
      <c r="T84" s="32">
        <v>0</v>
      </c>
      <c r="U84" s="32">
        <v>0</v>
      </c>
      <c r="V84" s="32">
        <v>0</v>
      </c>
      <c r="W84" s="32">
        <v>0</v>
      </c>
      <c r="X84" s="32">
        <v>0</v>
      </c>
      <c r="Y84" s="32">
        <v>0</v>
      </c>
      <c r="Z84" s="32">
        <v>0</v>
      </c>
      <c r="AA84" s="32">
        <v>0</v>
      </c>
      <c r="AB84" s="32">
        <v>0</v>
      </c>
      <c r="AC84" s="32" t="s">
        <v>540</v>
      </c>
      <c r="AD84" s="32"/>
      <c r="AE84" s="32">
        <v>0</v>
      </c>
    </row>
    <row r="85" spans="1:31" x14ac:dyDescent="0.25">
      <c r="A85">
        <v>1787</v>
      </c>
      <c r="B85" t="s">
        <v>531</v>
      </c>
      <c r="C85" t="s">
        <v>68</v>
      </c>
      <c r="D85" s="35">
        <v>114470.39999999999</v>
      </c>
      <c r="E85">
        <v>1246261586</v>
      </c>
      <c r="F85" s="328">
        <v>46141</v>
      </c>
      <c r="H85" t="s">
        <v>28</v>
      </c>
      <c r="I85" t="s">
        <v>29</v>
      </c>
      <c r="J85">
        <v>10604</v>
      </c>
      <c r="K85" s="328">
        <v>46051</v>
      </c>
      <c r="L85">
        <v>1010100</v>
      </c>
      <c r="M85" t="s">
        <v>35</v>
      </c>
      <c r="N85">
        <v>-29</v>
      </c>
      <c r="O85" s="32">
        <v>0</v>
      </c>
      <c r="P85" s="32">
        <v>0</v>
      </c>
      <c r="Q85" s="32">
        <v>114470.39999999999</v>
      </c>
      <c r="R85" s="32">
        <v>0</v>
      </c>
      <c r="S85" s="32">
        <v>0</v>
      </c>
      <c r="T85" s="32">
        <v>0</v>
      </c>
      <c r="U85" s="32">
        <v>0</v>
      </c>
      <c r="V85" s="32">
        <v>0</v>
      </c>
      <c r="W85" s="32">
        <v>0</v>
      </c>
      <c r="X85" s="32">
        <v>0</v>
      </c>
      <c r="Y85" s="32">
        <v>0</v>
      </c>
      <c r="Z85" s="32">
        <v>0</v>
      </c>
      <c r="AA85" s="32">
        <v>0</v>
      </c>
      <c r="AB85" s="32">
        <v>0</v>
      </c>
      <c r="AC85" s="32" t="s">
        <v>540</v>
      </c>
      <c r="AD85" s="32"/>
      <c r="AE85" s="32">
        <v>0</v>
      </c>
    </row>
    <row r="86" spans="1:31" x14ac:dyDescent="0.25">
      <c r="A86">
        <v>1787</v>
      </c>
      <c r="B86" t="s">
        <v>531</v>
      </c>
      <c r="C86" t="s">
        <v>68</v>
      </c>
      <c r="D86" s="35">
        <v>110476.8</v>
      </c>
      <c r="E86">
        <v>1246261043</v>
      </c>
      <c r="F86" s="328">
        <v>46138</v>
      </c>
      <c r="H86" t="s">
        <v>28</v>
      </c>
      <c r="I86" t="s">
        <v>29</v>
      </c>
      <c r="J86">
        <v>10573</v>
      </c>
      <c r="K86" s="328">
        <v>46048</v>
      </c>
      <c r="L86">
        <v>1010100</v>
      </c>
      <c r="M86" t="s">
        <v>35</v>
      </c>
      <c r="N86">
        <v>-26</v>
      </c>
      <c r="O86" s="32">
        <v>0</v>
      </c>
      <c r="P86" s="32">
        <v>0</v>
      </c>
      <c r="Q86" s="32">
        <v>110476.8</v>
      </c>
      <c r="R86" s="32">
        <v>0</v>
      </c>
      <c r="S86" s="32">
        <v>0</v>
      </c>
      <c r="T86" s="32">
        <v>0</v>
      </c>
      <c r="U86" s="32">
        <v>0</v>
      </c>
      <c r="V86" s="32">
        <v>0</v>
      </c>
      <c r="W86" s="32">
        <v>0</v>
      </c>
      <c r="X86" s="32">
        <v>0</v>
      </c>
      <c r="Y86" s="32">
        <v>0</v>
      </c>
      <c r="Z86" s="32">
        <v>0</v>
      </c>
      <c r="AA86" s="32">
        <v>0</v>
      </c>
      <c r="AB86" s="32">
        <v>0</v>
      </c>
      <c r="AC86" s="32" t="s">
        <v>540</v>
      </c>
      <c r="AD86" s="32"/>
      <c r="AE86" s="32">
        <v>0</v>
      </c>
    </row>
    <row r="87" spans="1:31" x14ac:dyDescent="0.25">
      <c r="A87">
        <v>1787</v>
      </c>
      <c r="B87" t="s">
        <v>531</v>
      </c>
      <c r="C87" t="s">
        <v>68</v>
      </c>
      <c r="D87" s="35">
        <v>113356.8</v>
      </c>
      <c r="E87">
        <v>1246269731</v>
      </c>
      <c r="F87" s="328">
        <v>46202</v>
      </c>
      <c r="H87" t="s">
        <v>28</v>
      </c>
      <c r="I87" t="s">
        <v>29</v>
      </c>
      <c r="J87">
        <v>11014</v>
      </c>
      <c r="K87" s="328">
        <v>46112</v>
      </c>
      <c r="L87">
        <v>1010100</v>
      </c>
      <c r="M87" t="s">
        <v>35</v>
      </c>
      <c r="N87">
        <v>-90</v>
      </c>
      <c r="O87" s="32">
        <v>0</v>
      </c>
      <c r="P87" s="32">
        <v>0</v>
      </c>
      <c r="Q87" s="32">
        <v>113356.8</v>
      </c>
      <c r="R87" s="32">
        <v>0</v>
      </c>
      <c r="S87" s="32">
        <v>0</v>
      </c>
      <c r="T87" s="32">
        <v>0</v>
      </c>
      <c r="U87" s="32">
        <v>0</v>
      </c>
      <c r="V87" s="32">
        <v>0</v>
      </c>
      <c r="W87" s="32">
        <v>0</v>
      </c>
      <c r="X87" s="32">
        <v>0</v>
      </c>
      <c r="Y87" s="32">
        <v>0</v>
      </c>
      <c r="Z87" s="32">
        <v>0</v>
      </c>
      <c r="AA87" s="32">
        <v>0</v>
      </c>
      <c r="AB87" s="32">
        <v>0</v>
      </c>
      <c r="AC87" s="32" t="s">
        <v>540</v>
      </c>
      <c r="AD87" s="32"/>
      <c r="AE87" s="32">
        <v>0</v>
      </c>
    </row>
    <row r="88" spans="1:31" x14ac:dyDescent="0.25">
      <c r="A88">
        <v>1787</v>
      </c>
      <c r="B88" t="s">
        <v>531</v>
      </c>
      <c r="C88" t="s">
        <v>68</v>
      </c>
      <c r="D88" s="35">
        <v>116313.60000000001</v>
      </c>
      <c r="E88">
        <v>1246258384</v>
      </c>
      <c r="F88" s="328">
        <v>46118</v>
      </c>
      <c r="H88" t="s">
        <v>28</v>
      </c>
      <c r="I88" t="s">
        <v>29</v>
      </c>
      <c r="J88">
        <v>10427</v>
      </c>
      <c r="K88" s="328">
        <v>46028</v>
      </c>
      <c r="L88">
        <v>1010100</v>
      </c>
      <c r="M88" t="s">
        <v>35</v>
      </c>
      <c r="N88">
        <v>-6</v>
      </c>
      <c r="O88" s="32">
        <v>0</v>
      </c>
      <c r="P88" s="32">
        <v>0</v>
      </c>
      <c r="Q88" s="32">
        <v>116313.60000000001</v>
      </c>
      <c r="R88" s="32">
        <v>0</v>
      </c>
      <c r="S88" s="32">
        <v>0</v>
      </c>
      <c r="T88" s="32">
        <v>0</v>
      </c>
      <c r="U88" s="32">
        <v>0</v>
      </c>
      <c r="V88" s="32">
        <v>0</v>
      </c>
      <c r="W88" s="32">
        <v>0</v>
      </c>
      <c r="X88" s="32">
        <v>0</v>
      </c>
      <c r="Y88" s="32">
        <v>0</v>
      </c>
      <c r="Z88" s="32">
        <v>0</v>
      </c>
      <c r="AA88" s="32">
        <v>0</v>
      </c>
      <c r="AB88" s="32">
        <v>0</v>
      </c>
      <c r="AC88" s="32" t="s">
        <v>540</v>
      </c>
      <c r="AD88" s="32"/>
      <c r="AE88" s="32">
        <v>0</v>
      </c>
    </row>
    <row r="89" spans="1:31" x14ac:dyDescent="0.25">
      <c r="A89">
        <v>1787</v>
      </c>
      <c r="B89" t="s">
        <v>531</v>
      </c>
      <c r="C89" t="s">
        <v>68</v>
      </c>
      <c r="D89" s="35">
        <v>114240</v>
      </c>
      <c r="E89">
        <v>1246259553</v>
      </c>
      <c r="F89" s="328">
        <v>46127</v>
      </c>
      <c r="H89" t="s">
        <v>28</v>
      </c>
      <c r="I89" t="s">
        <v>29</v>
      </c>
      <c r="J89">
        <v>10493</v>
      </c>
      <c r="K89" s="328">
        <v>46037</v>
      </c>
      <c r="L89">
        <v>1010100</v>
      </c>
      <c r="M89" t="s">
        <v>35</v>
      </c>
      <c r="N89">
        <v>-15</v>
      </c>
      <c r="O89" s="32">
        <v>0</v>
      </c>
      <c r="P89" s="32">
        <v>0</v>
      </c>
      <c r="Q89" s="32">
        <v>114240</v>
      </c>
      <c r="R89" s="32">
        <v>0</v>
      </c>
      <c r="S89" s="32">
        <v>0</v>
      </c>
      <c r="T89" s="32">
        <v>0</v>
      </c>
      <c r="U89" s="32">
        <v>0</v>
      </c>
      <c r="V89" s="32">
        <v>0</v>
      </c>
      <c r="W89" s="32">
        <v>0</v>
      </c>
      <c r="X89" s="32">
        <v>0</v>
      </c>
      <c r="Y89" s="32">
        <v>0</v>
      </c>
      <c r="Z89" s="32">
        <v>0</v>
      </c>
      <c r="AA89" s="32">
        <v>0</v>
      </c>
      <c r="AB89" s="32">
        <v>0</v>
      </c>
      <c r="AC89" s="32" t="s">
        <v>540</v>
      </c>
      <c r="AD89" s="32"/>
      <c r="AE89" s="32">
        <v>0</v>
      </c>
    </row>
    <row r="90" spans="1:31" x14ac:dyDescent="0.25">
      <c r="A90">
        <v>1787</v>
      </c>
      <c r="B90" t="s">
        <v>531</v>
      </c>
      <c r="C90" t="s">
        <v>68</v>
      </c>
      <c r="D90" s="35">
        <v>115392</v>
      </c>
      <c r="E90">
        <v>1246265885</v>
      </c>
      <c r="F90" s="328">
        <v>46173</v>
      </c>
      <c r="H90" t="s">
        <v>28</v>
      </c>
      <c r="I90" t="s">
        <v>29</v>
      </c>
      <c r="J90">
        <v>10791</v>
      </c>
      <c r="K90" s="328">
        <v>46083</v>
      </c>
      <c r="L90">
        <v>1010100</v>
      </c>
      <c r="M90" t="s">
        <v>35</v>
      </c>
      <c r="N90">
        <v>-61</v>
      </c>
      <c r="O90" s="32">
        <v>0</v>
      </c>
      <c r="P90" s="32">
        <v>0</v>
      </c>
      <c r="Q90" s="32">
        <v>115392</v>
      </c>
      <c r="R90" s="32">
        <v>0</v>
      </c>
      <c r="S90" s="32">
        <v>0</v>
      </c>
      <c r="T90" s="32">
        <v>0</v>
      </c>
      <c r="U90" s="32">
        <v>0</v>
      </c>
      <c r="V90" s="32">
        <v>0</v>
      </c>
      <c r="W90" s="32">
        <v>0</v>
      </c>
      <c r="X90" s="32">
        <v>0</v>
      </c>
      <c r="Y90" s="32">
        <v>0</v>
      </c>
      <c r="Z90" s="32">
        <v>0</v>
      </c>
      <c r="AA90" s="32">
        <v>0</v>
      </c>
      <c r="AB90" s="32">
        <v>0</v>
      </c>
      <c r="AC90" s="32" t="s">
        <v>540</v>
      </c>
      <c r="AD90" s="32"/>
      <c r="AE90" s="32">
        <v>0</v>
      </c>
    </row>
    <row r="91" spans="1:31" x14ac:dyDescent="0.25">
      <c r="A91">
        <v>1787</v>
      </c>
      <c r="B91" t="s">
        <v>531</v>
      </c>
      <c r="C91" t="s">
        <v>68</v>
      </c>
      <c r="D91" s="35">
        <v>115046.39999999999</v>
      </c>
      <c r="E91">
        <v>1246267207</v>
      </c>
      <c r="F91" s="328">
        <v>46181</v>
      </c>
      <c r="H91" t="s">
        <v>28</v>
      </c>
      <c r="I91" t="s">
        <v>29</v>
      </c>
      <c r="J91">
        <v>10856</v>
      </c>
      <c r="K91" s="328">
        <v>46091</v>
      </c>
      <c r="L91">
        <v>1010100</v>
      </c>
      <c r="M91" t="s">
        <v>35</v>
      </c>
      <c r="N91">
        <v>-69</v>
      </c>
      <c r="O91" s="32">
        <v>0</v>
      </c>
      <c r="P91" s="32">
        <v>0</v>
      </c>
      <c r="Q91" s="32">
        <v>115046.39999999999</v>
      </c>
      <c r="R91" s="32">
        <v>0</v>
      </c>
      <c r="S91" s="32">
        <v>0</v>
      </c>
      <c r="T91" s="32">
        <v>0</v>
      </c>
      <c r="U91" s="32">
        <v>0</v>
      </c>
      <c r="V91" s="32">
        <v>0</v>
      </c>
      <c r="W91" s="32">
        <v>0</v>
      </c>
      <c r="X91" s="32">
        <v>0</v>
      </c>
      <c r="Y91" s="32">
        <v>0</v>
      </c>
      <c r="Z91" s="32">
        <v>0</v>
      </c>
      <c r="AA91" s="32">
        <v>0</v>
      </c>
      <c r="AB91" s="32">
        <v>0</v>
      </c>
      <c r="AC91" s="32" t="s">
        <v>540</v>
      </c>
      <c r="AD91" s="32"/>
      <c r="AE91" s="32">
        <v>0</v>
      </c>
    </row>
    <row r="92" spans="1:31" x14ac:dyDescent="0.25">
      <c r="A92">
        <v>1787</v>
      </c>
      <c r="B92" t="s">
        <v>531</v>
      </c>
      <c r="C92" t="s">
        <v>68</v>
      </c>
      <c r="D92" s="35">
        <v>114201.60000000001</v>
      </c>
      <c r="E92">
        <v>1246262790</v>
      </c>
      <c r="F92" s="328">
        <v>46152</v>
      </c>
      <c r="H92" t="s">
        <v>28</v>
      </c>
      <c r="I92" t="s">
        <v>29</v>
      </c>
      <c r="J92">
        <v>10666</v>
      </c>
      <c r="K92" s="328">
        <v>46062</v>
      </c>
      <c r="L92">
        <v>1010100</v>
      </c>
      <c r="M92" t="s">
        <v>35</v>
      </c>
      <c r="N92">
        <v>-40</v>
      </c>
      <c r="O92" s="32">
        <v>0</v>
      </c>
      <c r="P92" s="32">
        <v>0</v>
      </c>
      <c r="Q92" s="32">
        <v>114201.60000000001</v>
      </c>
      <c r="R92" s="32">
        <v>0</v>
      </c>
      <c r="S92" s="32">
        <v>0</v>
      </c>
      <c r="T92" s="32">
        <v>0</v>
      </c>
      <c r="U92" s="32">
        <v>0</v>
      </c>
      <c r="V92" s="32">
        <v>0</v>
      </c>
      <c r="W92" s="32">
        <v>0</v>
      </c>
      <c r="X92" s="32">
        <v>0</v>
      </c>
      <c r="Y92" s="32">
        <v>0</v>
      </c>
      <c r="Z92" s="32">
        <v>0</v>
      </c>
      <c r="AA92" s="32">
        <v>0</v>
      </c>
      <c r="AB92" s="32">
        <v>0</v>
      </c>
      <c r="AC92" s="32" t="s">
        <v>540</v>
      </c>
      <c r="AD92" s="32"/>
      <c r="AE92" s="32">
        <v>0</v>
      </c>
    </row>
    <row r="93" spans="1:31" x14ac:dyDescent="0.25">
      <c r="A93">
        <v>1787</v>
      </c>
      <c r="B93" t="s">
        <v>531</v>
      </c>
      <c r="C93" t="s">
        <v>68</v>
      </c>
      <c r="D93" s="35">
        <v>108864</v>
      </c>
      <c r="E93">
        <v>1246263600</v>
      </c>
      <c r="F93" s="328">
        <v>46156</v>
      </c>
      <c r="H93" t="s">
        <v>28</v>
      </c>
      <c r="I93" t="s">
        <v>29</v>
      </c>
      <c r="J93">
        <v>10688</v>
      </c>
      <c r="K93" s="328">
        <v>46066</v>
      </c>
      <c r="L93">
        <v>1010100</v>
      </c>
      <c r="M93" t="s">
        <v>35</v>
      </c>
      <c r="N93">
        <v>-44</v>
      </c>
      <c r="O93" s="32">
        <v>0</v>
      </c>
      <c r="P93" s="32">
        <v>0</v>
      </c>
      <c r="Q93" s="32">
        <v>108864</v>
      </c>
      <c r="R93" s="32">
        <v>0</v>
      </c>
      <c r="S93" s="32">
        <v>0</v>
      </c>
      <c r="T93" s="32">
        <v>0</v>
      </c>
      <c r="U93" s="32">
        <v>0</v>
      </c>
      <c r="V93" s="32">
        <v>0</v>
      </c>
      <c r="W93" s="32">
        <v>0</v>
      </c>
      <c r="X93" s="32">
        <v>0</v>
      </c>
      <c r="Y93" s="32">
        <v>0</v>
      </c>
      <c r="Z93" s="32">
        <v>0</v>
      </c>
      <c r="AA93" s="32">
        <v>0</v>
      </c>
      <c r="AB93" s="32">
        <v>0</v>
      </c>
      <c r="AC93" s="32" t="s">
        <v>540</v>
      </c>
      <c r="AD93" s="32"/>
      <c r="AE93" s="32">
        <v>0</v>
      </c>
    </row>
    <row r="94" spans="1:31" x14ac:dyDescent="0.25">
      <c r="A94">
        <v>1787</v>
      </c>
      <c r="B94" t="s">
        <v>531</v>
      </c>
      <c r="C94" t="s">
        <v>68</v>
      </c>
      <c r="D94" s="35">
        <v>110937.60000000001</v>
      </c>
      <c r="E94">
        <v>1246268467</v>
      </c>
      <c r="F94" s="328">
        <v>46190</v>
      </c>
      <c r="H94" t="s">
        <v>28</v>
      </c>
      <c r="I94" t="s">
        <v>29</v>
      </c>
      <c r="J94">
        <v>10936</v>
      </c>
      <c r="K94" s="328">
        <v>46100</v>
      </c>
      <c r="L94">
        <v>1010100</v>
      </c>
      <c r="M94" t="s">
        <v>35</v>
      </c>
      <c r="N94">
        <v>-78</v>
      </c>
      <c r="O94" s="32">
        <v>0</v>
      </c>
      <c r="P94" s="32">
        <v>0</v>
      </c>
      <c r="Q94" s="32">
        <v>110937.60000000001</v>
      </c>
      <c r="R94" s="32">
        <v>0</v>
      </c>
      <c r="S94" s="32">
        <v>0</v>
      </c>
      <c r="T94" s="32">
        <v>0</v>
      </c>
      <c r="U94" s="32">
        <v>0</v>
      </c>
      <c r="V94" s="32">
        <v>0</v>
      </c>
      <c r="W94" s="32">
        <v>0</v>
      </c>
      <c r="X94" s="32">
        <v>0</v>
      </c>
      <c r="Y94" s="32">
        <v>0</v>
      </c>
      <c r="Z94" s="32">
        <v>0</v>
      </c>
      <c r="AA94" s="32">
        <v>0</v>
      </c>
      <c r="AB94" s="32">
        <v>0</v>
      </c>
      <c r="AC94" s="32" t="s">
        <v>540</v>
      </c>
      <c r="AD94" s="32"/>
      <c r="AE94" s="32">
        <v>0</v>
      </c>
    </row>
    <row r="95" spans="1:31" x14ac:dyDescent="0.25">
      <c r="A95">
        <v>1787</v>
      </c>
      <c r="B95" t="s">
        <v>531</v>
      </c>
      <c r="C95" t="s">
        <v>68</v>
      </c>
      <c r="D95" s="35">
        <v>110592</v>
      </c>
      <c r="E95">
        <v>1246269420</v>
      </c>
      <c r="F95" s="328">
        <v>46198</v>
      </c>
      <c r="H95" t="s">
        <v>28</v>
      </c>
      <c r="I95" t="s">
        <v>29</v>
      </c>
      <c r="J95">
        <v>10989</v>
      </c>
      <c r="K95" s="328">
        <v>46108</v>
      </c>
      <c r="L95">
        <v>1010100</v>
      </c>
      <c r="M95" t="s">
        <v>35</v>
      </c>
      <c r="N95">
        <v>-86</v>
      </c>
      <c r="O95" s="32">
        <v>0</v>
      </c>
      <c r="P95" s="32">
        <v>0</v>
      </c>
      <c r="Q95" s="32">
        <v>110592</v>
      </c>
      <c r="R95" s="32">
        <v>0</v>
      </c>
      <c r="S95" s="32">
        <v>0</v>
      </c>
      <c r="T95" s="32">
        <v>0</v>
      </c>
      <c r="U95" s="32">
        <v>0</v>
      </c>
      <c r="V95" s="32">
        <v>0</v>
      </c>
      <c r="W95" s="32">
        <v>0</v>
      </c>
      <c r="X95" s="32">
        <v>0</v>
      </c>
      <c r="Y95" s="32">
        <v>0</v>
      </c>
      <c r="Z95" s="32">
        <v>0</v>
      </c>
      <c r="AA95" s="32">
        <v>0</v>
      </c>
      <c r="AB95" s="32">
        <v>0</v>
      </c>
      <c r="AC95" s="32" t="s">
        <v>540</v>
      </c>
      <c r="AD95" s="32"/>
      <c r="AE95" s="32">
        <v>0</v>
      </c>
    </row>
    <row r="96" spans="1:31" x14ac:dyDescent="0.25">
      <c r="A96">
        <v>1787</v>
      </c>
      <c r="B96" t="s">
        <v>531</v>
      </c>
      <c r="C96" t="s">
        <v>68</v>
      </c>
      <c r="D96" s="35">
        <v>114393.60000000001</v>
      </c>
      <c r="E96">
        <v>1246263371</v>
      </c>
      <c r="F96" s="328">
        <v>46154</v>
      </c>
      <c r="H96" t="s">
        <v>28</v>
      </c>
      <c r="I96" t="s">
        <v>29</v>
      </c>
      <c r="J96">
        <v>10678</v>
      </c>
      <c r="K96" s="328">
        <v>46064</v>
      </c>
      <c r="L96">
        <v>1010100</v>
      </c>
      <c r="M96" t="s">
        <v>35</v>
      </c>
      <c r="N96">
        <v>-42</v>
      </c>
      <c r="O96" s="32">
        <v>0</v>
      </c>
      <c r="P96" s="32">
        <v>0</v>
      </c>
      <c r="Q96" s="32">
        <v>114393.60000000001</v>
      </c>
      <c r="R96" s="32">
        <v>0</v>
      </c>
      <c r="S96" s="32">
        <v>0</v>
      </c>
      <c r="T96" s="32">
        <v>0</v>
      </c>
      <c r="U96" s="32">
        <v>0</v>
      </c>
      <c r="V96" s="32">
        <v>0</v>
      </c>
      <c r="W96" s="32">
        <v>0</v>
      </c>
      <c r="X96" s="32">
        <v>0</v>
      </c>
      <c r="Y96" s="32">
        <v>0</v>
      </c>
      <c r="Z96" s="32">
        <v>0</v>
      </c>
      <c r="AA96" s="32">
        <v>0</v>
      </c>
      <c r="AB96" s="32">
        <v>0</v>
      </c>
      <c r="AC96" s="32" t="s">
        <v>540</v>
      </c>
      <c r="AD96" s="32"/>
      <c r="AE96" s="32">
        <v>0</v>
      </c>
    </row>
    <row r="97" spans="1:31" x14ac:dyDescent="0.25">
      <c r="A97">
        <v>1787</v>
      </c>
      <c r="B97" t="s">
        <v>531</v>
      </c>
      <c r="C97" t="s">
        <v>68</v>
      </c>
      <c r="D97" s="35">
        <v>115737.60000000001</v>
      </c>
      <c r="E97">
        <v>1246260793</v>
      </c>
      <c r="F97" s="328">
        <v>46136</v>
      </c>
      <c r="H97" t="s">
        <v>28</v>
      </c>
      <c r="I97" t="s">
        <v>29</v>
      </c>
      <c r="J97">
        <v>10567</v>
      </c>
      <c r="K97" s="328">
        <v>46045</v>
      </c>
      <c r="L97">
        <v>1010100</v>
      </c>
      <c r="M97" t="s">
        <v>35</v>
      </c>
      <c r="N97">
        <v>-24</v>
      </c>
      <c r="O97" s="32">
        <v>0</v>
      </c>
      <c r="P97" s="32">
        <v>0</v>
      </c>
      <c r="Q97" s="32">
        <v>115737.60000000001</v>
      </c>
      <c r="R97" s="32">
        <v>0</v>
      </c>
      <c r="S97" s="32">
        <v>0</v>
      </c>
      <c r="T97" s="32">
        <v>0</v>
      </c>
      <c r="U97" s="32">
        <v>0</v>
      </c>
      <c r="V97" s="32">
        <v>0</v>
      </c>
      <c r="W97" s="32">
        <v>0</v>
      </c>
      <c r="X97" s="32">
        <v>0</v>
      </c>
      <c r="Y97" s="32">
        <v>0</v>
      </c>
      <c r="Z97" s="32">
        <v>0</v>
      </c>
      <c r="AA97" s="32">
        <v>0</v>
      </c>
      <c r="AB97" s="32">
        <v>0</v>
      </c>
      <c r="AC97" s="32" t="s">
        <v>540</v>
      </c>
      <c r="AD97" s="32"/>
      <c r="AE97" s="32">
        <v>0</v>
      </c>
    </row>
    <row r="98" spans="1:31" x14ac:dyDescent="0.25">
      <c r="A98">
        <v>1787</v>
      </c>
      <c r="B98" t="s">
        <v>531</v>
      </c>
      <c r="C98" t="s">
        <v>68</v>
      </c>
      <c r="D98" s="35">
        <v>116006.39999999999</v>
      </c>
      <c r="E98">
        <v>1246267015</v>
      </c>
      <c r="F98" s="328">
        <v>46180</v>
      </c>
      <c r="H98" t="s">
        <v>28</v>
      </c>
      <c r="I98" t="s">
        <v>29</v>
      </c>
      <c r="J98">
        <v>10844</v>
      </c>
      <c r="K98" s="328">
        <v>46090</v>
      </c>
      <c r="L98">
        <v>1010100</v>
      </c>
      <c r="M98" t="s">
        <v>35</v>
      </c>
      <c r="N98">
        <v>-68</v>
      </c>
      <c r="O98" s="32">
        <v>0</v>
      </c>
      <c r="P98" s="32">
        <v>0</v>
      </c>
      <c r="Q98" s="32">
        <v>116006.39999999999</v>
      </c>
      <c r="R98" s="32">
        <v>0</v>
      </c>
      <c r="S98" s="32">
        <v>0</v>
      </c>
      <c r="T98" s="32">
        <v>0</v>
      </c>
      <c r="U98" s="32">
        <v>0</v>
      </c>
      <c r="V98" s="32">
        <v>0</v>
      </c>
      <c r="W98" s="32">
        <v>0</v>
      </c>
      <c r="X98" s="32">
        <v>0</v>
      </c>
      <c r="Y98" s="32">
        <v>0</v>
      </c>
      <c r="Z98" s="32">
        <v>0</v>
      </c>
      <c r="AA98" s="32">
        <v>0</v>
      </c>
      <c r="AB98" s="32">
        <v>0</v>
      </c>
      <c r="AC98" s="32" t="s">
        <v>540</v>
      </c>
      <c r="AD98" s="32"/>
      <c r="AE98" s="32">
        <v>0</v>
      </c>
    </row>
    <row r="99" spans="1:31" x14ac:dyDescent="0.25">
      <c r="A99">
        <v>1787</v>
      </c>
      <c r="B99" t="s">
        <v>531</v>
      </c>
      <c r="C99" t="s">
        <v>68</v>
      </c>
      <c r="D99" s="35">
        <v>107059.2</v>
      </c>
      <c r="E99">
        <v>1246262114</v>
      </c>
      <c r="F99" s="328">
        <v>46146</v>
      </c>
      <c r="H99" t="s">
        <v>28</v>
      </c>
      <c r="I99" t="s">
        <v>29</v>
      </c>
      <c r="J99">
        <v>10629</v>
      </c>
      <c r="K99" s="328">
        <v>46056</v>
      </c>
      <c r="L99">
        <v>1010100</v>
      </c>
      <c r="M99" t="s">
        <v>35</v>
      </c>
      <c r="N99">
        <v>-34</v>
      </c>
      <c r="O99" s="32">
        <v>0</v>
      </c>
      <c r="P99" s="32">
        <v>0</v>
      </c>
      <c r="Q99" s="32">
        <v>107059.2</v>
      </c>
      <c r="R99" s="32">
        <v>0</v>
      </c>
      <c r="S99" s="32">
        <v>0</v>
      </c>
      <c r="T99" s="32">
        <v>0</v>
      </c>
      <c r="U99" s="32">
        <v>0</v>
      </c>
      <c r="V99" s="32">
        <v>0</v>
      </c>
      <c r="W99" s="32">
        <v>0</v>
      </c>
      <c r="X99" s="32">
        <v>0</v>
      </c>
      <c r="Y99" s="32">
        <v>0</v>
      </c>
      <c r="Z99" s="32">
        <v>0</v>
      </c>
      <c r="AA99" s="32">
        <v>0</v>
      </c>
      <c r="AB99" s="32">
        <v>0</v>
      </c>
      <c r="AC99" s="32" t="s">
        <v>540</v>
      </c>
      <c r="AD99" s="32"/>
      <c r="AE99" s="32">
        <v>0</v>
      </c>
    </row>
    <row r="100" spans="1:31" x14ac:dyDescent="0.25">
      <c r="A100">
        <v>1787</v>
      </c>
      <c r="B100" t="s">
        <v>531</v>
      </c>
      <c r="C100" t="s">
        <v>68</v>
      </c>
      <c r="D100" s="35">
        <v>112204.8</v>
      </c>
      <c r="E100">
        <v>1246269591</v>
      </c>
      <c r="F100" s="328">
        <v>46201</v>
      </c>
      <c r="H100" t="s">
        <v>28</v>
      </c>
      <c r="I100" t="s">
        <v>29</v>
      </c>
      <c r="J100">
        <v>11002</v>
      </c>
      <c r="K100" s="328">
        <v>46111</v>
      </c>
      <c r="L100">
        <v>1010100</v>
      </c>
      <c r="M100" t="s">
        <v>35</v>
      </c>
      <c r="N100">
        <v>-89</v>
      </c>
      <c r="O100" s="32">
        <v>0</v>
      </c>
      <c r="P100" s="32">
        <v>0</v>
      </c>
      <c r="Q100" s="32">
        <v>112204.8</v>
      </c>
      <c r="R100" s="32">
        <v>0</v>
      </c>
      <c r="S100" s="32">
        <v>0</v>
      </c>
      <c r="T100" s="32">
        <v>0</v>
      </c>
      <c r="U100" s="32">
        <v>0</v>
      </c>
      <c r="V100" s="32">
        <v>0</v>
      </c>
      <c r="W100" s="32">
        <v>0</v>
      </c>
      <c r="X100" s="32">
        <v>0</v>
      </c>
      <c r="Y100" s="32">
        <v>0</v>
      </c>
      <c r="Z100" s="32">
        <v>0</v>
      </c>
      <c r="AA100" s="32">
        <v>0</v>
      </c>
      <c r="AB100" s="32">
        <v>0</v>
      </c>
      <c r="AC100" s="32" t="s">
        <v>540</v>
      </c>
      <c r="AD100" s="32"/>
      <c r="AE100" s="32">
        <v>0</v>
      </c>
    </row>
    <row r="101" spans="1:31" x14ac:dyDescent="0.25">
      <c r="A101">
        <v>1787</v>
      </c>
      <c r="B101" t="s">
        <v>531</v>
      </c>
      <c r="C101" t="s">
        <v>68</v>
      </c>
      <c r="D101" s="35">
        <v>112588.8</v>
      </c>
      <c r="E101">
        <v>1246263994</v>
      </c>
      <c r="F101" s="328">
        <v>46161</v>
      </c>
      <c r="H101" t="s">
        <v>28</v>
      </c>
      <c r="I101" t="s">
        <v>29</v>
      </c>
      <c r="J101">
        <v>10714</v>
      </c>
      <c r="K101" s="328">
        <v>46071</v>
      </c>
      <c r="L101">
        <v>1010100</v>
      </c>
      <c r="M101" t="s">
        <v>35</v>
      </c>
      <c r="N101">
        <v>-49</v>
      </c>
      <c r="O101" s="32">
        <v>0</v>
      </c>
      <c r="P101" s="32">
        <v>0</v>
      </c>
      <c r="Q101" s="32">
        <v>112588.8</v>
      </c>
      <c r="R101" s="32">
        <v>0</v>
      </c>
      <c r="S101" s="32">
        <v>0</v>
      </c>
      <c r="T101" s="32">
        <v>0</v>
      </c>
      <c r="U101" s="32">
        <v>0</v>
      </c>
      <c r="V101" s="32">
        <v>0</v>
      </c>
      <c r="W101" s="32">
        <v>0</v>
      </c>
      <c r="X101" s="32">
        <v>0</v>
      </c>
      <c r="Y101" s="32">
        <v>0</v>
      </c>
      <c r="Z101" s="32">
        <v>0</v>
      </c>
      <c r="AA101" s="32">
        <v>0</v>
      </c>
      <c r="AB101" s="32">
        <v>0</v>
      </c>
      <c r="AC101" s="32" t="s">
        <v>540</v>
      </c>
      <c r="AD101" s="32"/>
      <c r="AE101" s="32">
        <v>0</v>
      </c>
    </row>
    <row r="102" spans="1:31" x14ac:dyDescent="0.25">
      <c r="A102">
        <v>1787</v>
      </c>
      <c r="B102" t="s">
        <v>531</v>
      </c>
      <c r="C102" t="s">
        <v>68</v>
      </c>
      <c r="D102" s="35">
        <v>115315.2</v>
      </c>
      <c r="E102">
        <v>1246265189</v>
      </c>
      <c r="F102" s="328">
        <v>46168</v>
      </c>
      <c r="H102" t="s">
        <v>28</v>
      </c>
      <c r="I102" t="s">
        <v>29</v>
      </c>
      <c r="J102">
        <v>10768</v>
      </c>
      <c r="K102" s="328">
        <v>46078</v>
      </c>
      <c r="L102">
        <v>1010100</v>
      </c>
      <c r="M102" t="s">
        <v>35</v>
      </c>
      <c r="N102">
        <v>-56</v>
      </c>
      <c r="O102" s="32">
        <v>0</v>
      </c>
      <c r="P102" s="32">
        <v>0</v>
      </c>
      <c r="Q102" s="32">
        <v>115315.2</v>
      </c>
      <c r="R102" s="32">
        <v>0</v>
      </c>
      <c r="S102" s="32">
        <v>0</v>
      </c>
      <c r="T102" s="32">
        <v>0</v>
      </c>
      <c r="U102" s="32">
        <v>0</v>
      </c>
      <c r="V102" s="32">
        <v>0</v>
      </c>
      <c r="W102" s="32">
        <v>0</v>
      </c>
      <c r="X102" s="32">
        <v>0</v>
      </c>
      <c r="Y102" s="32">
        <v>0</v>
      </c>
      <c r="Z102" s="32">
        <v>0</v>
      </c>
      <c r="AA102" s="32">
        <v>0</v>
      </c>
      <c r="AB102" s="32">
        <v>0</v>
      </c>
      <c r="AC102" s="32" t="s">
        <v>540</v>
      </c>
      <c r="AD102" s="32"/>
      <c r="AE102" s="32">
        <v>0</v>
      </c>
    </row>
    <row r="103" spans="1:31" x14ac:dyDescent="0.25">
      <c r="A103">
        <v>1787</v>
      </c>
      <c r="B103" t="s">
        <v>531</v>
      </c>
      <c r="C103" t="s">
        <v>68</v>
      </c>
      <c r="D103" s="35">
        <v>115468.8</v>
      </c>
      <c r="E103">
        <v>1246266348</v>
      </c>
      <c r="F103" s="328">
        <v>46175</v>
      </c>
      <c r="H103" t="s">
        <v>28</v>
      </c>
      <c r="I103" t="s">
        <v>29</v>
      </c>
      <c r="J103">
        <v>10811</v>
      </c>
      <c r="K103" s="328">
        <v>46085</v>
      </c>
      <c r="L103">
        <v>1010100</v>
      </c>
      <c r="M103" t="s">
        <v>35</v>
      </c>
      <c r="N103">
        <v>-63</v>
      </c>
      <c r="O103" s="32">
        <v>0</v>
      </c>
      <c r="P103" s="32">
        <v>0</v>
      </c>
      <c r="Q103" s="32">
        <v>115468.8</v>
      </c>
      <c r="R103" s="32">
        <v>0</v>
      </c>
      <c r="S103" s="32">
        <v>0</v>
      </c>
      <c r="T103" s="32">
        <v>0</v>
      </c>
      <c r="U103" s="32">
        <v>0</v>
      </c>
      <c r="V103" s="32">
        <v>0</v>
      </c>
      <c r="W103" s="32">
        <v>0</v>
      </c>
      <c r="X103" s="32">
        <v>0</v>
      </c>
      <c r="Y103" s="32">
        <v>0</v>
      </c>
      <c r="Z103" s="32">
        <v>0</v>
      </c>
      <c r="AA103" s="32">
        <v>0</v>
      </c>
      <c r="AB103" s="32">
        <v>0</v>
      </c>
      <c r="AC103" s="32" t="s">
        <v>540</v>
      </c>
      <c r="AD103" s="32"/>
      <c r="AE103" s="32">
        <v>0</v>
      </c>
    </row>
    <row r="104" spans="1:31" x14ac:dyDescent="0.25">
      <c r="A104">
        <v>1787</v>
      </c>
      <c r="B104" t="s">
        <v>531</v>
      </c>
      <c r="C104" t="s">
        <v>68</v>
      </c>
      <c r="D104" s="35">
        <v>114086.39999999999</v>
      </c>
      <c r="E104">
        <v>1246267743</v>
      </c>
      <c r="F104" s="328">
        <v>46184</v>
      </c>
      <c r="H104" t="s">
        <v>28</v>
      </c>
      <c r="I104" t="s">
        <v>29</v>
      </c>
      <c r="J104">
        <v>10882</v>
      </c>
      <c r="K104" s="328">
        <v>46094</v>
      </c>
      <c r="L104">
        <v>1010100</v>
      </c>
      <c r="M104" t="s">
        <v>35</v>
      </c>
      <c r="N104">
        <v>-72</v>
      </c>
      <c r="O104" s="32">
        <v>0</v>
      </c>
      <c r="P104" s="32">
        <v>0</v>
      </c>
      <c r="Q104" s="32">
        <v>114086.39999999999</v>
      </c>
      <c r="R104" s="32">
        <v>0</v>
      </c>
      <c r="S104" s="32">
        <v>0</v>
      </c>
      <c r="T104" s="32">
        <v>0</v>
      </c>
      <c r="U104" s="32">
        <v>0</v>
      </c>
      <c r="V104" s="32">
        <v>0</v>
      </c>
      <c r="W104" s="32">
        <v>0</v>
      </c>
      <c r="X104" s="32">
        <v>0</v>
      </c>
      <c r="Y104" s="32">
        <v>0</v>
      </c>
      <c r="Z104" s="32">
        <v>0</v>
      </c>
      <c r="AA104" s="32">
        <v>0</v>
      </c>
      <c r="AB104" s="32">
        <v>0</v>
      </c>
      <c r="AC104" s="32" t="s">
        <v>540</v>
      </c>
      <c r="AD104" s="32"/>
      <c r="AE104" s="32">
        <v>0</v>
      </c>
    </row>
    <row r="105" spans="1:31" x14ac:dyDescent="0.25">
      <c r="A105">
        <v>1788</v>
      </c>
      <c r="B105" t="s">
        <v>531</v>
      </c>
      <c r="C105" t="s">
        <v>70</v>
      </c>
      <c r="D105" s="35">
        <v>116928</v>
      </c>
      <c r="E105">
        <v>1246267567</v>
      </c>
      <c r="F105" s="328">
        <v>46183</v>
      </c>
      <c r="H105" t="s">
        <v>28</v>
      </c>
      <c r="I105" t="s">
        <v>29</v>
      </c>
      <c r="J105">
        <v>10870</v>
      </c>
      <c r="K105" s="328">
        <v>46093</v>
      </c>
      <c r="L105">
        <v>1010100</v>
      </c>
      <c r="M105" t="s">
        <v>35</v>
      </c>
      <c r="N105">
        <v>-71</v>
      </c>
      <c r="O105" s="32">
        <v>0</v>
      </c>
      <c r="P105" s="32">
        <v>0</v>
      </c>
      <c r="Q105" s="32">
        <v>116928</v>
      </c>
      <c r="R105" s="32">
        <v>0</v>
      </c>
      <c r="S105" s="32">
        <v>0</v>
      </c>
      <c r="T105" s="32">
        <v>0</v>
      </c>
      <c r="U105" s="32">
        <v>0</v>
      </c>
      <c r="V105" s="32">
        <v>0</v>
      </c>
      <c r="W105" s="32">
        <v>0</v>
      </c>
      <c r="X105" s="32">
        <v>0</v>
      </c>
      <c r="Y105" s="32">
        <v>0</v>
      </c>
      <c r="Z105" s="32">
        <v>0</v>
      </c>
      <c r="AA105" s="32">
        <v>0</v>
      </c>
      <c r="AB105" s="32">
        <v>0</v>
      </c>
      <c r="AC105" s="32" t="s">
        <v>540</v>
      </c>
      <c r="AD105" s="32"/>
      <c r="AE105" s="32">
        <v>0</v>
      </c>
    </row>
    <row r="106" spans="1:31" x14ac:dyDescent="0.25">
      <c r="A106">
        <v>1788</v>
      </c>
      <c r="B106" t="s">
        <v>531</v>
      </c>
      <c r="C106" t="s">
        <v>70</v>
      </c>
      <c r="D106" s="35">
        <v>116851.2</v>
      </c>
      <c r="E106">
        <v>1246262366</v>
      </c>
      <c r="F106" s="328">
        <v>46148</v>
      </c>
      <c r="H106" t="s">
        <v>28</v>
      </c>
      <c r="I106" t="s">
        <v>29</v>
      </c>
      <c r="J106">
        <v>10645</v>
      </c>
      <c r="K106" s="328">
        <v>46058</v>
      </c>
      <c r="L106">
        <v>1010100</v>
      </c>
      <c r="M106" t="s">
        <v>35</v>
      </c>
      <c r="N106">
        <v>-36</v>
      </c>
      <c r="O106" s="32">
        <v>0</v>
      </c>
      <c r="P106" s="32">
        <v>0</v>
      </c>
      <c r="Q106" s="32">
        <v>116851.2</v>
      </c>
      <c r="R106" s="32">
        <v>0</v>
      </c>
      <c r="S106" s="32">
        <v>0</v>
      </c>
      <c r="T106" s="32">
        <v>0</v>
      </c>
      <c r="U106" s="32">
        <v>0</v>
      </c>
      <c r="V106" s="32">
        <v>0</v>
      </c>
      <c r="W106" s="32">
        <v>0</v>
      </c>
      <c r="X106" s="32">
        <v>0</v>
      </c>
      <c r="Y106" s="32">
        <v>0</v>
      </c>
      <c r="Z106" s="32">
        <v>0</v>
      </c>
      <c r="AA106" s="32">
        <v>0</v>
      </c>
      <c r="AB106" s="32">
        <v>0</v>
      </c>
      <c r="AC106" s="32" t="s">
        <v>540</v>
      </c>
      <c r="AD106" s="32"/>
      <c r="AE106" s="32">
        <v>0</v>
      </c>
    </row>
    <row r="107" spans="1:31" x14ac:dyDescent="0.25">
      <c r="A107">
        <v>1788</v>
      </c>
      <c r="B107" t="s">
        <v>531</v>
      </c>
      <c r="C107" t="s">
        <v>70</v>
      </c>
      <c r="D107" s="35">
        <v>116275.2</v>
      </c>
      <c r="E107">
        <v>1246260461</v>
      </c>
      <c r="F107" s="328">
        <v>46134</v>
      </c>
      <c r="H107" t="s">
        <v>28</v>
      </c>
      <c r="I107" t="s">
        <v>29</v>
      </c>
      <c r="J107">
        <v>10550</v>
      </c>
      <c r="K107" s="328">
        <v>46044</v>
      </c>
      <c r="L107">
        <v>1010100</v>
      </c>
      <c r="M107" t="s">
        <v>35</v>
      </c>
      <c r="N107">
        <v>-22</v>
      </c>
      <c r="O107" s="32">
        <v>0</v>
      </c>
      <c r="P107" s="32">
        <v>0</v>
      </c>
      <c r="Q107" s="32">
        <v>116275.2</v>
      </c>
      <c r="R107" s="32">
        <v>0</v>
      </c>
      <c r="S107" s="32">
        <v>0</v>
      </c>
      <c r="T107" s="32">
        <v>0</v>
      </c>
      <c r="U107" s="32">
        <v>0</v>
      </c>
      <c r="V107" s="32">
        <v>0</v>
      </c>
      <c r="W107" s="32">
        <v>0</v>
      </c>
      <c r="X107" s="32">
        <v>0</v>
      </c>
      <c r="Y107" s="32">
        <v>0</v>
      </c>
      <c r="Z107" s="32">
        <v>0</v>
      </c>
      <c r="AA107" s="32">
        <v>0</v>
      </c>
      <c r="AB107" s="32">
        <v>0</v>
      </c>
      <c r="AC107" s="32" t="s">
        <v>540</v>
      </c>
      <c r="AD107" s="32"/>
      <c r="AE107" s="32">
        <v>0</v>
      </c>
    </row>
    <row r="108" spans="1:31" x14ac:dyDescent="0.25">
      <c r="A108">
        <v>1789</v>
      </c>
      <c r="B108" t="s">
        <v>531</v>
      </c>
      <c r="C108" t="s">
        <v>72</v>
      </c>
      <c r="D108" s="35">
        <v>116044.8</v>
      </c>
      <c r="E108">
        <v>1246267816</v>
      </c>
      <c r="F108" s="328">
        <v>46187</v>
      </c>
      <c r="H108" t="s">
        <v>28</v>
      </c>
      <c r="I108" t="s">
        <v>29</v>
      </c>
      <c r="J108">
        <v>10889</v>
      </c>
      <c r="K108" s="328">
        <v>46097</v>
      </c>
      <c r="L108">
        <v>1010100</v>
      </c>
      <c r="M108" t="s">
        <v>35</v>
      </c>
      <c r="N108">
        <v>-75</v>
      </c>
      <c r="O108" s="32">
        <v>0</v>
      </c>
      <c r="P108" s="32">
        <v>0</v>
      </c>
      <c r="Q108" s="32">
        <v>116044.8</v>
      </c>
      <c r="R108" s="32">
        <v>0</v>
      </c>
      <c r="S108" s="32">
        <v>0</v>
      </c>
      <c r="T108" s="32">
        <v>0</v>
      </c>
      <c r="U108" s="32">
        <v>0</v>
      </c>
      <c r="V108" s="32">
        <v>0</v>
      </c>
      <c r="W108" s="32">
        <v>0</v>
      </c>
      <c r="X108" s="32">
        <v>0</v>
      </c>
      <c r="Y108" s="32">
        <v>0</v>
      </c>
      <c r="Z108" s="32">
        <v>0</v>
      </c>
      <c r="AA108" s="32">
        <v>0</v>
      </c>
      <c r="AB108" s="32">
        <v>0</v>
      </c>
      <c r="AC108" s="32" t="s">
        <v>540</v>
      </c>
      <c r="AD108" s="32"/>
      <c r="AE108" s="32">
        <v>0</v>
      </c>
    </row>
    <row r="109" spans="1:31" x14ac:dyDescent="0.25">
      <c r="A109">
        <v>1789</v>
      </c>
      <c r="B109" t="s">
        <v>531</v>
      </c>
      <c r="C109" t="s">
        <v>72</v>
      </c>
      <c r="D109" s="35">
        <v>115507.2</v>
      </c>
      <c r="E109">
        <v>1246269759</v>
      </c>
      <c r="F109" s="328">
        <v>46202</v>
      </c>
      <c r="H109" t="s">
        <v>28</v>
      </c>
      <c r="I109" t="s">
        <v>29</v>
      </c>
      <c r="J109">
        <v>11017</v>
      </c>
      <c r="K109" s="328">
        <v>46112</v>
      </c>
      <c r="L109">
        <v>1010100</v>
      </c>
      <c r="M109" t="s">
        <v>35</v>
      </c>
      <c r="N109">
        <v>-90</v>
      </c>
      <c r="O109" s="32">
        <v>0</v>
      </c>
      <c r="P109" s="32">
        <v>0</v>
      </c>
      <c r="Q109" s="32">
        <v>115507.2</v>
      </c>
      <c r="R109" s="32">
        <v>0</v>
      </c>
      <c r="S109" s="32">
        <v>0</v>
      </c>
      <c r="T109" s="32">
        <v>0</v>
      </c>
      <c r="U109" s="32">
        <v>0</v>
      </c>
      <c r="V109" s="32">
        <v>0</v>
      </c>
      <c r="W109" s="32">
        <v>0</v>
      </c>
      <c r="X109" s="32">
        <v>0</v>
      </c>
      <c r="Y109" s="32">
        <v>0</v>
      </c>
      <c r="Z109" s="32">
        <v>0</v>
      </c>
      <c r="AA109" s="32">
        <v>0</v>
      </c>
      <c r="AB109" s="32">
        <v>0</v>
      </c>
      <c r="AC109" s="32" t="s">
        <v>540</v>
      </c>
      <c r="AD109" s="32"/>
      <c r="AE109" s="32">
        <v>0</v>
      </c>
    </row>
    <row r="110" spans="1:31" x14ac:dyDescent="0.25">
      <c r="A110">
        <v>1789</v>
      </c>
      <c r="B110" t="s">
        <v>531</v>
      </c>
      <c r="C110" t="s">
        <v>72</v>
      </c>
      <c r="D110" s="35">
        <v>114470.39999999999</v>
      </c>
      <c r="E110">
        <v>1246268819</v>
      </c>
      <c r="F110" s="328">
        <v>46195</v>
      </c>
      <c r="H110" t="s">
        <v>28</v>
      </c>
      <c r="I110" t="s">
        <v>29</v>
      </c>
      <c r="J110">
        <v>10967</v>
      </c>
      <c r="K110" s="328">
        <v>46105</v>
      </c>
      <c r="L110">
        <v>1010100</v>
      </c>
      <c r="M110" t="s">
        <v>35</v>
      </c>
      <c r="N110">
        <v>-83</v>
      </c>
      <c r="O110" s="32">
        <v>0</v>
      </c>
      <c r="P110" s="32">
        <v>0</v>
      </c>
      <c r="Q110" s="32">
        <v>114470.39999999999</v>
      </c>
      <c r="R110" s="32">
        <v>0</v>
      </c>
      <c r="S110" s="32">
        <v>0</v>
      </c>
      <c r="T110" s="32">
        <v>0</v>
      </c>
      <c r="U110" s="32">
        <v>0</v>
      </c>
      <c r="V110" s="32">
        <v>0</v>
      </c>
      <c r="W110" s="32">
        <v>0</v>
      </c>
      <c r="X110" s="32">
        <v>0</v>
      </c>
      <c r="Y110" s="32">
        <v>0</v>
      </c>
      <c r="Z110" s="32">
        <v>0</v>
      </c>
      <c r="AA110" s="32">
        <v>0</v>
      </c>
      <c r="AB110" s="32">
        <v>0</v>
      </c>
      <c r="AC110" s="32" t="s">
        <v>540</v>
      </c>
      <c r="AD110" s="32"/>
      <c r="AE110" s="32">
        <v>0</v>
      </c>
    </row>
    <row r="111" spans="1:31" x14ac:dyDescent="0.25">
      <c r="A111">
        <v>1789</v>
      </c>
      <c r="B111" t="s">
        <v>531</v>
      </c>
      <c r="C111" t="s">
        <v>72</v>
      </c>
      <c r="D111" s="35">
        <v>115123.2</v>
      </c>
      <c r="E111">
        <v>1246269430</v>
      </c>
      <c r="F111" s="328">
        <v>46198</v>
      </c>
      <c r="H111" t="s">
        <v>28</v>
      </c>
      <c r="I111" t="s">
        <v>29</v>
      </c>
      <c r="J111">
        <v>10992</v>
      </c>
      <c r="K111" s="328">
        <v>46108</v>
      </c>
      <c r="L111">
        <v>1010100</v>
      </c>
      <c r="M111" t="s">
        <v>35</v>
      </c>
      <c r="N111">
        <v>-86</v>
      </c>
      <c r="O111" s="32">
        <v>0</v>
      </c>
      <c r="P111" s="32">
        <v>0</v>
      </c>
      <c r="Q111" s="32">
        <v>115123.2</v>
      </c>
      <c r="R111" s="32">
        <v>0</v>
      </c>
      <c r="S111" s="32">
        <v>0</v>
      </c>
      <c r="T111" s="32">
        <v>0</v>
      </c>
      <c r="U111" s="32">
        <v>0</v>
      </c>
      <c r="V111" s="32">
        <v>0</v>
      </c>
      <c r="W111" s="32">
        <v>0</v>
      </c>
      <c r="X111" s="32">
        <v>0</v>
      </c>
      <c r="Y111" s="32">
        <v>0</v>
      </c>
      <c r="Z111" s="32">
        <v>0</v>
      </c>
      <c r="AA111" s="32">
        <v>0</v>
      </c>
      <c r="AB111" s="32">
        <v>0</v>
      </c>
      <c r="AC111" s="32" t="s">
        <v>540</v>
      </c>
      <c r="AD111" s="32"/>
      <c r="AE111" s="32">
        <v>0</v>
      </c>
    </row>
    <row r="112" spans="1:31" x14ac:dyDescent="0.25">
      <c r="A112">
        <v>1789</v>
      </c>
      <c r="B112" t="s">
        <v>531</v>
      </c>
      <c r="C112" t="s">
        <v>72</v>
      </c>
      <c r="D112" s="35">
        <v>116044.8</v>
      </c>
      <c r="E112">
        <v>1246268551</v>
      </c>
      <c r="F112" s="328">
        <v>46191</v>
      </c>
      <c r="H112" t="s">
        <v>28</v>
      </c>
      <c r="I112" t="s">
        <v>29</v>
      </c>
      <c r="J112">
        <v>10945</v>
      </c>
      <c r="K112" s="328">
        <v>46101</v>
      </c>
      <c r="L112">
        <v>1010100</v>
      </c>
      <c r="M112" t="s">
        <v>35</v>
      </c>
      <c r="N112">
        <v>-79</v>
      </c>
      <c r="O112" s="32">
        <v>0</v>
      </c>
      <c r="P112" s="32">
        <v>0</v>
      </c>
      <c r="Q112" s="32">
        <v>116044.8</v>
      </c>
      <c r="R112" s="32">
        <v>0</v>
      </c>
      <c r="S112" s="32">
        <v>0</v>
      </c>
      <c r="T112" s="32">
        <v>0</v>
      </c>
      <c r="U112" s="32">
        <v>0</v>
      </c>
      <c r="V112" s="32">
        <v>0</v>
      </c>
      <c r="W112" s="32">
        <v>0</v>
      </c>
      <c r="X112" s="32">
        <v>0</v>
      </c>
      <c r="Y112" s="32">
        <v>0</v>
      </c>
      <c r="Z112" s="32">
        <v>0</v>
      </c>
      <c r="AA112" s="32">
        <v>0</v>
      </c>
      <c r="AB112" s="32">
        <v>0</v>
      </c>
      <c r="AC112" s="32" t="s">
        <v>540</v>
      </c>
      <c r="AD112" s="32"/>
      <c r="AE112" s="32">
        <v>0</v>
      </c>
    </row>
    <row r="113" spans="1:31" x14ac:dyDescent="0.25">
      <c r="A113">
        <v>1789</v>
      </c>
      <c r="B113" t="s">
        <v>531</v>
      </c>
      <c r="C113" t="s">
        <v>72</v>
      </c>
      <c r="D113" s="35">
        <v>115353.60000000001</v>
      </c>
      <c r="E113">
        <v>1246266246</v>
      </c>
      <c r="F113" s="328">
        <v>46174</v>
      </c>
      <c r="H113" t="s">
        <v>28</v>
      </c>
      <c r="I113" t="s">
        <v>29</v>
      </c>
      <c r="J113">
        <v>10804</v>
      </c>
      <c r="K113" s="328">
        <v>46084</v>
      </c>
      <c r="L113">
        <v>1010100</v>
      </c>
      <c r="M113" t="s">
        <v>35</v>
      </c>
      <c r="N113">
        <v>-62</v>
      </c>
      <c r="O113" s="32">
        <v>0</v>
      </c>
      <c r="P113" s="32">
        <v>0</v>
      </c>
      <c r="Q113" s="32">
        <v>115353.60000000001</v>
      </c>
      <c r="R113" s="32">
        <v>0</v>
      </c>
      <c r="S113" s="32">
        <v>0</v>
      </c>
      <c r="T113" s="32">
        <v>0</v>
      </c>
      <c r="U113" s="32">
        <v>0</v>
      </c>
      <c r="V113" s="32">
        <v>0</v>
      </c>
      <c r="W113" s="32">
        <v>0</v>
      </c>
      <c r="X113" s="32">
        <v>0</v>
      </c>
      <c r="Y113" s="32">
        <v>0</v>
      </c>
      <c r="Z113" s="32">
        <v>0</v>
      </c>
      <c r="AA113" s="32">
        <v>0</v>
      </c>
      <c r="AB113" s="32">
        <v>0</v>
      </c>
      <c r="AC113" s="32" t="s">
        <v>540</v>
      </c>
      <c r="AD113" s="32"/>
      <c r="AE113" s="32">
        <v>0</v>
      </c>
    </row>
    <row r="114" spans="1:31" x14ac:dyDescent="0.25">
      <c r="A114">
        <v>1789</v>
      </c>
      <c r="B114" t="s">
        <v>531</v>
      </c>
      <c r="C114" t="s">
        <v>72</v>
      </c>
      <c r="D114" s="35">
        <v>114048</v>
      </c>
      <c r="E114">
        <v>1246268138</v>
      </c>
      <c r="F114" s="328">
        <v>46188</v>
      </c>
      <c r="H114" t="s">
        <v>28</v>
      </c>
      <c r="I114" t="s">
        <v>29</v>
      </c>
      <c r="J114">
        <v>10914</v>
      </c>
      <c r="K114" s="328">
        <v>46098</v>
      </c>
      <c r="L114">
        <v>1010100</v>
      </c>
      <c r="M114" t="s">
        <v>35</v>
      </c>
      <c r="N114">
        <v>-76</v>
      </c>
      <c r="O114" s="32">
        <v>0</v>
      </c>
      <c r="P114" s="32">
        <v>0</v>
      </c>
      <c r="Q114" s="32">
        <v>114048</v>
      </c>
      <c r="R114" s="32">
        <v>0</v>
      </c>
      <c r="S114" s="32">
        <v>0</v>
      </c>
      <c r="T114" s="32">
        <v>0</v>
      </c>
      <c r="U114" s="32">
        <v>0</v>
      </c>
      <c r="V114" s="32">
        <v>0</v>
      </c>
      <c r="W114" s="32">
        <v>0</v>
      </c>
      <c r="X114" s="32">
        <v>0</v>
      </c>
      <c r="Y114" s="32">
        <v>0</v>
      </c>
      <c r="Z114" s="32">
        <v>0</v>
      </c>
      <c r="AA114" s="32">
        <v>0</v>
      </c>
      <c r="AB114" s="32">
        <v>0</v>
      </c>
      <c r="AC114" s="32" t="s">
        <v>540</v>
      </c>
      <c r="AD114" s="32"/>
      <c r="AE114" s="32">
        <v>0</v>
      </c>
    </row>
    <row r="115" spans="1:31" x14ac:dyDescent="0.25">
      <c r="A115">
        <v>1789</v>
      </c>
      <c r="B115" t="s">
        <v>531</v>
      </c>
      <c r="C115" t="s">
        <v>72</v>
      </c>
      <c r="D115" s="35">
        <v>115468.8</v>
      </c>
      <c r="E115">
        <v>1246267594</v>
      </c>
      <c r="F115" s="328">
        <v>46183</v>
      </c>
      <c r="H115" t="s">
        <v>28</v>
      </c>
      <c r="I115" t="s">
        <v>29</v>
      </c>
      <c r="J115">
        <v>10873</v>
      </c>
      <c r="K115" s="328">
        <v>46093</v>
      </c>
      <c r="L115">
        <v>1010100</v>
      </c>
      <c r="M115" t="s">
        <v>35</v>
      </c>
      <c r="N115">
        <v>-71</v>
      </c>
      <c r="O115" s="32">
        <v>0</v>
      </c>
      <c r="P115" s="32">
        <v>0</v>
      </c>
      <c r="Q115" s="32">
        <v>115468.8</v>
      </c>
      <c r="R115" s="32">
        <v>0</v>
      </c>
      <c r="S115" s="32">
        <v>0</v>
      </c>
      <c r="T115" s="32">
        <v>0</v>
      </c>
      <c r="U115" s="32">
        <v>0</v>
      </c>
      <c r="V115" s="32">
        <v>0</v>
      </c>
      <c r="W115" s="32">
        <v>0</v>
      </c>
      <c r="X115" s="32">
        <v>0</v>
      </c>
      <c r="Y115" s="32">
        <v>0</v>
      </c>
      <c r="Z115" s="32">
        <v>0</v>
      </c>
      <c r="AA115" s="32">
        <v>0</v>
      </c>
      <c r="AB115" s="32">
        <v>0</v>
      </c>
      <c r="AC115" s="32" t="s">
        <v>540</v>
      </c>
      <c r="AD115" s="32"/>
      <c r="AE115" s="32">
        <v>0</v>
      </c>
    </row>
    <row r="116" spans="1:31" x14ac:dyDescent="0.25">
      <c r="A116">
        <v>97</v>
      </c>
      <c r="B116" t="s">
        <v>577</v>
      </c>
      <c r="C116" t="s">
        <v>873</v>
      </c>
      <c r="D116" s="35">
        <v>429240</v>
      </c>
      <c r="E116">
        <v>1246266666</v>
      </c>
      <c r="F116" s="328">
        <v>46114</v>
      </c>
      <c r="H116" t="s">
        <v>28</v>
      </c>
      <c r="I116" t="s">
        <v>29</v>
      </c>
      <c r="J116">
        <v>2794</v>
      </c>
      <c r="K116" s="328">
        <v>46086</v>
      </c>
      <c r="L116">
        <v>1010100</v>
      </c>
      <c r="M116" t="s">
        <v>35</v>
      </c>
      <c r="N116">
        <v>-2</v>
      </c>
      <c r="O116" s="32">
        <v>0</v>
      </c>
      <c r="P116" s="32">
        <v>0</v>
      </c>
      <c r="Q116" s="32">
        <v>429240</v>
      </c>
      <c r="R116" s="32">
        <v>0</v>
      </c>
      <c r="S116" s="32">
        <v>0</v>
      </c>
      <c r="T116" s="32">
        <v>0</v>
      </c>
      <c r="U116" s="32">
        <v>0</v>
      </c>
      <c r="V116" s="32">
        <v>0</v>
      </c>
      <c r="W116" s="32">
        <v>0</v>
      </c>
      <c r="X116" s="32">
        <v>0</v>
      </c>
      <c r="Y116" s="32">
        <v>0</v>
      </c>
      <c r="Z116" s="32">
        <v>0</v>
      </c>
      <c r="AA116" s="32">
        <v>0</v>
      </c>
      <c r="AB116" s="32">
        <v>0</v>
      </c>
      <c r="AC116" s="32" t="s">
        <v>475</v>
      </c>
      <c r="AD116" s="32"/>
      <c r="AE116" s="32">
        <v>0</v>
      </c>
    </row>
    <row r="117" spans="1:31" x14ac:dyDescent="0.25">
      <c r="A117">
        <v>97</v>
      </c>
      <c r="B117" t="s">
        <v>577</v>
      </c>
      <c r="C117" t="s">
        <v>873</v>
      </c>
      <c r="D117" s="35">
        <v>432176.83</v>
      </c>
      <c r="E117">
        <v>1246269781</v>
      </c>
      <c r="F117" s="328">
        <v>46140</v>
      </c>
      <c r="H117" t="s">
        <v>28</v>
      </c>
      <c r="I117" t="s">
        <v>29</v>
      </c>
      <c r="J117">
        <v>2859</v>
      </c>
      <c r="K117" s="328">
        <v>46112</v>
      </c>
      <c r="L117">
        <v>1010100</v>
      </c>
      <c r="M117" t="s">
        <v>35</v>
      </c>
      <c r="N117">
        <v>-28</v>
      </c>
      <c r="O117" s="32">
        <v>0</v>
      </c>
      <c r="P117" s="32">
        <v>0</v>
      </c>
      <c r="Q117" s="32">
        <v>432176.83</v>
      </c>
      <c r="R117" s="32">
        <v>0</v>
      </c>
      <c r="S117" s="32">
        <v>0</v>
      </c>
      <c r="T117" s="32">
        <v>0</v>
      </c>
      <c r="U117" s="32">
        <v>0</v>
      </c>
      <c r="V117" s="32">
        <v>0</v>
      </c>
      <c r="W117" s="32">
        <v>0</v>
      </c>
      <c r="X117" s="32">
        <v>0</v>
      </c>
      <c r="Y117" s="32">
        <v>0</v>
      </c>
      <c r="Z117" s="32">
        <v>0</v>
      </c>
      <c r="AA117" s="32">
        <v>0</v>
      </c>
      <c r="AB117" s="32">
        <v>0</v>
      </c>
      <c r="AC117" s="32" t="s">
        <v>475</v>
      </c>
      <c r="AD117" s="32"/>
      <c r="AE117" s="32">
        <v>0</v>
      </c>
    </row>
    <row r="118" spans="1:31" x14ac:dyDescent="0.25">
      <c r="A118">
        <v>97</v>
      </c>
      <c r="B118" t="s">
        <v>577</v>
      </c>
      <c r="C118" t="s">
        <v>873</v>
      </c>
      <c r="D118" s="35">
        <v>111790</v>
      </c>
      <c r="E118">
        <v>1246269794</v>
      </c>
      <c r="F118" s="328">
        <v>46140</v>
      </c>
      <c r="H118" t="s">
        <v>28</v>
      </c>
      <c r="I118" t="s">
        <v>29</v>
      </c>
      <c r="J118">
        <v>11018</v>
      </c>
      <c r="K118" s="328">
        <v>46112</v>
      </c>
      <c r="L118">
        <v>1010100</v>
      </c>
      <c r="M118" t="s">
        <v>35</v>
      </c>
      <c r="N118">
        <v>-28</v>
      </c>
      <c r="O118" s="32">
        <v>0</v>
      </c>
      <c r="P118" s="32">
        <v>0</v>
      </c>
      <c r="Q118" s="32">
        <v>111790</v>
      </c>
      <c r="R118" s="32">
        <v>0</v>
      </c>
      <c r="S118" s="32">
        <v>0</v>
      </c>
      <c r="T118" s="32">
        <v>0</v>
      </c>
      <c r="U118" s="32">
        <v>0</v>
      </c>
      <c r="V118" s="32">
        <v>0</v>
      </c>
      <c r="W118" s="32">
        <v>0</v>
      </c>
      <c r="X118" s="32">
        <v>0</v>
      </c>
      <c r="Y118" s="32">
        <v>0</v>
      </c>
      <c r="Z118" s="32">
        <v>0</v>
      </c>
      <c r="AA118" s="32">
        <v>0</v>
      </c>
      <c r="AB118" s="32">
        <v>0</v>
      </c>
      <c r="AC118" s="32" t="s">
        <v>475</v>
      </c>
      <c r="AD118" s="32"/>
      <c r="AE118" s="32">
        <v>0</v>
      </c>
    </row>
    <row r="119" spans="1:31" x14ac:dyDescent="0.25">
      <c r="A119">
        <v>43</v>
      </c>
      <c r="B119" t="s">
        <v>416</v>
      </c>
      <c r="C119" t="s">
        <v>37</v>
      </c>
      <c r="D119" s="35">
        <v>71384.399999999994</v>
      </c>
      <c r="E119">
        <v>1246268568</v>
      </c>
      <c r="F119" s="328">
        <v>46129</v>
      </c>
      <c r="H119" t="s">
        <v>28</v>
      </c>
      <c r="I119" t="s">
        <v>29</v>
      </c>
      <c r="J119">
        <v>10949</v>
      </c>
      <c r="K119" s="328">
        <v>46101</v>
      </c>
      <c r="L119">
        <v>1010100</v>
      </c>
      <c r="M119" t="s">
        <v>35</v>
      </c>
      <c r="N119">
        <v>-17</v>
      </c>
      <c r="O119" s="32">
        <v>0</v>
      </c>
      <c r="P119" s="32">
        <v>0</v>
      </c>
      <c r="Q119" s="32">
        <v>71384.399999999994</v>
      </c>
      <c r="R119" s="32">
        <v>0</v>
      </c>
      <c r="S119" s="32">
        <v>0</v>
      </c>
      <c r="T119" s="32">
        <v>0</v>
      </c>
      <c r="U119" s="32">
        <v>0</v>
      </c>
      <c r="V119" s="32">
        <v>0</v>
      </c>
      <c r="W119" s="32">
        <v>0</v>
      </c>
      <c r="X119" s="32">
        <v>0</v>
      </c>
      <c r="Y119" s="32">
        <v>0</v>
      </c>
      <c r="Z119" s="32">
        <v>0</v>
      </c>
      <c r="AA119" s="32">
        <v>0</v>
      </c>
      <c r="AB119" s="32">
        <v>0</v>
      </c>
      <c r="AC119" s="32" t="s">
        <v>540</v>
      </c>
      <c r="AD119" s="32"/>
      <c r="AE119" s="32">
        <v>0</v>
      </c>
    </row>
    <row r="120" spans="1:31" x14ac:dyDescent="0.25">
      <c r="A120">
        <v>43</v>
      </c>
      <c r="B120" t="s">
        <v>416</v>
      </c>
      <c r="C120" t="s">
        <v>37</v>
      </c>
      <c r="D120" s="35">
        <v>71123.7</v>
      </c>
      <c r="E120">
        <v>1246268230</v>
      </c>
      <c r="F120" s="328">
        <v>46127</v>
      </c>
      <c r="H120" t="s">
        <v>28</v>
      </c>
      <c r="I120" t="s">
        <v>29</v>
      </c>
      <c r="J120">
        <v>10916</v>
      </c>
      <c r="K120" s="328">
        <v>46099</v>
      </c>
      <c r="L120">
        <v>1010100</v>
      </c>
      <c r="M120" t="s">
        <v>35</v>
      </c>
      <c r="N120">
        <v>-15</v>
      </c>
      <c r="O120" s="32">
        <v>0</v>
      </c>
      <c r="P120" s="32">
        <v>0</v>
      </c>
      <c r="Q120" s="32">
        <v>71123.7</v>
      </c>
      <c r="R120" s="32">
        <v>0</v>
      </c>
      <c r="S120" s="32">
        <v>0</v>
      </c>
      <c r="T120" s="32">
        <v>0</v>
      </c>
      <c r="U120" s="32">
        <v>0</v>
      </c>
      <c r="V120" s="32">
        <v>0</v>
      </c>
      <c r="W120" s="32">
        <v>0</v>
      </c>
      <c r="X120" s="32">
        <v>0</v>
      </c>
      <c r="Y120" s="32">
        <v>0</v>
      </c>
      <c r="Z120" s="32">
        <v>0</v>
      </c>
      <c r="AA120" s="32">
        <v>0</v>
      </c>
      <c r="AB120" s="32">
        <v>0</v>
      </c>
      <c r="AC120" s="32" t="s">
        <v>540</v>
      </c>
      <c r="AD120" s="32"/>
      <c r="AE120" s="32">
        <v>0</v>
      </c>
    </row>
    <row r="121" spans="1:31" x14ac:dyDescent="0.25">
      <c r="A121">
        <v>33</v>
      </c>
      <c r="B121" t="s">
        <v>530</v>
      </c>
      <c r="C121" t="s">
        <v>675</v>
      </c>
      <c r="D121" s="35">
        <v>98301.6</v>
      </c>
      <c r="E121">
        <v>1246268989</v>
      </c>
      <c r="F121" s="328">
        <v>46136</v>
      </c>
      <c r="H121" t="s">
        <v>28</v>
      </c>
      <c r="I121" t="s">
        <v>29</v>
      </c>
      <c r="J121">
        <v>10974</v>
      </c>
      <c r="K121" s="328">
        <v>46106</v>
      </c>
      <c r="L121">
        <v>1010100</v>
      </c>
      <c r="M121" t="s">
        <v>35</v>
      </c>
      <c r="N121">
        <v>-24</v>
      </c>
      <c r="O121" s="32">
        <v>0</v>
      </c>
      <c r="P121" s="32">
        <v>0</v>
      </c>
      <c r="Q121" s="32">
        <v>98301.6</v>
      </c>
      <c r="R121" s="32">
        <v>0</v>
      </c>
      <c r="S121" s="32">
        <v>0</v>
      </c>
      <c r="T121" s="32">
        <v>0</v>
      </c>
      <c r="U121" s="32">
        <v>0</v>
      </c>
      <c r="V121" s="32">
        <v>0</v>
      </c>
      <c r="W121" s="32">
        <v>0</v>
      </c>
      <c r="X121" s="32">
        <v>0</v>
      </c>
      <c r="Y121" s="32">
        <v>0</v>
      </c>
      <c r="Z121" s="32">
        <v>0</v>
      </c>
      <c r="AA121" s="32">
        <v>0</v>
      </c>
      <c r="AB121" s="32">
        <v>0</v>
      </c>
      <c r="AC121" s="32" t="s">
        <v>475</v>
      </c>
      <c r="AD121" s="32"/>
      <c r="AE121" s="32">
        <v>0</v>
      </c>
    </row>
    <row r="122" spans="1:31" x14ac:dyDescent="0.25">
      <c r="A122">
        <v>214</v>
      </c>
      <c r="B122" t="s">
        <v>417</v>
      </c>
      <c r="C122" t="s">
        <v>841</v>
      </c>
      <c r="D122" s="35">
        <v>92978.1</v>
      </c>
      <c r="E122">
        <v>1246267981</v>
      </c>
      <c r="F122" s="328">
        <v>46126</v>
      </c>
      <c r="H122" t="s">
        <v>28</v>
      </c>
      <c r="I122" t="s">
        <v>29</v>
      </c>
      <c r="J122">
        <v>10906</v>
      </c>
      <c r="K122" s="328">
        <v>46098</v>
      </c>
      <c r="L122">
        <v>1010100</v>
      </c>
      <c r="M122" t="s">
        <v>35</v>
      </c>
      <c r="N122">
        <v>-14</v>
      </c>
      <c r="O122" s="32">
        <v>0</v>
      </c>
      <c r="P122" s="32">
        <v>0</v>
      </c>
      <c r="Q122" s="32">
        <v>92978.1</v>
      </c>
      <c r="R122" s="32">
        <v>0</v>
      </c>
      <c r="S122" s="32">
        <v>0</v>
      </c>
      <c r="T122" s="32">
        <v>0</v>
      </c>
      <c r="U122" s="32">
        <v>0</v>
      </c>
      <c r="V122" s="32">
        <v>0</v>
      </c>
      <c r="W122" s="32">
        <v>0</v>
      </c>
      <c r="X122" s="32">
        <v>0</v>
      </c>
      <c r="Y122" s="32">
        <v>0</v>
      </c>
      <c r="Z122" s="32">
        <v>0</v>
      </c>
      <c r="AA122" s="32">
        <v>0</v>
      </c>
      <c r="AB122" s="32">
        <v>0</v>
      </c>
      <c r="AC122" s="32" t="s">
        <v>475</v>
      </c>
      <c r="AD122" s="32"/>
      <c r="AE122" s="32">
        <v>0</v>
      </c>
    </row>
    <row r="123" spans="1:31" x14ac:dyDescent="0.25">
      <c r="A123">
        <v>183</v>
      </c>
      <c r="B123" t="s">
        <v>530</v>
      </c>
      <c r="C123" t="s">
        <v>42</v>
      </c>
      <c r="D123" s="35">
        <v>4231.96</v>
      </c>
      <c r="E123">
        <v>1246014155</v>
      </c>
      <c r="F123" s="328">
        <v>47847</v>
      </c>
      <c r="H123" t="s">
        <v>28</v>
      </c>
      <c r="I123" t="s">
        <v>29</v>
      </c>
      <c r="J123">
        <v>8361</v>
      </c>
      <c r="K123" s="328">
        <v>43384</v>
      </c>
      <c r="L123">
        <v>1010100</v>
      </c>
      <c r="M123" t="s">
        <v>35</v>
      </c>
      <c r="N123">
        <v>-1735</v>
      </c>
      <c r="O123" s="32">
        <v>0</v>
      </c>
      <c r="P123" s="32">
        <v>0</v>
      </c>
      <c r="Q123" s="32">
        <v>4231.96</v>
      </c>
      <c r="R123" s="32">
        <v>0</v>
      </c>
      <c r="S123" s="32">
        <v>0</v>
      </c>
      <c r="T123" s="32">
        <v>0</v>
      </c>
      <c r="U123" s="32">
        <v>0</v>
      </c>
      <c r="V123" s="32">
        <v>0</v>
      </c>
      <c r="W123" s="32">
        <v>0</v>
      </c>
      <c r="X123" s="32">
        <v>0</v>
      </c>
      <c r="Y123" s="32">
        <v>0</v>
      </c>
      <c r="Z123" s="32">
        <v>0</v>
      </c>
      <c r="AA123" s="32">
        <v>0</v>
      </c>
      <c r="AB123" s="32">
        <v>0</v>
      </c>
      <c r="AC123" s="32" t="s">
        <v>475</v>
      </c>
      <c r="AD123" s="32"/>
      <c r="AE123" s="32">
        <v>0</v>
      </c>
    </row>
    <row r="124" spans="1:31" x14ac:dyDescent="0.25">
      <c r="A124">
        <v>183</v>
      </c>
      <c r="B124" t="s">
        <v>530</v>
      </c>
      <c r="C124" t="s">
        <v>42</v>
      </c>
      <c r="D124" s="35">
        <v>4045.01</v>
      </c>
      <c r="E124">
        <v>1246014156</v>
      </c>
      <c r="F124" s="328">
        <v>48212</v>
      </c>
      <c r="H124" t="s">
        <v>28</v>
      </c>
      <c r="I124" t="s">
        <v>29</v>
      </c>
      <c r="J124">
        <v>8361</v>
      </c>
      <c r="K124" s="328">
        <v>43384</v>
      </c>
      <c r="L124">
        <v>1010100</v>
      </c>
      <c r="M124" t="s">
        <v>35</v>
      </c>
      <c r="N124">
        <v>-2100</v>
      </c>
      <c r="O124" s="32">
        <v>0</v>
      </c>
      <c r="P124" s="32">
        <v>0</v>
      </c>
      <c r="Q124" s="32">
        <v>4045.01</v>
      </c>
      <c r="R124" s="32">
        <v>0</v>
      </c>
      <c r="S124" s="32">
        <v>0</v>
      </c>
      <c r="T124" s="32">
        <v>0</v>
      </c>
      <c r="U124" s="32">
        <v>0</v>
      </c>
      <c r="V124" s="32">
        <v>0</v>
      </c>
      <c r="W124" s="32">
        <v>0</v>
      </c>
      <c r="X124" s="32">
        <v>0</v>
      </c>
      <c r="Y124" s="32">
        <v>0</v>
      </c>
      <c r="Z124" s="32">
        <v>0</v>
      </c>
      <c r="AA124" s="32">
        <v>0</v>
      </c>
      <c r="AB124" s="32">
        <v>0</v>
      </c>
      <c r="AC124" s="32" t="s">
        <v>475</v>
      </c>
      <c r="AD124" s="32"/>
      <c r="AE124" s="32">
        <v>0</v>
      </c>
    </row>
    <row r="125" spans="1:31" x14ac:dyDescent="0.25">
      <c r="A125">
        <v>183</v>
      </c>
      <c r="B125" t="s">
        <v>530</v>
      </c>
      <c r="C125" t="s">
        <v>42</v>
      </c>
      <c r="D125" s="35">
        <v>4339.6000000000004</v>
      </c>
      <c r="E125">
        <v>1246014157</v>
      </c>
      <c r="F125" s="328">
        <v>48578</v>
      </c>
      <c r="H125" t="s">
        <v>28</v>
      </c>
      <c r="I125" t="s">
        <v>29</v>
      </c>
      <c r="J125">
        <v>8361</v>
      </c>
      <c r="K125" s="328">
        <v>43384</v>
      </c>
      <c r="L125">
        <v>1010100</v>
      </c>
      <c r="M125" t="s">
        <v>35</v>
      </c>
      <c r="N125">
        <v>-2466</v>
      </c>
      <c r="O125" s="32">
        <v>0</v>
      </c>
      <c r="P125" s="32">
        <v>0</v>
      </c>
      <c r="Q125" s="32">
        <v>4339.6000000000004</v>
      </c>
      <c r="R125" s="32">
        <v>0</v>
      </c>
      <c r="S125" s="32">
        <v>0</v>
      </c>
      <c r="T125" s="32">
        <v>0</v>
      </c>
      <c r="U125" s="32">
        <v>0</v>
      </c>
      <c r="V125" s="32">
        <v>0</v>
      </c>
      <c r="W125" s="32">
        <v>0</v>
      </c>
      <c r="X125" s="32">
        <v>0</v>
      </c>
      <c r="Y125" s="32">
        <v>0</v>
      </c>
      <c r="Z125" s="32">
        <v>0</v>
      </c>
      <c r="AA125" s="32">
        <v>0</v>
      </c>
      <c r="AB125" s="32">
        <v>0</v>
      </c>
      <c r="AC125" s="32" t="s">
        <v>475</v>
      </c>
      <c r="AD125" s="32"/>
      <c r="AE125" s="32">
        <v>0</v>
      </c>
    </row>
    <row r="126" spans="1:31" x14ac:dyDescent="0.25">
      <c r="A126">
        <v>183</v>
      </c>
      <c r="B126" t="s">
        <v>530</v>
      </c>
      <c r="C126" t="s">
        <v>42</v>
      </c>
      <c r="D126" s="35">
        <v>7512.16</v>
      </c>
      <c r="E126">
        <v>1246014158</v>
      </c>
      <c r="F126" s="328">
        <v>48943</v>
      </c>
      <c r="H126" t="s">
        <v>28</v>
      </c>
      <c r="I126" t="s">
        <v>29</v>
      </c>
      <c r="J126">
        <v>8361</v>
      </c>
      <c r="K126" s="328">
        <v>43384</v>
      </c>
      <c r="L126">
        <v>1010100</v>
      </c>
      <c r="M126" t="s">
        <v>35</v>
      </c>
      <c r="N126">
        <v>-2831</v>
      </c>
      <c r="O126" s="32">
        <v>0</v>
      </c>
      <c r="P126" s="32">
        <v>0</v>
      </c>
      <c r="Q126" s="32">
        <v>7512.16</v>
      </c>
      <c r="R126" s="32">
        <v>0</v>
      </c>
      <c r="S126" s="32">
        <v>0</v>
      </c>
      <c r="T126" s="32">
        <v>0</v>
      </c>
      <c r="U126" s="32">
        <v>0</v>
      </c>
      <c r="V126" s="32">
        <v>0</v>
      </c>
      <c r="W126" s="32">
        <v>0</v>
      </c>
      <c r="X126" s="32">
        <v>0</v>
      </c>
      <c r="Y126" s="32">
        <v>0</v>
      </c>
      <c r="Z126" s="32">
        <v>0</v>
      </c>
      <c r="AA126" s="32">
        <v>0</v>
      </c>
      <c r="AB126" s="32">
        <v>0</v>
      </c>
      <c r="AC126" s="32" t="s">
        <v>475</v>
      </c>
      <c r="AD126" s="32"/>
      <c r="AE126" s="32">
        <v>0</v>
      </c>
    </row>
    <row r="127" spans="1:31" x14ac:dyDescent="0.25">
      <c r="A127">
        <v>183</v>
      </c>
      <c r="B127" t="s">
        <v>530</v>
      </c>
      <c r="C127" t="s">
        <v>42</v>
      </c>
      <c r="D127" s="35">
        <v>30552.86</v>
      </c>
      <c r="E127">
        <v>1246014159</v>
      </c>
      <c r="F127" s="328">
        <v>49308</v>
      </c>
      <c r="H127" t="s">
        <v>28</v>
      </c>
      <c r="I127" t="s">
        <v>29</v>
      </c>
      <c r="J127">
        <v>8361</v>
      </c>
      <c r="K127" s="328">
        <v>43384</v>
      </c>
      <c r="L127">
        <v>1010100</v>
      </c>
      <c r="M127" t="s">
        <v>35</v>
      </c>
      <c r="N127">
        <v>-3196</v>
      </c>
      <c r="O127" s="32">
        <v>0</v>
      </c>
      <c r="P127" s="32">
        <v>0</v>
      </c>
      <c r="Q127" s="32">
        <v>30552.86</v>
      </c>
      <c r="R127" s="32">
        <v>0</v>
      </c>
      <c r="S127" s="32">
        <v>0</v>
      </c>
      <c r="T127" s="32">
        <v>0</v>
      </c>
      <c r="U127" s="32">
        <v>0</v>
      </c>
      <c r="V127" s="32">
        <v>0</v>
      </c>
      <c r="W127" s="32">
        <v>0</v>
      </c>
      <c r="X127" s="32">
        <v>0</v>
      </c>
      <c r="Y127" s="32">
        <v>0</v>
      </c>
      <c r="Z127" s="32">
        <v>0</v>
      </c>
      <c r="AA127" s="32">
        <v>0</v>
      </c>
      <c r="AB127" s="32">
        <v>0</v>
      </c>
      <c r="AC127" s="32" t="s">
        <v>475</v>
      </c>
      <c r="AD127" s="32"/>
      <c r="AE127" s="32">
        <v>0</v>
      </c>
    </row>
    <row r="128" spans="1:31" x14ac:dyDescent="0.25">
      <c r="A128">
        <v>183</v>
      </c>
      <c r="B128" t="s">
        <v>530</v>
      </c>
      <c r="C128" t="s">
        <v>42</v>
      </c>
      <c r="D128" s="35">
        <v>1512.63</v>
      </c>
      <c r="E128">
        <v>1246014161</v>
      </c>
      <c r="F128" s="328">
        <v>50039</v>
      </c>
      <c r="H128" t="s">
        <v>28</v>
      </c>
      <c r="I128" t="s">
        <v>29</v>
      </c>
      <c r="J128">
        <v>8361</v>
      </c>
      <c r="K128" s="328">
        <v>43384</v>
      </c>
      <c r="L128">
        <v>1010100</v>
      </c>
      <c r="M128" t="s">
        <v>35</v>
      </c>
      <c r="N128">
        <v>-3927</v>
      </c>
      <c r="O128" s="32">
        <v>0</v>
      </c>
      <c r="P128" s="32">
        <v>0</v>
      </c>
      <c r="Q128" s="32">
        <v>1512.63</v>
      </c>
      <c r="R128" s="32">
        <v>0</v>
      </c>
      <c r="S128" s="32">
        <v>0</v>
      </c>
      <c r="T128" s="32">
        <v>0</v>
      </c>
      <c r="U128" s="32">
        <v>0</v>
      </c>
      <c r="V128" s="32">
        <v>0</v>
      </c>
      <c r="W128" s="32">
        <v>0</v>
      </c>
      <c r="X128" s="32">
        <v>0</v>
      </c>
      <c r="Y128" s="32">
        <v>0</v>
      </c>
      <c r="Z128" s="32">
        <v>0</v>
      </c>
      <c r="AA128" s="32">
        <v>0</v>
      </c>
      <c r="AB128" s="32">
        <v>0</v>
      </c>
      <c r="AC128" s="32" t="s">
        <v>475</v>
      </c>
      <c r="AD128" s="32"/>
      <c r="AE128" s="32">
        <v>0</v>
      </c>
    </row>
    <row r="129" spans="1:31" x14ac:dyDescent="0.25">
      <c r="A129">
        <v>183</v>
      </c>
      <c r="B129" t="s">
        <v>530</v>
      </c>
      <c r="C129" t="s">
        <v>42</v>
      </c>
      <c r="D129" s="35">
        <v>1982.85</v>
      </c>
      <c r="E129">
        <v>1246014162</v>
      </c>
      <c r="F129" s="328">
        <v>50404</v>
      </c>
      <c r="H129" t="s">
        <v>28</v>
      </c>
      <c r="I129" t="s">
        <v>29</v>
      </c>
      <c r="J129">
        <v>8361</v>
      </c>
      <c r="K129" s="328">
        <v>43384</v>
      </c>
      <c r="L129">
        <v>1010100</v>
      </c>
      <c r="M129" t="s">
        <v>35</v>
      </c>
      <c r="N129">
        <v>-4292</v>
      </c>
      <c r="O129" s="32">
        <v>0</v>
      </c>
      <c r="P129" s="32">
        <v>0</v>
      </c>
      <c r="Q129" s="32">
        <v>1982.85</v>
      </c>
      <c r="R129" s="32">
        <v>0</v>
      </c>
      <c r="S129" s="32">
        <v>0</v>
      </c>
      <c r="T129" s="32">
        <v>0</v>
      </c>
      <c r="U129" s="32">
        <v>0</v>
      </c>
      <c r="V129" s="32">
        <v>0</v>
      </c>
      <c r="W129" s="32">
        <v>0</v>
      </c>
      <c r="X129" s="32">
        <v>0</v>
      </c>
      <c r="Y129" s="32">
        <v>0</v>
      </c>
      <c r="Z129" s="32">
        <v>0</v>
      </c>
      <c r="AA129" s="32">
        <v>0</v>
      </c>
      <c r="AB129" s="32">
        <v>0</v>
      </c>
      <c r="AC129" s="32" t="s">
        <v>475</v>
      </c>
      <c r="AD129" s="32"/>
      <c r="AE129" s="32">
        <v>0</v>
      </c>
    </row>
    <row r="130" spans="1:31" x14ac:dyDescent="0.25">
      <c r="A130">
        <v>183</v>
      </c>
      <c r="B130" t="s">
        <v>530</v>
      </c>
      <c r="C130" t="s">
        <v>42</v>
      </c>
      <c r="D130" s="35">
        <v>2549.38</v>
      </c>
      <c r="E130">
        <v>1246014163</v>
      </c>
      <c r="F130" s="328">
        <v>50769</v>
      </c>
      <c r="H130" t="s">
        <v>28</v>
      </c>
      <c r="I130" t="s">
        <v>29</v>
      </c>
      <c r="J130">
        <v>8361</v>
      </c>
      <c r="K130" s="328">
        <v>43384</v>
      </c>
      <c r="L130">
        <v>1010100</v>
      </c>
      <c r="M130" t="s">
        <v>35</v>
      </c>
      <c r="N130">
        <v>-4657</v>
      </c>
      <c r="O130" s="32">
        <v>0</v>
      </c>
      <c r="P130" s="32">
        <v>0</v>
      </c>
      <c r="Q130" s="32">
        <v>2549.38</v>
      </c>
      <c r="R130" s="32">
        <v>0</v>
      </c>
      <c r="S130" s="32">
        <v>0</v>
      </c>
      <c r="T130" s="32">
        <v>0</v>
      </c>
      <c r="U130" s="32">
        <v>0</v>
      </c>
      <c r="V130" s="32">
        <v>0</v>
      </c>
      <c r="W130" s="32">
        <v>0</v>
      </c>
      <c r="X130" s="32">
        <v>0</v>
      </c>
      <c r="Y130" s="32">
        <v>0</v>
      </c>
      <c r="Z130" s="32">
        <v>0</v>
      </c>
      <c r="AA130" s="32">
        <v>0</v>
      </c>
      <c r="AB130" s="32">
        <v>0</v>
      </c>
      <c r="AC130" s="32" t="s">
        <v>475</v>
      </c>
      <c r="AD130" s="32"/>
      <c r="AE130" s="32">
        <v>0</v>
      </c>
    </row>
    <row r="131" spans="1:31" x14ac:dyDescent="0.25">
      <c r="A131">
        <v>183</v>
      </c>
      <c r="B131" t="s">
        <v>530</v>
      </c>
      <c r="C131" t="s">
        <v>42</v>
      </c>
      <c r="D131" s="35">
        <v>5546.31</v>
      </c>
      <c r="E131">
        <v>1246014165</v>
      </c>
      <c r="F131" s="328">
        <v>51500</v>
      </c>
      <c r="H131" t="s">
        <v>28</v>
      </c>
      <c r="I131" t="s">
        <v>29</v>
      </c>
      <c r="J131">
        <v>8361</v>
      </c>
      <c r="K131" s="328">
        <v>43384</v>
      </c>
      <c r="L131">
        <v>1010100</v>
      </c>
      <c r="M131" t="s">
        <v>35</v>
      </c>
      <c r="N131">
        <v>-5388</v>
      </c>
      <c r="O131" s="32">
        <v>0</v>
      </c>
      <c r="P131" s="32">
        <v>0</v>
      </c>
      <c r="Q131" s="32">
        <v>5546.31</v>
      </c>
      <c r="R131" s="32">
        <v>0</v>
      </c>
      <c r="S131" s="32">
        <v>0</v>
      </c>
      <c r="T131" s="32">
        <v>0</v>
      </c>
      <c r="U131" s="32">
        <v>0</v>
      </c>
      <c r="V131" s="32">
        <v>0</v>
      </c>
      <c r="W131" s="32">
        <v>0</v>
      </c>
      <c r="X131" s="32">
        <v>0</v>
      </c>
      <c r="Y131" s="32">
        <v>0</v>
      </c>
      <c r="Z131" s="32">
        <v>0</v>
      </c>
      <c r="AA131" s="32">
        <v>0</v>
      </c>
      <c r="AB131" s="32">
        <v>0</v>
      </c>
      <c r="AC131" s="32" t="s">
        <v>475</v>
      </c>
      <c r="AD131" s="32"/>
      <c r="AE131" s="32">
        <v>0</v>
      </c>
    </row>
    <row r="132" spans="1:31" x14ac:dyDescent="0.25">
      <c r="A132">
        <v>183</v>
      </c>
      <c r="B132" t="s">
        <v>530</v>
      </c>
      <c r="C132" t="s">
        <v>42</v>
      </c>
      <c r="D132" s="35">
        <v>5546.31</v>
      </c>
      <c r="E132">
        <v>1246014166</v>
      </c>
      <c r="F132" s="328">
        <v>51865</v>
      </c>
      <c r="H132" t="s">
        <v>28</v>
      </c>
      <c r="I132" t="s">
        <v>29</v>
      </c>
      <c r="J132">
        <v>8361</v>
      </c>
      <c r="K132" s="328">
        <v>43384</v>
      </c>
      <c r="L132">
        <v>1010100</v>
      </c>
      <c r="M132" t="s">
        <v>35</v>
      </c>
      <c r="N132">
        <v>-5753</v>
      </c>
      <c r="O132" s="32">
        <v>0</v>
      </c>
      <c r="P132" s="32">
        <v>0</v>
      </c>
      <c r="Q132" s="32">
        <v>5546.31</v>
      </c>
      <c r="R132" s="32">
        <v>0</v>
      </c>
      <c r="S132" s="32">
        <v>0</v>
      </c>
      <c r="T132" s="32">
        <v>0</v>
      </c>
      <c r="U132" s="32">
        <v>0</v>
      </c>
      <c r="V132" s="32">
        <v>0</v>
      </c>
      <c r="W132" s="32">
        <v>0</v>
      </c>
      <c r="X132" s="32">
        <v>0</v>
      </c>
      <c r="Y132" s="32">
        <v>0</v>
      </c>
      <c r="Z132" s="32">
        <v>0</v>
      </c>
      <c r="AA132" s="32">
        <v>0</v>
      </c>
      <c r="AB132" s="32">
        <v>0</v>
      </c>
      <c r="AC132" s="32" t="s">
        <v>475</v>
      </c>
      <c r="AD132" s="32"/>
      <c r="AE132" s="32">
        <v>0</v>
      </c>
    </row>
    <row r="133" spans="1:31" x14ac:dyDescent="0.25">
      <c r="A133">
        <v>183</v>
      </c>
      <c r="B133" t="s">
        <v>530</v>
      </c>
      <c r="C133" t="s">
        <v>42</v>
      </c>
      <c r="D133" s="35">
        <v>5546.31</v>
      </c>
      <c r="E133">
        <v>1246014167</v>
      </c>
      <c r="F133" s="328">
        <v>52230</v>
      </c>
      <c r="H133" t="s">
        <v>28</v>
      </c>
      <c r="I133" t="s">
        <v>29</v>
      </c>
      <c r="J133">
        <v>8361</v>
      </c>
      <c r="K133" s="328">
        <v>43384</v>
      </c>
      <c r="L133">
        <v>1010100</v>
      </c>
      <c r="M133" t="s">
        <v>35</v>
      </c>
      <c r="N133">
        <v>-6118</v>
      </c>
      <c r="O133" s="32">
        <v>0</v>
      </c>
      <c r="P133" s="32">
        <v>0</v>
      </c>
      <c r="Q133" s="32">
        <v>5546.31</v>
      </c>
      <c r="R133" s="32">
        <v>0</v>
      </c>
      <c r="S133" s="32">
        <v>0</v>
      </c>
      <c r="T133" s="32">
        <v>0</v>
      </c>
      <c r="U133" s="32">
        <v>0</v>
      </c>
      <c r="V133" s="32">
        <v>0</v>
      </c>
      <c r="W133" s="32">
        <v>0</v>
      </c>
      <c r="X133" s="32">
        <v>0</v>
      </c>
      <c r="Y133" s="32">
        <v>0</v>
      </c>
      <c r="Z133" s="32">
        <v>0</v>
      </c>
      <c r="AA133" s="32">
        <v>0</v>
      </c>
      <c r="AB133" s="32">
        <v>0</v>
      </c>
      <c r="AC133" s="32" t="s">
        <v>475</v>
      </c>
      <c r="AD133" s="32"/>
      <c r="AE133" s="32">
        <v>0</v>
      </c>
    </row>
    <row r="134" spans="1:31" x14ac:dyDescent="0.25">
      <c r="A134">
        <v>183</v>
      </c>
      <c r="B134" t="s">
        <v>530</v>
      </c>
      <c r="C134" t="s">
        <v>42</v>
      </c>
      <c r="D134" s="35">
        <v>5546.31</v>
      </c>
      <c r="E134">
        <v>1246014168</v>
      </c>
      <c r="F134" s="328">
        <v>52595</v>
      </c>
      <c r="H134" t="s">
        <v>28</v>
      </c>
      <c r="I134" t="s">
        <v>29</v>
      </c>
      <c r="J134">
        <v>8361</v>
      </c>
      <c r="K134" s="328">
        <v>43384</v>
      </c>
      <c r="L134">
        <v>1010100</v>
      </c>
      <c r="M134" t="s">
        <v>35</v>
      </c>
      <c r="N134">
        <v>-6483</v>
      </c>
      <c r="O134" s="32">
        <v>0</v>
      </c>
      <c r="P134" s="32">
        <v>0</v>
      </c>
      <c r="Q134" s="32">
        <v>5546.31</v>
      </c>
      <c r="R134" s="32">
        <v>0</v>
      </c>
      <c r="S134" s="32">
        <v>0</v>
      </c>
      <c r="T134" s="32">
        <v>0</v>
      </c>
      <c r="U134" s="32">
        <v>0</v>
      </c>
      <c r="V134" s="32">
        <v>0</v>
      </c>
      <c r="W134" s="32">
        <v>0</v>
      </c>
      <c r="X134" s="32">
        <v>0</v>
      </c>
      <c r="Y134" s="32">
        <v>0</v>
      </c>
      <c r="Z134" s="32">
        <v>0</v>
      </c>
      <c r="AA134" s="32">
        <v>0</v>
      </c>
      <c r="AB134" s="32">
        <v>0</v>
      </c>
      <c r="AC134" s="32" t="s">
        <v>475</v>
      </c>
      <c r="AD134" s="32"/>
      <c r="AE134" s="32">
        <v>0</v>
      </c>
    </row>
    <row r="135" spans="1:31" x14ac:dyDescent="0.25">
      <c r="A135">
        <v>183</v>
      </c>
      <c r="B135" t="s">
        <v>530</v>
      </c>
      <c r="C135" t="s">
        <v>42</v>
      </c>
      <c r="D135" s="35">
        <v>5546.31</v>
      </c>
      <c r="E135">
        <v>1246014169</v>
      </c>
      <c r="F135" s="328">
        <v>52961</v>
      </c>
      <c r="H135" t="s">
        <v>28</v>
      </c>
      <c r="I135" t="s">
        <v>29</v>
      </c>
      <c r="J135">
        <v>8361</v>
      </c>
      <c r="K135" s="328">
        <v>43384</v>
      </c>
      <c r="L135">
        <v>1010100</v>
      </c>
      <c r="M135" t="s">
        <v>35</v>
      </c>
      <c r="N135">
        <v>-6849</v>
      </c>
      <c r="O135" s="32">
        <v>0</v>
      </c>
      <c r="P135" s="32">
        <v>0</v>
      </c>
      <c r="Q135" s="32">
        <v>5546.31</v>
      </c>
      <c r="R135" s="32">
        <v>0</v>
      </c>
      <c r="S135" s="32">
        <v>0</v>
      </c>
      <c r="T135" s="32">
        <v>0</v>
      </c>
      <c r="U135" s="32">
        <v>0</v>
      </c>
      <c r="V135" s="32">
        <v>0</v>
      </c>
      <c r="W135" s="32">
        <v>0</v>
      </c>
      <c r="X135" s="32">
        <v>0</v>
      </c>
      <c r="Y135" s="32">
        <v>0</v>
      </c>
      <c r="Z135" s="32">
        <v>0</v>
      </c>
      <c r="AA135" s="32">
        <v>0</v>
      </c>
      <c r="AB135" s="32">
        <v>0</v>
      </c>
      <c r="AC135" s="32" t="s">
        <v>475</v>
      </c>
      <c r="AD135" s="32"/>
      <c r="AE135" s="32">
        <v>0</v>
      </c>
    </row>
    <row r="136" spans="1:31" x14ac:dyDescent="0.25">
      <c r="A136">
        <v>183</v>
      </c>
      <c r="B136" t="s">
        <v>530</v>
      </c>
      <c r="C136" t="s">
        <v>42</v>
      </c>
      <c r="D136" s="35">
        <v>5568.96</v>
      </c>
      <c r="E136">
        <v>1246014170</v>
      </c>
      <c r="F136" s="328">
        <v>53326</v>
      </c>
      <c r="H136" t="s">
        <v>28</v>
      </c>
      <c r="I136" t="s">
        <v>29</v>
      </c>
      <c r="J136">
        <v>8361</v>
      </c>
      <c r="K136" s="328">
        <v>43384</v>
      </c>
      <c r="L136">
        <v>1010100</v>
      </c>
      <c r="M136" t="s">
        <v>35</v>
      </c>
      <c r="N136">
        <v>-7214</v>
      </c>
      <c r="O136" s="32">
        <v>0</v>
      </c>
      <c r="P136" s="32">
        <v>0</v>
      </c>
      <c r="Q136" s="32">
        <v>5568.96</v>
      </c>
      <c r="R136" s="32">
        <v>0</v>
      </c>
      <c r="S136" s="32">
        <v>0</v>
      </c>
      <c r="T136" s="32">
        <v>0</v>
      </c>
      <c r="U136" s="32">
        <v>0</v>
      </c>
      <c r="V136" s="32">
        <v>0</v>
      </c>
      <c r="W136" s="32">
        <v>0</v>
      </c>
      <c r="X136" s="32">
        <v>0</v>
      </c>
      <c r="Y136" s="32">
        <v>0</v>
      </c>
      <c r="Z136" s="32">
        <v>0</v>
      </c>
      <c r="AA136" s="32">
        <v>0</v>
      </c>
      <c r="AB136" s="32">
        <v>0</v>
      </c>
      <c r="AC136" s="32" t="s">
        <v>475</v>
      </c>
      <c r="AD136" s="32"/>
      <c r="AE136" s="32">
        <v>0</v>
      </c>
    </row>
    <row r="137" spans="1:31" x14ac:dyDescent="0.25">
      <c r="A137">
        <v>183</v>
      </c>
      <c r="B137" t="s">
        <v>530</v>
      </c>
      <c r="C137" t="s">
        <v>42</v>
      </c>
      <c r="D137" s="35">
        <v>2487.06</v>
      </c>
      <c r="E137">
        <v>1246137877</v>
      </c>
      <c r="F137" s="328">
        <v>49673</v>
      </c>
      <c r="H137" t="s">
        <v>28</v>
      </c>
      <c r="I137" t="s">
        <v>29</v>
      </c>
      <c r="J137">
        <v>8361</v>
      </c>
      <c r="K137" s="328">
        <v>43384</v>
      </c>
      <c r="L137">
        <v>1010100</v>
      </c>
      <c r="M137" t="s">
        <v>35</v>
      </c>
      <c r="N137">
        <v>-3561</v>
      </c>
      <c r="O137" s="32">
        <v>0</v>
      </c>
      <c r="P137" s="32">
        <v>0</v>
      </c>
      <c r="Q137" s="32">
        <v>2487.06</v>
      </c>
      <c r="R137" s="32">
        <v>0</v>
      </c>
      <c r="S137" s="32">
        <v>0</v>
      </c>
      <c r="T137" s="32">
        <v>0</v>
      </c>
      <c r="U137" s="32">
        <v>0</v>
      </c>
      <c r="V137" s="32">
        <v>0</v>
      </c>
      <c r="W137" s="32">
        <v>0</v>
      </c>
      <c r="X137" s="32">
        <v>0</v>
      </c>
      <c r="Y137" s="32">
        <v>0</v>
      </c>
      <c r="Z137" s="32">
        <v>0</v>
      </c>
      <c r="AA137" s="32">
        <v>0</v>
      </c>
      <c r="AB137" s="32">
        <v>0</v>
      </c>
      <c r="AC137" s="32" t="s">
        <v>475</v>
      </c>
      <c r="AD137" s="32"/>
      <c r="AE137" s="32">
        <v>0</v>
      </c>
    </row>
    <row r="138" spans="1:31" x14ac:dyDescent="0.25">
      <c r="A138">
        <v>183</v>
      </c>
      <c r="B138" t="s">
        <v>530</v>
      </c>
      <c r="C138" t="s">
        <v>42</v>
      </c>
      <c r="D138" s="35">
        <v>2151.75</v>
      </c>
      <c r="E138">
        <v>1246265345</v>
      </c>
      <c r="F138" s="328">
        <v>47482</v>
      </c>
      <c r="H138" t="s">
        <v>28</v>
      </c>
      <c r="I138" t="s">
        <v>29</v>
      </c>
      <c r="J138">
        <v>8361</v>
      </c>
      <c r="K138" s="328">
        <v>43384</v>
      </c>
      <c r="L138">
        <v>1010100</v>
      </c>
      <c r="M138" t="s">
        <v>35</v>
      </c>
      <c r="N138">
        <v>-1370</v>
      </c>
      <c r="O138" s="32">
        <v>0</v>
      </c>
      <c r="P138" s="32">
        <v>0</v>
      </c>
      <c r="Q138" s="32">
        <v>2151.75</v>
      </c>
      <c r="R138" s="32">
        <v>0</v>
      </c>
      <c r="S138" s="32">
        <v>0</v>
      </c>
      <c r="T138" s="32">
        <v>0</v>
      </c>
      <c r="U138" s="32">
        <v>0</v>
      </c>
      <c r="V138" s="32">
        <v>0</v>
      </c>
      <c r="W138" s="32">
        <v>0</v>
      </c>
      <c r="X138" s="32">
        <v>0</v>
      </c>
      <c r="Y138" s="32">
        <v>0</v>
      </c>
      <c r="Z138" s="32">
        <v>0</v>
      </c>
      <c r="AA138" s="32">
        <v>0</v>
      </c>
      <c r="AB138" s="32">
        <v>0</v>
      </c>
      <c r="AC138" s="32" t="s">
        <v>475</v>
      </c>
      <c r="AD138" s="32"/>
      <c r="AE138" s="32">
        <v>0</v>
      </c>
    </row>
    <row r="139" spans="1:31" x14ac:dyDescent="0.25">
      <c r="A139">
        <v>183</v>
      </c>
      <c r="B139" t="s">
        <v>530</v>
      </c>
      <c r="C139" t="s">
        <v>42</v>
      </c>
      <c r="D139" s="35">
        <v>2104.2399999999998</v>
      </c>
      <c r="E139">
        <v>1246233818</v>
      </c>
      <c r="F139" s="328">
        <v>51134</v>
      </c>
      <c r="H139" t="s">
        <v>28</v>
      </c>
      <c r="I139" t="s">
        <v>29</v>
      </c>
      <c r="J139">
        <v>8361</v>
      </c>
      <c r="K139" s="328">
        <v>43384</v>
      </c>
      <c r="L139">
        <v>1010100</v>
      </c>
      <c r="M139" t="s">
        <v>35</v>
      </c>
      <c r="N139">
        <v>-5022</v>
      </c>
      <c r="O139" s="32">
        <v>0</v>
      </c>
      <c r="P139" s="32">
        <v>0</v>
      </c>
      <c r="Q139" s="32">
        <v>2104.2399999999998</v>
      </c>
      <c r="R139" s="32">
        <v>0</v>
      </c>
      <c r="S139" s="32">
        <v>0</v>
      </c>
      <c r="T139" s="32">
        <v>0</v>
      </c>
      <c r="U139" s="32">
        <v>0</v>
      </c>
      <c r="V139" s="32">
        <v>0</v>
      </c>
      <c r="W139" s="32">
        <v>0</v>
      </c>
      <c r="X139" s="32">
        <v>0</v>
      </c>
      <c r="Y139" s="32">
        <v>0</v>
      </c>
      <c r="Z139" s="32">
        <v>0</v>
      </c>
      <c r="AA139" s="32">
        <v>0</v>
      </c>
      <c r="AB139" s="32">
        <v>0</v>
      </c>
      <c r="AC139" s="32" t="s">
        <v>475</v>
      </c>
      <c r="AD139" s="32"/>
      <c r="AE139" s="32">
        <v>0</v>
      </c>
    </row>
    <row r="140" spans="1:31" x14ac:dyDescent="0.25">
      <c r="A140">
        <v>1792</v>
      </c>
      <c r="B140" t="s">
        <v>531</v>
      </c>
      <c r="C140" t="s">
        <v>73</v>
      </c>
      <c r="D140" s="35">
        <v>118553.1</v>
      </c>
      <c r="E140">
        <v>1246265418</v>
      </c>
      <c r="F140" s="328">
        <v>46169</v>
      </c>
      <c r="H140" t="s">
        <v>28</v>
      </c>
      <c r="I140" t="s">
        <v>29</v>
      </c>
      <c r="J140">
        <v>10776</v>
      </c>
      <c r="K140" s="328">
        <v>46079</v>
      </c>
      <c r="L140">
        <v>1010100</v>
      </c>
      <c r="M140" t="s">
        <v>35</v>
      </c>
      <c r="N140">
        <v>-57</v>
      </c>
      <c r="O140" s="32">
        <v>0</v>
      </c>
      <c r="P140" s="32">
        <v>0</v>
      </c>
      <c r="Q140" s="32">
        <v>118553.1</v>
      </c>
      <c r="R140" s="32">
        <v>0</v>
      </c>
      <c r="S140" s="32">
        <v>0</v>
      </c>
      <c r="T140" s="32">
        <v>0</v>
      </c>
      <c r="U140" s="32">
        <v>0</v>
      </c>
      <c r="V140" s="32">
        <v>0</v>
      </c>
      <c r="W140" s="32">
        <v>0</v>
      </c>
      <c r="X140" s="32">
        <v>0</v>
      </c>
      <c r="Y140" s="32">
        <v>0</v>
      </c>
      <c r="Z140" s="32">
        <v>0</v>
      </c>
      <c r="AA140" s="32">
        <v>0</v>
      </c>
      <c r="AB140" s="32">
        <v>0</v>
      </c>
      <c r="AC140" s="32" t="s">
        <v>540</v>
      </c>
      <c r="AD140" s="32"/>
      <c r="AE140" s="32">
        <v>0</v>
      </c>
    </row>
    <row r="141" spans="1:31" x14ac:dyDescent="0.25">
      <c r="A141">
        <v>1792</v>
      </c>
      <c r="B141" t="s">
        <v>531</v>
      </c>
      <c r="C141" t="s">
        <v>73</v>
      </c>
      <c r="D141" s="35">
        <v>116343</v>
      </c>
      <c r="E141">
        <v>1246267070</v>
      </c>
      <c r="F141" s="328">
        <v>46180</v>
      </c>
      <c r="H141" t="s">
        <v>28</v>
      </c>
      <c r="I141" t="s">
        <v>29</v>
      </c>
      <c r="J141">
        <v>10846</v>
      </c>
      <c r="K141" s="328">
        <v>46090</v>
      </c>
      <c r="L141">
        <v>1010100</v>
      </c>
      <c r="M141" t="s">
        <v>35</v>
      </c>
      <c r="N141">
        <v>-68</v>
      </c>
      <c r="O141" s="32">
        <v>0</v>
      </c>
      <c r="P141" s="32">
        <v>0</v>
      </c>
      <c r="Q141" s="32">
        <v>116343</v>
      </c>
      <c r="R141" s="32">
        <v>0</v>
      </c>
      <c r="S141" s="32">
        <v>0</v>
      </c>
      <c r="T141" s="32">
        <v>0</v>
      </c>
      <c r="U141" s="32">
        <v>0</v>
      </c>
      <c r="V141" s="32">
        <v>0</v>
      </c>
      <c r="W141" s="32">
        <v>0</v>
      </c>
      <c r="X141" s="32">
        <v>0</v>
      </c>
      <c r="Y141" s="32">
        <v>0</v>
      </c>
      <c r="Z141" s="32">
        <v>0</v>
      </c>
      <c r="AA141" s="32">
        <v>0</v>
      </c>
      <c r="AB141" s="32">
        <v>0</v>
      </c>
      <c r="AC141" s="32" t="s">
        <v>540</v>
      </c>
      <c r="AD141" s="32"/>
      <c r="AE141" s="32">
        <v>0</v>
      </c>
    </row>
    <row r="142" spans="1:31" x14ac:dyDescent="0.25">
      <c r="A142">
        <v>1792</v>
      </c>
      <c r="B142" t="s">
        <v>531</v>
      </c>
      <c r="C142" t="s">
        <v>73</v>
      </c>
      <c r="D142" s="35">
        <v>116718.3</v>
      </c>
      <c r="E142">
        <v>1246263483</v>
      </c>
      <c r="F142" s="328">
        <v>46155</v>
      </c>
      <c r="H142" t="s">
        <v>28</v>
      </c>
      <c r="I142" t="s">
        <v>29</v>
      </c>
      <c r="J142">
        <v>10682</v>
      </c>
      <c r="K142" s="328">
        <v>46065</v>
      </c>
      <c r="L142">
        <v>1010100</v>
      </c>
      <c r="M142" t="s">
        <v>35</v>
      </c>
      <c r="N142">
        <v>-43</v>
      </c>
      <c r="O142" s="32">
        <v>0</v>
      </c>
      <c r="P142" s="32">
        <v>0</v>
      </c>
      <c r="Q142" s="32">
        <v>116718.3</v>
      </c>
      <c r="R142" s="32">
        <v>0</v>
      </c>
      <c r="S142" s="32">
        <v>0</v>
      </c>
      <c r="T142" s="32">
        <v>0</v>
      </c>
      <c r="U142" s="32">
        <v>0</v>
      </c>
      <c r="V142" s="32">
        <v>0</v>
      </c>
      <c r="W142" s="32">
        <v>0</v>
      </c>
      <c r="X142" s="32">
        <v>0</v>
      </c>
      <c r="Y142" s="32">
        <v>0</v>
      </c>
      <c r="Z142" s="32">
        <v>0</v>
      </c>
      <c r="AA142" s="32">
        <v>0</v>
      </c>
      <c r="AB142" s="32">
        <v>0</v>
      </c>
      <c r="AC142" s="32" t="s">
        <v>540</v>
      </c>
      <c r="AD142" s="32"/>
      <c r="AE142" s="32">
        <v>0</v>
      </c>
    </row>
    <row r="143" spans="1:31" x14ac:dyDescent="0.25">
      <c r="A143">
        <v>1792</v>
      </c>
      <c r="B143" t="s">
        <v>531</v>
      </c>
      <c r="C143" t="s">
        <v>73</v>
      </c>
      <c r="D143" s="35">
        <v>118845</v>
      </c>
      <c r="E143">
        <v>1246269004</v>
      </c>
      <c r="F143" s="328">
        <v>46196</v>
      </c>
      <c r="H143" t="s">
        <v>28</v>
      </c>
      <c r="I143" t="s">
        <v>29</v>
      </c>
      <c r="J143">
        <v>10975</v>
      </c>
      <c r="K143" s="328">
        <v>46106</v>
      </c>
      <c r="L143">
        <v>1010100</v>
      </c>
      <c r="M143" t="s">
        <v>35</v>
      </c>
      <c r="N143">
        <v>-84</v>
      </c>
      <c r="O143" s="32">
        <v>0</v>
      </c>
      <c r="P143" s="32">
        <v>0</v>
      </c>
      <c r="Q143" s="32">
        <v>118845</v>
      </c>
      <c r="R143" s="32">
        <v>0</v>
      </c>
      <c r="S143" s="32">
        <v>0</v>
      </c>
      <c r="T143" s="32">
        <v>0</v>
      </c>
      <c r="U143" s="32">
        <v>0</v>
      </c>
      <c r="V143" s="32">
        <v>0</v>
      </c>
      <c r="W143" s="32">
        <v>0</v>
      </c>
      <c r="X143" s="32">
        <v>0</v>
      </c>
      <c r="Y143" s="32">
        <v>0</v>
      </c>
      <c r="Z143" s="32">
        <v>0</v>
      </c>
      <c r="AA143" s="32">
        <v>0</v>
      </c>
      <c r="AB143" s="32">
        <v>0</v>
      </c>
      <c r="AC143" s="32" t="s">
        <v>540</v>
      </c>
      <c r="AD143" s="32"/>
      <c r="AE143" s="32">
        <v>0</v>
      </c>
    </row>
    <row r="144" spans="1:31" x14ac:dyDescent="0.25">
      <c r="A144">
        <v>1792</v>
      </c>
      <c r="B144" t="s">
        <v>531</v>
      </c>
      <c r="C144" t="s">
        <v>73</v>
      </c>
      <c r="D144" s="35">
        <v>118302.9</v>
      </c>
      <c r="E144">
        <v>1246266107</v>
      </c>
      <c r="F144" s="328">
        <v>46174</v>
      </c>
      <c r="H144" t="s">
        <v>28</v>
      </c>
      <c r="I144" t="s">
        <v>29</v>
      </c>
      <c r="J144">
        <v>10803</v>
      </c>
      <c r="K144" s="328">
        <v>46084</v>
      </c>
      <c r="L144">
        <v>1010100</v>
      </c>
      <c r="M144" t="s">
        <v>35</v>
      </c>
      <c r="N144">
        <v>-62</v>
      </c>
      <c r="O144" s="32">
        <v>0</v>
      </c>
      <c r="P144" s="32">
        <v>0</v>
      </c>
      <c r="Q144" s="32">
        <v>118302.9</v>
      </c>
      <c r="R144" s="32">
        <v>0</v>
      </c>
      <c r="S144" s="32">
        <v>0</v>
      </c>
      <c r="T144" s="32">
        <v>0</v>
      </c>
      <c r="U144" s="32">
        <v>0</v>
      </c>
      <c r="V144" s="32">
        <v>0</v>
      </c>
      <c r="W144" s="32">
        <v>0</v>
      </c>
      <c r="X144" s="32">
        <v>0</v>
      </c>
      <c r="Y144" s="32">
        <v>0</v>
      </c>
      <c r="Z144" s="32">
        <v>0</v>
      </c>
      <c r="AA144" s="32">
        <v>0</v>
      </c>
      <c r="AB144" s="32">
        <v>0</v>
      </c>
      <c r="AC144" s="32" t="s">
        <v>540</v>
      </c>
      <c r="AD144" s="32"/>
      <c r="AE144" s="32">
        <v>0</v>
      </c>
    </row>
    <row r="145" spans="1:31" x14ac:dyDescent="0.25">
      <c r="A145">
        <v>1792</v>
      </c>
      <c r="B145" t="s">
        <v>531</v>
      </c>
      <c r="C145" t="s">
        <v>73</v>
      </c>
      <c r="D145" s="35">
        <v>116343</v>
      </c>
      <c r="E145">
        <v>1246268258</v>
      </c>
      <c r="F145" s="328">
        <v>46189</v>
      </c>
      <c r="H145" t="s">
        <v>28</v>
      </c>
      <c r="I145" t="s">
        <v>29</v>
      </c>
      <c r="J145">
        <v>10918</v>
      </c>
      <c r="K145" s="328">
        <v>46099</v>
      </c>
      <c r="L145">
        <v>1010100</v>
      </c>
      <c r="M145" t="s">
        <v>35</v>
      </c>
      <c r="N145">
        <v>-77</v>
      </c>
      <c r="O145" s="32">
        <v>0</v>
      </c>
      <c r="P145" s="32">
        <v>0</v>
      </c>
      <c r="Q145" s="32">
        <v>116343</v>
      </c>
      <c r="R145" s="32">
        <v>0</v>
      </c>
      <c r="S145" s="32">
        <v>0</v>
      </c>
      <c r="T145" s="32">
        <v>0</v>
      </c>
      <c r="U145" s="32">
        <v>0</v>
      </c>
      <c r="V145" s="32">
        <v>0</v>
      </c>
      <c r="W145" s="32">
        <v>0</v>
      </c>
      <c r="X145" s="32">
        <v>0</v>
      </c>
      <c r="Y145" s="32">
        <v>0</v>
      </c>
      <c r="Z145" s="32">
        <v>0</v>
      </c>
      <c r="AA145" s="32">
        <v>0</v>
      </c>
      <c r="AB145" s="32">
        <v>0</v>
      </c>
      <c r="AC145" s="32" t="s">
        <v>540</v>
      </c>
      <c r="AD145" s="32"/>
      <c r="AE145" s="32">
        <v>0</v>
      </c>
    </row>
    <row r="146" spans="1:31" x14ac:dyDescent="0.25">
      <c r="A146">
        <v>1792</v>
      </c>
      <c r="B146" t="s">
        <v>531</v>
      </c>
      <c r="C146" t="s">
        <v>73</v>
      </c>
      <c r="D146" s="35">
        <v>115634.1</v>
      </c>
      <c r="E146">
        <v>1246263885</v>
      </c>
      <c r="F146" s="328">
        <v>46161</v>
      </c>
      <c r="H146" t="s">
        <v>28</v>
      </c>
      <c r="I146" t="s">
        <v>29</v>
      </c>
      <c r="J146">
        <v>10708</v>
      </c>
      <c r="K146" s="328">
        <v>46071</v>
      </c>
      <c r="L146">
        <v>1010100</v>
      </c>
      <c r="M146" t="s">
        <v>35</v>
      </c>
      <c r="N146">
        <v>-49</v>
      </c>
      <c r="O146" s="32">
        <v>0</v>
      </c>
      <c r="P146" s="32">
        <v>0</v>
      </c>
      <c r="Q146" s="32">
        <v>115634.1</v>
      </c>
      <c r="R146" s="32">
        <v>0</v>
      </c>
      <c r="S146" s="32">
        <v>0</v>
      </c>
      <c r="T146" s="32">
        <v>0</v>
      </c>
      <c r="U146" s="32">
        <v>0</v>
      </c>
      <c r="V146" s="32">
        <v>0</v>
      </c>
      <c r="W146" s="32">
        <v>0</v>
      </c>
      <c r="X146" s="32">
        <v>0</v>
      </c>
      <c r="Y146" s="32">
        <v>0</v>
      </c>
      <c r="Z146" s="32">
        <v>0</v>
      </c>
      <c r="AA146" s="32">
        <v>0</v>
      </c>
      <c r="AB146" s="32">
        <v>0</v>
      </c>
      <c r="AC146" s="32" t="s">
        <v>540</v>
      </c>
      <c r="AD146" s="32"/>
      <c r="AE146" s="32">
        <v>0</v>
      </c>
    </row>
    <row r="147" spans="1:31" x14ac:dyDescent="0.25">
      <c r="A147">
        <v>1792</v>
      </c>
      <c r="B147" t="s">
        <v>531</v>
      </c>
      <c r="C147" t="s">
        <v>73</v>
      </c>
      <c r="D147" s="35">
        <v>117051.9</v>
      </c>
      <c r="E147">
        <v>1246269741</v>
      </c>
      <c r="F147" s="328">
        <v>46202</v>
      </c>
      <c r="H147" t="s">
        <v>28</v>
      </c>
      <c r="I147" t="s">
        <v>29</v>
      </c>
      <c r="J147">
        <v>11015</v>
      </c>
      <c r="K147" s="328">
        <v>46112</v>
      </c>
      <c r="L147">
        <v>1010100</v>
      </c>
      <c r="M147" t="s">
        <v>35</v>
      </c>
      <c r="N147">
        <v>-90</v>
      </c>
      <c r="O147" s="32">
        <v>0</v>
      </c>
      <c r="P147" s="32">
        <v>0</v>
      </c>
      <c r="Q147" s="32">
        <v>117051.9</v>
      </c>
      <c r="R147" s="32">
        <v>0</v>
      </c>
      <c r="S147" s="32">
        <v>0</v>
      </c>
      <c r="T147" s="32">
        <v>0</v>
      </c>
      <c r="U147" s="32">
        <v>0</v>
      </c>
      <c r="V147" s="32">
        <v>0</v>
      </c>
      <c r="W147" s="32">
        <v>0</v>
      </c>
      <c r="X147" s="32">
        <v>0</v>
      </c>
      <c r="Y147" s="32">
        <v>0</v>
      </c>
      <c r="Z147" s="32">
        <v>0</v>
      </c>
      <c r="AA147" s="32">
        <v>0</v>
      </c>
      <c r="AB147" s="32">
        <v>0</v>
      </c>
      <c r="AC147" s="32" t="s">
        <v>540</v>
      </c>
      <c r="AD147" s="32"/>
      <c r="AE147" s="32">
        <v>0</v>
      </c>
    </row>
    <row r="148" spans="1:31" x14ac:dyDescent="0.25">
      <c r="A148">
        <v>1792</v>
      </c>
      <c r="B148" t="s">
        <v>531</v>
      </c>
      <c r="C148" t="s">
        <v>73</v>
      </c>
      <c r="D148" s="35">
        <v>115509</v>
      </c>
      <c r="E148">
        <v>1246262616</v>
      </c>
      <c r="F148" s="328">
        <v>46149</v>
      </c>
      <c r="H148" t="s">
        <v>28</v>
      </c>
      <c r="I148" t="s">
        <v>29</v>
      </c>
      <c r="J148">
        <v>10653</v>
      </c>
      <c r="K148" s="328">
        <v>46059</v>
      </c>
      <c r="L148">
        <v>1010100</v>
      </c>
      <c r="M148" t="s">
        <v>35</v>
      </c>
      <c r="N148">
        <v>-37</v>
      </c>
      <c r="O148" s="32">
        <v>0</v>
      </c>
      <c r="P148" s="32">
        <v>0</v>
      </c>
      <c r="Q148" s="32">
        <v>115509</v>
      </c>
      <c r="R148" s="32">
        <v>0</v>
      </c>
      <c r="S148" s="32">
        <v>0</v>
      </c>
      <c r="T148" s="32">
        <v>0</v>
      </c>
      <c r="U148" s="32">
        <v>0</v>
      </c>
      <c r="V148" s="32">
        <v>0</v>
      </c>
      <c r="W148" s="32">
        <v>0</v>
      </c>
      <c r="X148" s="32">
        <v>0</v>
      </c>
      <c r="Y148" s="32">
        <v>0</v>
      </c>
      <c r="Z148" s="32">
        <v>0</v>
      </c>
      <c r="AA148" s="32">
        <v>0</v>
      </c>
      <c r="AB148" s="32">
        <v>0</v>
      </c>
      <c r="AC148" s="32" t="s">
        <v>540</v>
      </c>
      <c r="AD148" s="32"/>
      <c r="AE148" s="32">
        <v>0</v>
      </c>
    </row>
    <row r="149" spans="1:31" x14ac:dyDescent="0.25">
      <c r="A149">
        <v>1792</v>
      </c>
      <c r="B149" t="s">
        <v>531</v>
      </c>
      <c r="C149" t="s">
        <v>73</v>
      </c>
      <c r="D149" s="35">
        <v>116092.8</v>
      </c>
      <c r="E149">
        <v>1246267659</v>
      </c>
      <c r="F149" s="328">
        <v>46184</v>
      </c>
      <c r="H149" t="s">
        <v>28</v>
      </c>
      <c r="I149" t="s">
        <v>29</v>
      </c>
      <c r="J149">
        <v>10876</v>
      </c>
      <c r="K149" s="328">
        <v>46094</v>
      </c>
      <c r="L149">
        <v>1010100</v>
      </c>
      <c r="M149" t="s">
        <v>35</v>
      </c>
      <c r="N149">
        <v>-72</v>
      </c>
      <c r="O149" s="32">
        <v>0</v>
      </c>
      <c r="P149" s="32">
        <v>0</v>
      </c>
      <c r="Q149" s="32">
        <v>116092.8</v>
      </c>
      <c r="R149" s="32">
        <v>0</v>
      </c>
      <c r="S149" s="32">
        <v>0</v>
      </c>
      <c r="T149" s="32">
        <v>0</v>
      </c>
      <c r="U149" s="32">
        <v>0</v>
      </c>
      <c r="V149" s="32">
        <v>0</v>
      </c>
      <c r="W149" s="32">
        <v>0</v>
      </c>
      <c r="X149" s="32">
        <v>0</v>
      </c>
      <c r="Y149" s="32">
        <v>0</v>
      </c>
      <c r="Z149" s="32">
        <v>0</v>
      </c>
      <c r="AA149" s="32">
        <v>0</v>
      </c>
      <c r="AB149" s="32">
        <v>0</v>
      </c>
      <c r="AC149" s="32" t="s">
        <v>540</v>
      </c>
      <c r="AD149" s="32"/>
      <c r="AE149" s="32">
        <v>0</v>
      </c>
    </row>
    <row r="150" spans="1:31" x14ac:dyDescent="0.25">
      <c r="A150">
        <v>201</v>
      </c>
      <c r="B150" t="s">
        <v>430</v>
      </c>
      <c r="C150" t="s">
        <v>910</v>
      </c>
      <c r="D150" s="35">
        <v>150024</v>
      </c>
      <c r="E150">
        <v>1246269649</v>
      </c>
      <c r="F150" s="328">
        <v>46139</v>
      </c>
      <c r="H150" t="s">
        <v>28</v>
      </c>
      <c r="I150" t="s">
        <v>29</v>
      </c>
      <c r="J150">
        <v>11010</v>
      </c>
      <c r="K150" s="328">
        <v>46111</v>
      </c>
      <c r="L150">
        <v>1010100</v>
      </c>
      <c r="M150" t="s">
        <v>35</v>
      </c>
      <c r="N150">
        <v>-27</v>
      </c>
      <c r="O150" s="32">
        <v>0</v>
      </c>
      <c r="P150" s="32">
        <v>0</v>
      </c>
      <c r="Q150" s="32">
        <v>150024</v>
      </c>
      <c r="R150" s="32">
        <v>0</v>
      </c>
      <c r="S150" s="32">
        <v>0</v>
      </c>
      <c r="T150" s="32">
        <v>0</v>
      </c>
      <c r="U150" s="32">
        <v>0</v>
      </c>
      <c r="V150" s="32">
        <v>0</v>
      </c>
      <c r="W150" s="32">
        <v>0</v>
      </c>
      <c r="X150" s="32">
        <v>0</v>
      </c>
      <c r="Y150" s="32">
        <v>0</v>
      </c>
      <c r="Z150" s="32">
        <v>0</v>
      </c>
      <c r="AA150" s="32">
        <v>0</v>
      </c>
      <c r="AB150" s="32">
        <v>0</v>
      </c>
      <c r="AC150" s="32" t="s">
        <v>475</v>
      </c>
      <c r="AD150" s="32"/>
      <c r="AE150" s="32">
        <v>0</v>
      </c>
    </row>
    <row r="151" spans="1:31" x14ac:dyDescent="0.25">
      <c r="A151">
        <v>201</v>
      </c>
      <c r="B151" t="s">
        <v>430</v>
      </c>
      <c r="C151" t="s">
        <v>910</v>
      </c>
      <c r="D151" s="35">
        <v>185040</v>
      </c>
      <c r="E151">
        <v>1246269651</v>
      </c>
      <c r="F151" s="328">
        <v>46139</v>
      </c>
      <c r="H151" t="s">
        <v>28</v>
      </c>
      <c r="I151" t="s">
        <v>29</v>
      </c>
      <c r="J151">
        <v>2855</v>
      </c>
      <c r="K151" s="328">
        <v>46111</v>
      </c>
      <c r="L151">
        <v>1010100</v>
      </c>
      <c r="M151" t="s">
        <v>35</v>
      </c>
      <c r="N151">
        <v>-27</v>
      </c>
      <c r="O151" s="32">
        <v>0</v>
      </c>
      <c r="P151" s="32">
        <v>0</v>
      </c>
      <c r="Q151" s="32">
        <v>185040</v>
      </c>
      <c r="R151" s="32">
        <v>0</v>
      </c>
      <c r="S151" s="32">
        <v>0</v>
      </c>
      <c r="T151" s="32">
        <v>0</v>
      </c>
      <c r="U151" s="32">
        <v>0</v>
      </c>
      <c r="V151" s="32">
        <v>0</v>
      </c>
      <c r="W151" s="32">
        <v>0</v>
      </c>
      <c r="X151" s="32">
        <v>0</v>
      </c>
      <c r="Y151" s="32">
        <v>0</v>
      </c>
      <c r="Z151" s="32">
        <v>0</v>
      </c>
      <c r="AA151" s="32">
        <v>0</v>
      </c>
      <c r="AB151" s="32">
        <v>0</v>
      </c>
      <c r="AC151" s="32" t="s">
        <v>475</v>
      </c>
      <c r="AD151" s="32"/>
      <c r="AE151" s="32">
        <v>0</v>
      </c>
    </row>
    <row r="152" spans="1:31" x14ac:dyDescent="0.25">
      <c r="A152">
        <v>201</v>
      </c>
      <c r="B152" t="s">
        <v>430</v>
      </c>
      <c r="C152" t="s">
        <v>910</v>
      </c>
      <c r="D152" s="35">
        <v>185040</v>
      </c>
      <c r="E152">
        <v>1246269671</v>
      </c>
      <c r="F152" s="328">
        <v>46231</v>
      </c>
      <c r="H152" t="s">
        <v>28</v>
      </c>
      <c r="I152" t="s">
        <v>29</v>
      </c>
      <c r="J152">
        <v>2855</v>
      </c>
      <c r="K152" s="328">
        <v>46111</v>
      </c>
      <c r="L152">
        <v>1010100</v>
      </c>
      <c r="M152" t="s">
        <v>35</v>
      </c>
      <c r="N152">
        <v>-119</v>
      </c>
      <c r="O152" s="32">
        <v>0</v>
      </c>
      <c r="P152" s="32">
        <v>0</v>
      </c>
      <c r="Q152" s="32">
        <v>185040</v>
      </c>
      <c r="R152" s="32">
        <v>0</v>
      </c>
      <c r="S152" s="32">
        <v>0</v>
      </c>
      <c r="T152" s="32">
        <v>0</v>
      </c>
      <c r="U152" s="32">
        <v>0</v>
      </c>
      <c r="V152" s="32">
        <v>0</v>
      </c>
      <c r="W152" s="32">
        <v>0</v>
      </c>
      <c r="X152" s="32">
        <v>0</v>
      </c>
      <c r="Y152" s="32">
        <v>0</v>
      </c>
      <c r="Z152" s="32">
        <v>0</v>
      </c>
      <c r="AA152" s="32">
        <v>0</v>
      </c>
      <c r="AB152" s="32">
        <v>0</v>
      </c>
      <c r="AC152" s="32" t="s">
        <v>475</v>
      </c>
      <c r="AD152" s="32"/>
      <c r="AE152" s="32">
        <v>0</v>
      </c>
    </row>
    <row r="153" spans="1:31" x14ac:dyDescent="0.25">
      <c r="A153">
        <v>903</v>
      </c>
      <c r="B153" t="s">
        <v>420</v>
      </c>
      <c r="C153" t="s">
        <v>58</v>
      </c>
      <c r="D153" s="35">
        <v>134864.94</v>
      </c>
      <c r="E153">
        <v>1246265910</v>
      </c>
      <c r="F153" s="328">
        <v>46123</v>
      </c>
      <c r="H153" t="s">
        <v>28</v>
      </c>
      <c r="I153" t="s">
        <v>29</v>
      </c>
      <c r="J153">
        <v>10792</v>
      </c>
      <c r="K153" s="328">
        <v>46083</v>
      </c>
      <c r="L153">
        <v>1010100</v>
      </c>
      <c r="M153" t="s">
        <v>35</v>
      </c>
      <c r="N153">
        <v>-11</v>
      </c>
      <c r="O153" s="32">
        <v>0</v>
      </c>
      <c r="P153" s="32">
        <v>0</v>
      </c>
      <c r="Q153" s="32">
        <v>134864.94</v>
      </c>
      <c r="R153" s="32">
        <v>0</v>
      </c>
      <c r="S153" s="32">
        <v>0</v>
      </c>
      <c r="T153" s="32">
        <v>0</v>
      </c>
      <c r="U153" s="32">
        <v>0</v>
      </c>
      <c r="V153" s="32">
        <v>0</v>
      </c>
      <c r="W153" s="32">
        <v>0</v>
      </c>
      <c r="X153" s="32">
        <v>0</v>
      </c>
      <c r="Y153" s="32">
        <v>0</v>
      </c>
      <c r="Z153" s="32">
        <v>0</v>
      </c>
      <c r="AA153" s="32">
        <v>0</v>
      </c>
      <c r="AB153" s="32">
        <v>0</v>
      </c>
      <c r="AC153" s="32" t="s">
        <v>540</v>
      </c>
      <c r="AD153" s="32"/>
      <c r="AE153" s="32">
        <v>0</v>
      </c>
    </row>
    <row r="154" spans="1:31" x14ac:dyDescent="0.25">
      <c r="A154">
        <v>903</v>
      </c>
      <c r="B154" t="s">
        <v>420</v>
      </c>
      <c r="C154" t="s">
        <v>58</v>
      </c>
      <c r="D154" s="35">
        <v>134414.79</v>
      </c>
      <c r="E154">
        <v>1246264770</v>
      </c>
      <c r="F154" s="328">
        <v>46117</v>
      </c>
      <c r="H154" t="s">
        <v>28</v>
      </c>
      <c r="I154" t="s">
        <v>29</v>
      </c>
      <c r="J154">
        <v>10755</v>
      </c>
      <c r="K154" s="328">
        <v>46077</v>
      </c>
      <c r="L154">
        <v>1010100</v>
      </c>
      <c r="M154" t="s">
        <v>35</v>
      </c>
      <c r="N154">
        <v>-5</v>
      </c>
      <c r="O154" s="32">
        <v>0</v>
      </c>
      <c r="P154" s="32">
        <v>0</v>
      </c>
      <c r="Q154" s="32">
        <v>134414.79</v>
      </c>
      <c r="R154" s="32">
        <v>0</v>
      </c>
      <c r="S154" s="32">
        <v>0</v>
      </c>
      <c r="T154" s="32">
        <v>0</v>
      </c>
      <c r="U154" s="32">
        <v>0</v>
      </c>
      <c r="V154" s="32">
        <v>0</v>
      </c>
      <c r="W154" s="32">
        <v>0</v>
      </c>
      <c r="X154" s="32">
        <v>0</v>
      </c>
      <c r="Y154" s="32">
        <v>0</v>
      </c>
      <c r="Z154" s="32">
        <v>0</v>
      </c>
      <c r="AA154" s="32">
        <v>0</v>
      </c>
      <c r="AB154" s="32">
        <v>0</v>
      </c>
      <c r="AC154" s="32" t="s">
        <v>540</v>
      </c>
      <c r="AD154" s="32"/>
      <c r="AE154" s="32">
        <v>0</v>
      </c>
    </row>
    <row r="155" spans="1:31" x14ac:dyDescent="0.25">
      <c r="A155">
        <v>903</v>
      </c>
      <c r="B155" t="s">
        <v>420</v>
      </c>
      <c r="C155" t="s">
        <v>58</v>
      </c>
      <c r="D155" s="35">
        <v>134864.94</v>
      </c>
      <c r="E155">
        <v>1246269425</v>
      </c>
      <c r="F155" s="328">
        <v>46148</v>
      </c>
      <c r="H155" t="s">
        <v>28</v>
      </c>
      <c r="I155" t="s">
        <v>29</v>
      </c>
      <c r="J155">
        <v>10990</v>
      </c>
      <c r="K155" s="328">
        <v>46108</v>
      </c>
      <c r="L155">
        <v>1010100</v>
      </c>
      <c r="M155" t="s">
        <v>35</v>
      </c>
      <c r="N155">
        <v>-36</v>
      </c>
      <c r="O155" s="32">
        <v>0</v>
      </c>
      <c r="P155" s="32">
        <v>0</v>
      </c>
      <c r="Q155" s="32">
        <v>134864.94</v>
      </c>
      <c r="R155" s="32">
        <v>0</v>
      </c>
      <c r="S155" s="32">
        <v>0</v>
      </c>
      <c r="T155" s="32">
        <v>0</v>
      </c>
      <c r="U155" s="32">
        <v>0</v>
      </c>
      <c r="V155" s="32">
        <v>0</v>
      </c>
      <c r="W155" s="32">
        <v>0</v>
      </c>
      <c r="X155" s="32">
        <v>0</v>
      </c>
      <c r="Y155" s="32">
        <v>0</v>
      </c>
      <c r="Z155" s="32">
        <v>0</v>
      </c>
      <c r="AA155" s="32">
        <v>0</v>
      </c>
      <c r="AB155" s="32">
        <v>0</v>
      </c>
      <c r="AC155" s="32" t="s">
        <v>540</v>
      </c>
      <c r="AD155" s="32"/>
      <c r="AE155" s="32">
        <v>0</v>
      </c>
    </row>
    <row r="156" spans="1:31" x14ac:dyDescent="0.25">
      <c r="A156">
        <v>903</v>
      </c>
      <c r="B156" t="s">
        <v>420</v>
      </c>
      <c r="C156" t="s">
        <v>58</v>
      </c>
      <c r="D156" s="35">
        <v>134324.76</v>
      </c>
      <c r="E156">
        <v>1246266872</v>
      </c>
      <c r="F156" s="328">
        <v>46127</v>
      </c>
      <c r="H156" t="s">
        <v>28</v>
      </c>
      <c r="I156" t="s">
        <v>29</v>
      </c>
      <c r="J156">
        <v>10830</v>
      </c>
      <c r="K156" s="328">
        <v>46087</v>
      </c>
      <c r="L156">
        <v>1010100</v>
      </c>
      <c r="M156" t="s">
        <v>35</v>
      </c>
      <c r="N156">
        <v>-15</v>
      </c>
      <c r="O156" s="32">
        <v>0</v>
      </c>
      <c r="P156" s="32">
        <v>0</v>
      </c>
      <c r="Q156" s="32">
        <v>134324.76</v>
      </c>
      <c r="R156" s="32">
        <v>0</v>
      </c>
      <c r="S156" s="32">
        <v>0</v>
      </c>
      <c r="T156" s="32">
        <v>0</v>
      </c>
      <c r="U156" s="32">
        <v>0</v>
      </c>
      <c r="V156" s="32">
        <v>0</v>
      </c>
      <c r="W156" s="32">
        <v>0</v>
      </c>
      <c r="X156" s="32">
        <v>0</v>
      </c>
      <c r="Y156" s="32">
        <v>0</v>
      </c>
      <c r="Z156" s="32">
        <v>0</v>
      </c>
      <c r="AA156" s="32">
        <v>0</v>
      </c>
      <c r="AB156" s="32">
        <v>0</v>
      </c>
      <c r="AC156" s="32" t="s">
        <v>540</v>
      </c>
      <c r="AD156" s="32"/>
      <c r="AE156" s="32">
        <v>0</v>
      </c>
    </row>
    <row r="157" spans="1:31" x14ac:dyDescent="0.25">
      <c r="A157">
        <v>903</v>
      </c>
      <c r="B157" t="s">
        <v>420</v>
      </c>
      <c r="C157" t="s">
        <v>58</v>
      </c>
      <c r="D157" s="35">
        <v>135765.24</v>
      </c>
      <c r="E157">
        <v>1246267822</v>
      </c>
      <c r="F157" s="328">
        <v>46137</v>
      </c>
      <c r="H157" t="s">
        <v>28</v>
      </c>
      <c r="I157" t="s">
        <v>29</v>
      </c>
      <c r="J157">
        <v>10890</v>
      </c>
      <c r="K157" s="328">
        <v>46097</v>
      </c>
      <c r="L157">
        <v>1010100</v>
      </c>
      <c r="M157" t="s">
        <v>35</v>
      </c>
      <c r="N157">
        <v>-25</v>
      </c>
      <c r="O157" s="32">
        <v>0</v>
      </c>
      <c r="P157" s="32">
        <v>0</v>
      </c>
      <c r="Q157" s="32">
        <v>135765.24</v>
      </c>
      <c r="R157" s="32">
        <v>0</v>
      </c>
      <c r="S157" s="32">
        <v>0</v>
      </c>
      <c r="T157" s="32">
        <v>0</v>
      </c>
      <c r="U157" s="32">
        <v>0</v>
      </c>
      <c r="V157" s="32">
        <v>0</v>
      </c>
      <c r="W157" s="32">
        <v>0</v>
      </c>
      <c r="X157" s="32">
        <v>0</v>
      </c>
      <c r="Y157" s="32">
        <v>0</v>
      </c>
      <c r="Z157" s="32">
        <v>0</v>
      </c>
      <c r="AA157" s="32">
        <v>0</v>
      </c>
      <c r="AB157" s="32">
        <v>0</v>
      </c>
      <c r="AC157" s="32" t="s">
        <v>540</v>
      </c>
      <c r="AD157" s="32"/>
      <c r="AE157" s="32">
        <v>0</v>
      </c>
    </row>
    <row r="158" spans="1:31" x14ac:dyDescent="0.25">
      <c r="A158">
        <v>903</v>
      </c>
      <c r="B158" t="s">
        <v>420</v>
      </c>
      <c r="C158" t="s">
        <v>58</v>
      </c>
      <c r="D158" s="35">
        <v>133334.43</v>
      </c>
      <c r="E158">
        <v>1246268951</v>
      </c>
      <c r="F158" s="328">
        <v>46146</v>
      </c>
      <c r="H158" t="s">
        <v>28</v>
      </c>
      <c r="I158" t="s">
        <v>29</v>
      </c>
      <c r="J158">
        <v>10971</v>
      </c>
      <c r="K158" s="328">
        <v>46106</v>
      </c>
      <c r="L158">
        <v>1010100</v>
      </c>
      <c r="M158" t="s">
        <v>35</v>
      </c>
      <c r="N158">
        <v>-34</v>
      </c>
      <c r="O158" s="32">
        <v>0</v>
      </c>
      <c r="P158" s="32">
        <v>0</v>
      </c>
      <c r="Q158" s="32">
        <v>133334.43</v>
      </c>
      <c r="R158" s="32">
        <v>0</v>
      </c>
      <c r="S158" s="32">
        <v>0</v>
      </c>
      <c r="T158" s="32">
        <v>0</v>
      </c>
      <c r="U158" s="32">
        <v>0</v>
      </c>
      <c r="V158" s="32">
        <v>0</v>
      </c>
      <c r="W158" s="32">
        <v>0</v>
      </c>
      <c r="X158" s="32">
        <v>0</v>
      </c>
      <c r="Y158" s="32">
        <v>0</v>
      </c>
      <c r="Z158" s="32">
        <v>0</v>
      </c>
      <c r="AA158" s="32">
        <v>0</v>
      </c>
      <c r="AB158" s="32">
        <v>0</v>
      </c>
      <c r="AC158" s="32" t="s">
        <v>540</v>
      </c>
      <c r="AD158" s="32"/>
      <c r="AE158" s="32">
        <v>0</v>
      </c>
    </row>
    <row r="159" spans="1:31" x14ac:dyDescent="0.25">
      <c r="A159">
        <v>912</v>
      </c>
      <c r="B159" t="s">
        <v>421</v>
      </c>
      <c r="C159" t="s">
        <v>849</v>
      </c>
      <c r="D159" s="35">
        <v>99785</v>
      </c>
      <c r="E159">
        <v>1246264222</v>
      </c>
      <c r="F159" s="328">
        <v>46129</v>
      </c>
      <c r="H159" t="s">
        <v>28</v>
      </c>
      <c r="I159" t="s">
        <v>29</v>
      </c>
      <c r="J159">
        <v>2756</v>
      </c>
      <c r="K159" s="328">
        <v>46073</v>
      </c>
      <c r="L159">
        <v>1010100</v>
      </c>
      <c r="M159" t="s">
        <v>35</v>
      </c>
      <c r="N159">
        <v>-17</v>
      </c>
      <c r="O159" s="32">
        <v>0</v>
      </c>
      <c r="P159" s="32">
        <v>0</v>
      </c>
      <c r="Q159" s="32">
        <v>99785</v>
      </c>
      <c r="R159" s="32">
        <v>0</v>
      </c>
      <c r="S159" s="32">
        <v>0</v>
      </c>
      <c r="T159" s="32">
        <v>0</v>
      </c>
      <c r="U159" s="32">
        <v>0</v>
      </c>
      <c r="V159" s="32">
        <v>0</v>
      </c>
      <c r="W159" s="32">
        <v>0</v>
      </c>
      <c r="X159" s="32">
        <v>0</v>
      </c>
      <c r="Y159" s="32">
        <v>0</v>
      </c>
      <c r="Z159" s="32">
        <v>0</v>
      </c>
      <c r="AA159" s="32">
        <v>0</v>
      </c>
      <c r="AB159" s="32">
        <v>0</v>
      </c>
      <c r="AC159" s="32" t="s">
        <v>475</v>
      </c>
      <c r="AD159" s="32"/>
      <c r="AE159" s="32">
        <v>0</v>
      </c>
    </row>
    <row r="160" spans="1:31" x14ac:dyDescent="0.25">
      <c r="A160">
        <v>729</v>
      </c>
      <c r="B160" t="s">
        <v>532</v>
      </c>
      <c r="C160" t="s">
        <v>874</v>
      </c>
      <c r="D160" s="35">
        <v>69184</v>
      </c>
      <c r="E160">
        <v>1246267218</v>
      </c>
      <c r="F160" s="328">
        <v>46121</v>
      </c>
      <c r="H160" t="s">
        <v>28</v>
      </c>
      <c r="I160" t="s">
        <v>29</v>
      </c>
      <c r="J160">
        <v>10858</v>
      </c>
      <c r="K160" s="328">
        <v>46091</v>
      </c>
      <c r="L160">
        <v>1010100</v>
      </c>
      <c r="M160" t="s">
        <v>35</v>
      </c>
      <c r="N160">
        <v>-9</v>
      </c>
      <c r="O160" s="32">
        <v>0</v>
      </c>
      <c r="P160" s="32">
        <v>0</v>
      </c>
      <c r="Q160" s="32">
        <v>69184</v>
      </c>
      <c r="R160" s="32">
        <v>0</v>
      </c>
      <c r="S160" s="32">
        <v>0</v>
      </c>
      <c r="T160" s="32">
        <v>0</v>
      </c>
      <c r="U160" s="32">
        <v>0</v>
      </c>
      <c r="V160" s="32">
        <v>0</v>
      </c>
      <c r="W160" s="32">
        <v>0</v>
      </c>
      <c r="X160" s="32">
        <v>0</v>
      </c>
      <c r="Y160" s="32">
        <v>0</v>
      </c>
      <c r="Z160" s="32">
        <v>0</v>
      </c>
      <c r="AA160" s="32">
        <v>0</v>
      </c>
      <c r="AB160" s="32">
        <v>0</v>
      </c>
      <c r="AC160" s="32" t="s">
        <v>475</v>
      </c>
      <c r="AD160" s="32"/>
      <c r="AE160" s="32">
        <v>0</v>
      </c>
    </row>
    <row r="161" spans="1:31" x14ac:dyDescent="0.25">
      <c r="A161">
        <v>1159</v>
      </c>
      <c r="B161" t="s">
        <v>420</v>
      </c>
      <c r="C161" t="s">
        <v>61</v>
      </c>
      <c r="D161" s="35">
        <v>1458</v>
      </c>
      <c r="E161">
        <v>1246148463</v>
      </c>
      <c r="F161" s="328">
        <v>45443</v>
      </c>
      <c r="H161" t="s">
        <v>28</v>
      </c>
      <c r="I161" t="s">
        <v>29</v>
      </c>
      <c r="J161">
        <v>3446</v>
      </c>
      <c r="K161" s="328">
        <v>45415</v>
      </c>
      <c r="L161">
        <v>1010100</v>
      </c>
      <c r="M161" t="s">
        <v>35</v>
      </c>
      <c r="N161">
        <v>669</v>
      </c>
      <c r="O161" s="32">
        <v>0</v>
      </c>
      <c r="P161" s="32">
        <v>1458</v>
      </c>
      <c r="Q161" s="32">
        <v>0</v>
      </c>
      <c r="R161" s="32">
        <v>0</v>
      </c>
      <c r="S161" s="32">
        <v>0</v>
      </c>
      <c r="T161" s="32">
        <v>0</v>
      </c>
      <c r="U161" s="32">
        <v>1458</v>
      </c>
      <c r="V161" s="32">
        <v>0</v>
      </c>
      <c r="W161" s="32">
        <v>43.739999999999995</v>
      </c>
      <c r="X161" s="32">
        <v>1414.26</v>
      </c>
      <c r="Y161" s="32">
        <v>1414.26</v>
      </c>
      <c r="Z161" s="32">
        <v>1458</v>
      </c>
      <c r="AA161" s="32">
        <v>0</v>
      </c>
      <c r="AB161" s="32">
        <v>1458</v>
      </c>
      <c r="AC161" s="32" t="s">
        <v>540</v>
      </c>
      <c r="AD161" s="32"/>
      <c r="AE161" s="32">
        <v>1458</v>
      </c>
    </row>
    <row r="162" spans="1:31" x14ac:dyDescent="0.25">
      <c r="A162">
        <v>1159</v>
      </c>
      <c r="B162" t="s">
        <v>420</v>
      </c>
      <c r="C162" t="s">
        <v>61</v>
      </c>
      <c r="D162" s="35">
        <v>153659.6</v>
      </c>
      <c r="E162">
        <v>1246266347</v>
      </c>
      <c r="F162" s="328">
        <v>46125</v>
      </c>
      <c r="H162" t="s">
        <v>28</v>
      </c>
      <c r="I162" t="s">
        <v>29</v>
      </c>
      <c r="J162">
        <v>10810</v>
      </c>
      <c r="K162" s="328">
        <v>46085</v>
      </c>
      <c r="L162">
        <v>1010100</v>
      </c>
      <c r="M162" t="s">
        <v>35</v>
      </c>
      <c r="N162">
        <v>-13</v>
      </c>
      <c r="O162" s="32">
        <v>0</v>
      </c>
      <c r="P162" s="32">
        <v>0</v>
      </c>
      <c r="Q162" s="32">
        <v>153659.6</v>
      </c>
      <c r="R162" s="32">
        <v>0</v>
      </c>
      <c r="S162" s="32">
        <v>0</v>
      </c>
      <c r="T162" s="32">
        <v>0</v>
      </c>
      <c r="U162" s="32">
        <v>0</v>
      </c>
      <c r="V162" s="32">
        <v>0</v>
      </c>
      <c r="W162" s="32">
        <v>0</v>
      </c>
      <c r="X162" s="32">
        <v>0</v>
      </c>
      <c r="Y162" s="32">
        <v>0</v>
      </c>
      <c r="Z162" s="32">
        <v>0</v>
      </c>
      <c r="AA162" s="32">
        <v>0</v>
      </c>
      <c r="AB162" s="32">
        <v>0</v>
      </c>
      <c r="AC162" s="32" t="s">
        <v>540</v>
      </c>
      <c r="AD162" s="32"/>
      <c r="AE162" s="32">
        <v>0</v>
      </c>
    </row>
    <row r="163" spans="1:31" x14ac:dyDescent="0.25">
      <c r="A163">
        <v>1159</v>
      </c>
      <c r="B163" t="s">
        <v>420</v>
      </c>
      <c r="C163" t="s">
        <v>61</v>
      </c>
      <c r="D163" s="35">
        <v>152155.1</v>
      </c>
      <c r="E163">
        <v>1246265729</v>
      </c>
      <c r="F163" s="328">
        <v>46120</v>
      </c>
      <c r="H163" t="s">
        <v>28</v>
      </c>
      <c r="I163" t="s">
        <v>29</v>
      </c>
      <c r="J163">
        <v>10784</v>
      </c>
      <c r="K163" s="328">
        <v>46080</v>
      </c>
      <c r="L163">
        <v>1010100</v>
      </c>
      <c r="M163" t="s">
        <v>35</v>
      </c>
      <c r="N163">
        <v>-8</v>
      </c>
      <c r="O163" s="32">
        <v>0</v>
      </c>
      <c r="P163" s="32">
        <v>0</v>
      </c>
      <c r="Q163" s="32">
        <v>152155.1</v>
      </c>
      <c r="R163" s="32">
        <v>0</v>
      </c>
      <c r="S163" s="32">
        <v>0</v>
      </c>
      <c r="T163" s="32">
        <v>0</v>
      </c>
      <c r="U163" s="32">
        <v>0</v>
      </c>
      <c r="V163" s="32">
        <v>0</v>
      </c>
      <c r="W163" s="32">
        <v>0</v>
      </c>
      <c r="X163" s="32">
        <v>0</v>
      </c>
      <c r="Y163" s="32">
        <v>0</v>
      </c>
      <c r="Z163" s="32">
        <v>0</v>
      </c>
      <c r="AA163" s="32">
        <v>0</v>
      </c>
      <c r="AB163" s="32">
        <v>0</v>
      </c>
      <c r="AC163" s="32" t="s">
        <v>540</v>
      </c>
      <c r="AD163" s="32"/>
      <c r="AE163" s="32">
        <v>0</v>
      </c>
    </row>
    <row r="164" spans="1:31" x14ac:dyDescent="0.25">
      <c r="A164">
        <v>1159</v>
      </c>
      <c r="B164" t="s">
        <v>420</v>
      </c>
      <c r="C164" t="s">
        <v>61</v>
      </c>
      <c r="D164" s="35">
        <v>148143.1</v>
      </c>
      <c r="E164">
        <v>1246266884</v>
      </c>
      <c r="F164" s="328">
        <v>46127</v>
      </c>
      <c r="H164" t="s">
        <v>28</v>
      </c>
      <c r="I164" t="s">
        <v>29</v>
      </c>
      <c r="J164">
        <v>10832</v>
      </c>
      <c r="K164" s="328">
        <v>46087</v>
      </c>
      <c r="L164">
        <v>1010100</v>
      </c>
      <c r="M164" t="s">
        <v>35</v>
      </c>
      <c r="N164">
        <v>-15</v>
      </c>
      <c r="O164" s="32">
        <v>0</v>
      </c>
      <c r="P164" s="32">
        <v>0</v>
      </c>
      <c r="Q164" s="32">
        <v>148143.1</v>
      </c>
      <c r="R164" s="32">
        <v>0</v>
      </c>
      <c r="S164" s="32">
        <v>0</v>
      </c>
      <c r="T164" s="32">
        <v>0</v>
      </c>
      <c r="U164" s="32">
        <v>0</v>
      </c>
      <c r="V164" s="32">
        <v>0</v>
      </c>
      <c r="W164" s="32">
        <v>0</v>
      </c>
      <c r="X164" s="32">
        <v>0</v>
      </c>
      <c r="Y164" s="32">
        <v>0</v>
      </c>
      <c r="Z164" s="32">
        <v>0</v>
      </c>
      <c r="AA164" s="32">
        <v>0</v>
      </c>
      <c r="AB164" s="32">
        <v>0</v>
      </c>
      <c r="AC164" s="32" t="s">
        <v>540</v>
      </c>
      <c r="AD164" s="32"/>
      <c r="AE164" s="32">
        <v>0</v>
      </c>
    </row>
    <row r="165" spans="1:31" x14ac:dyDescent="0.25">
      <c r="A165">
        <v>1159</v>
      </c>
      <c r="B165" t="s">
        <v>420</v>
      </c>
      <c r="C165" t="s">
        <v>61</v>
      </c>
      <c r="D165" s="35">
        <v>271741.03999999998</v>
      </c>
      <c r="E165">
        <v>1246269608</v>
      </c>
      <c r="F165" s="328">
        <v>46151</v>
      </c>
      <c r="H165" t="s">
        <v>28</v>
      </c>
      <c r="I165" t="s">
        <v>29</v>
      </c>
      <c r="J165">
        <v>11006</v>
      </c>
      <c r="K165" s="328">
        <v>46111</v>
      </c>
      <c r="L165">
        <v>1010100</v>
      </c>
      <c r="M165" t="s">
        <v>35</v>
      </c>
      <c r="N165">
        <v>-39</v>
      </c>
      <c r="O165" s="32">
        <v>0</v>
      </c>
      <c r="P165" s="32">
        <v>0</v>
      </c>
      <c r="Q165" s="32">
        <v>271741.03999999998</v>
      </c>
      <c r="R165" s="32">
        <v>0</v>
      </c>
      <c r="S165" s="32">
        <v>0</v>
      </c>
      <c r="T165" s="32">
        <v>0</v>
      </c>
      <c r="U165" s="32">
        <v>0</v>
      </c>
      <c r="V165" s="32">
        <v>0</v>
      </c>
      <c r="W165" s="32">
        <v>0</v>
      </c>
      <c r="X165" s="32">
        <v>0</v>
      </c>
      <c r="Y165" s="32">
        <v>0</v>
      </c>
      <c r="Z165" s="32">
        <v>0</v>
      </c>
      <c r="AA165" s="32">
        <v>0</v>
      </c>
      <c r="AB165" s="32">
        <v>0</v>
      </c>
      <c r="AC165" s="32" t="s">
        <v>540</v>
      </c>
      <c r="AD165" s="32"/>
      <c r="AE165" s="32">
        <v>0</v>
      </c>
    </row>
    <row r="166" spans="1:31" x14ac:dyDescent="0.25">
      <c r="A166">
        <v>1159</v>
      </c>
      <c r="B166" t="s">
        <v>420</v>
      </c>
      <c r="C166" t="s">
        <v>61</v>
      </c>
      <c r="D166" s="35">
        <v>151152.1</v>
      </c>
      <c r="E166">
        <v>1246267195</v>
      </c>
      <c r="F166" s="328">
        <v>46131</v>
      </c>
      <c r="H166" t="s">
        <v>28</v>
      </c>
      <c r="I166" t="s">
        <v>29</v>
      </c>
      <c r="J166">
        <v>10855</v>
      </c>
      <c r="K166" s="328">
        <v>46091</v>
      </c>
      <c r="L166">
        <v>1010100</v>
      </c>
      <c r="M166" t="s">
        <v>35</v>
      </c>
      <c r="N166">
        <v>-19</v>
      </c>
      <c r="O166" s="32">
        <v>0</v>
      </c>
      <c r="P166" s="32">
        <v>0</v>
      </c>
      <c r="Q166" s="32">
        <v>151152.1</v>
      </c>
      <c r="R166" s="32">
        <v>0</v>
      </c>
      <c r="S166" s="32">
        <v>0</v>
      </c>
      <c r="T166" s="32">
        <v>0</v>
      </c>
      <c r="U166" s="32">
        <v>0</v>
      </c>
      <c r="V166" s="32">
        <v>0</v>
      </c>
      <c r="W166" s="32">
        <v>0</v>
      </c>
      <c r="X166" s="32">
        <v>0</v>
      </c>
      <c r="Y166" s="32">
        <v>0</v>
      </c>
      <c r="Z166" s="32">
        <v>0</v>
      </c>
      <c r="AA166" s="32">
        <v>0</v>
      </c>
      <c r="AB166" s="32">
        <v>0</v>
      </c>
      <c r="AC166" s="32" t="s">
        <v>540</v>
      </c>
      <c r="AD166" s="32"/>
      <c r="AE166" s="32">
        <v>0</v>
      </c>
    </row>
    <row r="167" spans="1:31" x14ac:dyDescent="0.25">
      <c r="A167">
        <v>1159</v>
      </c>
      <c r="B167" t="s">
        <v>420</v>
      </c>
      <c r="C167" t="s">
        <v>61</v>
      </c>
      <c r="D167" s="35">
        <v>272193.64</v>
      </c>
      <c r="E167">
        <v>1246269418</v>
      </c>
      <c r="F167" s="328">
        <v>46148</v>
      </c>
      <c r="H167" t="s">
        <v>28</v>
      </c>
      <c r="I167" t="s">
        <v>29</v>
      </c>
      <c r="J167">
        <v>10988</v>
      </c>
      <c r="K167" s="328">
        <v>46108</v>
      </c>
      <c r="L167">
        <v>1010100</v>
      </c>
      <c r="M167" t="s">
        <v>35</v>
      </c>
      <c r="N167">
        <v>-36</v>
      </c>
      <c r="O167" s="32">
        <v>0</v>
      </c>
      <c r="P167" s="32">
        <v>0</v>
      </c>
      <c r="Q167" s="32">
        <v>272193.64</v>
      </c>
      <c r="R167" s="32">
        <v>0</v>
      </c>
      <c r="S167" s="32">
        <v>0</v>
      </c>
      <c r="T167" s="32">
        <v>0</v>
      </c>
      <c r="U167" s="32">
        <v>0</v>
      </c>
      <c r="V167" s="32">
        <v>0</v>
      </c>
      <c r="W167" s="32">
        <v>0</v>
      </c>
      <c r="X167" s="32">
        <v>0</v>
      </c>
      <c r="Y167" s="32">
        <v>0</v>
      </c>
      <c r="Z167" s="32">
        <v>0</v>
      </c>
      <c r="AA167" s="32">
        <v>0</v>
      </c>
      <c r="AB167" s="32">
        <v>0</v>
      </c>
      <c r="AC167" s="32" t="s">
        <v>540</v>
      </c>
      <c r="AD167" s="32"/>
      <c r="AE167" s="32">
        <v>0</v>
      </c>
    </row>
    <row r="168" spans="1:31" x14ac:dyDescent="0.25">
      <c r="A168">
        <v>1159</v>
      </c>
      <c r="B168" t="s">
        <v>420</v>
      </c>
      <c r="C168" t="s">
        <v>61</v>
      </c>
      <c r="D168" s="35">
        <v>149246.39999999999</v>
      </c>
      <c r="E168">
        <v>1246267833</v>
      </c>
      <c r="F168" s="328">
        <v>46137</v>
      </c>
      <c r="H168" t="s">
        <v>28</v>
      </c>
      <c r="I168" t="s">
        <v>29</v>
      </c>
      <c r="J168">
        <v>10893</v>
      </c>
      <c r="K168" s="328">
        <v>46097</v>
      </c>
      <c r="L168">
        <v>1010100</v>
      </c>
      <c r="M168" t="s">
        <v>35</v>
      </c>
      <c r="N168">
        <v>-25</v>
      </c>
      <c r="O168" s="32">
        <v>0</v>
      </c>
      <c r="P168" s="32">
        <v>0</v>
      </c>
      <c r="Q168" s="32">
        <v>149246.39999999999</v>
      </c>
      <c r="R168" s="32">
        <v>0</v>
      </c>
      <c r="S168" s="32">
        <v>0</v>
      </c>
      <c r="T168" s="32">
        <v>0</v>
      </c>
      <c r="U168" s="32">
        <v>0</v>
      </c>
      <c r="V168" s="32">
        <v>0</v>
      </c>
      <c r="W168" s="32">
        <v>0</v>
      </c>
      <c r="X168" s="32">
        <v>0</v>
      </c>
      <c r="Y168" s="32">
        <v>0</v>
      </c>
      <c r="Z168" s="32">
        <v>0</v>
      </c>
      <c r="AA168" s="32">
        <v>0</v>
      </c>
      <c r="AB168" s="32">
        <v>0</v>
      </c>
      <c r="AC168" s="32" t="s">
        <v>540</v>
      </c>
      <c r="AD168" s="32"/>
      <c r="AE168" s="32">
        <v>0</v>
      </c>
    </row>
    <row r="169" spans="1:31" x14ac:dyDescent="0.25">
      <c r="A169">
        <v>1159</v>
      </c>
      <c r="B169" t="s">
        <v>420</v>
      </c>
      <c r="C169" t="s">
        <v>61</v>
      </c>
      <c r="D169" s="35">
        <v>272465.2</v>
      </c>
      <c r="E169">
        <v>1246268414</v>
      </c>
      <c r="F169" s="328">
        <v>46140</v>
      </c>
      <c r="H169" t="s">
        <v>28</v>
      </c>
      <c r="I169" t="s">
        <v>29</v>
      </c>
      <c r="J169">
        <v>10931</v>
      </c>
      <c r="K169" s="328">
        <v>46100</v>
      </c>
      <c r="L169">
        <v>1010100</v>
      </c>
      <c r="M169" t="s">
        <v>35</v>
      </c>
      <c r="N169">
        <v>-28</v>
      </c>
      <c r="O169" s="32">
        <v>0</v>
      </c>
      <c r="P169" s="32">
        <v>0</v>
      </c>
      <c r="Q169" s="32">
        <v>272465.2</v>
      </c>
      <c r="R169" s="32">
        <v>0</v>
      </c>
      <c r="S169" s="32">
        <v>0</v>
      </c>
      <c r="T169" s="32">
        <v>0</v>
      </c>
      <c r="U169" s="32">
        <v>0</v>
      </c>
      <c r="V169" s="32">
        <v>0</v>
      </c>
      <c r="W169" s="32">
        <v>0</v>
      </c>
      <c r="X169" s="32">
        <v>0</v>
      </c>
      <c r="Y169" s="32">
        <v>0</v>
      </c>
      <c r="Z169" s="32">
        <v>0</v>
      </c>
      <c r="AA169" s="32">
        <v>0</v>
      </c>
      <c r="AB169" s="32">
        <v>0</v>
      </c>
      <c r="AC169" s="32" t="s">
        <v>540</v>
      </c>
      <c r="AD169" s="32"/>
      <c r="AE169" s="32">
        <v>0</v>
      </c>
    </row>
    <row r="170" spans="1:31" x14ac:dyDescent="0.25">
      <c r="A170">
        <v>1159</v>
      </c>
      <c r="B170" t="s">
        <v>420</v>
      </c>
      <c r="C170" t="s">
        <v>61</v>
      </c>
      <c r="D170" s="35">
        <v>150851.20000000001</v>
      </c>
      <c r="E170">
        <v>1246267633</v>
      </c>
      <c r="F170" s="328">
        <v>46134</v>
      </c>
      <c r="H170" t="s">
        <v>28</v>
      </c>
      <c r="I170" t="s">
        <v>29</v>
      </c>
      <c r="J170">
        <v>10875</v>
      </c>
      <c r="K170" s="328">
        <v>46094</v>
      </c>
      <c r="L170">
        <v>1010100</v>
      </c>
      <c r="M170" t="s">
        <v>35</v>
      </c>
      <c r="N170">
        <v>-22</v>
      </c>
      <c r="O170" s="32">
        <v>0</v>
      </c>
      <c r="P170" s="32">
        <v>0</v>
      </c>
      <c r="Q170" s="32">
        <v>150851.20000000001</v>
      </c>
      <c r="R170" s="32">
        <v>0</v>
      </c>
      <c r="S170" s="32">
        <v>0</v>
      </c>
      <c r="T170" s="32">
        <v>0</v>
      </c>
      <c r="U170" s="32">
        <v>0</v>
      </c>
      <c r="V170" s="32">
        <v>0</v>
      </c>
      <c r="W170" s="32">
        <v>0</v>
      </c>
      <c r="X170" s="32">
        <v>0</v>
      </c>
      <c r="Y170" s="32">
        <v>0</v>
      </c>
      <c r="Z170" s="32">
        <v>0</v>
      </c>
      <c r="AA170" s="32">
        <v>0</v>
      </c>
      <c r="AB170" s="32">
        <v>0</v>
      </c>
      <c r="AC170" s="32" t="s">
        <v>540</v>
      </c>
      <c r="AD170" s="32"/>
      <c r="AE170" s="32">
        <v>0</v>
      </c>
    </row>
    <row r="171" spans="1:31" x14ac:dyDescent="0.25">
      <c r="A171">
        <v>1159</v>
      </c>
      <c r="B171" t="s">
        <v>420</v>
      </c>
      <c r="C171" t="s">
        <v>61</v>
      </c>
      <c r="D171" s="35">
        <v>272555.71999999997</v>
      </c>
      <c r="E171">
        <v>1246268636</v>
      </c>
      <c r="F171" s="328">
        <v>46144</v>
      </c>
      <c r="H171" t="s">
        <v>28</v>
      </c>
      <c r="I171" t="s">
        <v>29</v>
      </c>
      <c r="J171">
        <v>10958</v>
      </c>
      <c r="K171" s="328">
        <v>46104</v>
      </c>
      <c r="L171">
        <v>1010100</v>
      </c>
      <c r="M171" t="s">
        <v>35</v>
      </c>
      <c r="N171">
        <v>-32</v>
      </c>
      <c r="O171" s="32">
        <v>0</v>
      </c>
      <c r="P171" s="32">
        <v>0</v>
      </c>
      <c r="Q171" s="32">
        <v>272555.71999999997</v>
      </c>
      <c r="R171" s="32">
        <v>0</v>
      </c>
      <c r="S171" s="32">
        <v>0</v>
      </c>
      <c r="T171" s="32">
        <v>0</v>
      </c>
      <c r="U171" s="32">
        <v>0</v>
      </c>
      <c r="V171" s="32">
        <v>0</v>
      </c>
      <c r="W171" s="32">
        <v>0</v>
      </c>
      <c r="X171" s="32">
        <v>0</v>
      </c>
      <c r="Y171" s="32">
        <v>0</v>
      </c>
      <c r="Z171" s="32">
        <v>0</v>
      </c>
      <c r="AA171" s="32">
        <v>0</v>
      </c>
      <c r="AB171" s="32">
        <v>0</v>
      </c>
      <c r="AC171" s="32" t="s">
        <v>540</v>
      </c>
      <c r="AD171" s="32"/>
      <c r="AE171" s="32">
        <v>0</v>
      </c>
    </row>
    <row r="172" spans="1:31" x14ac:dyDescent="0.25">
      <c r="A172">
        <v>1159</v>
      </c>
      <c r="B172" t="s">
        <v>420</v>
      </c>
      <c r="C172" t="s">
        <v>61</v>
      </c>
      <c r="D172" s="35">
        <v>271560</v>
      </c>
      <c r="E172">
        <v>1246264420</v>
      </c>
      <c r="F172" s="328">
        <v>46113</v>
      </c>
      <c r="H172" t="s">
        <v>28</v>
      </c>
      <c r="I172" t="s">
        <v>29</v>
      </c>
      <c r="J172">
        <v>10736</v>
      </c>
      <c r="K172" s="328">
        <v>46073</v>
      </c>
      <c r="L172">
        <v>1010100</v>
      </c>
      <c r="M172" t="s">
        <v>35</v>
      </c>
      <c r="N172">
        <v>-1</v>
      </c>
      <c r="O172" s="32">
        <v>0</v>
      </c>
      <c r="P172" s="32">
        <v>0</v>
      </c>
      <c r="Q172" s="32">
        <v>271560</v>
      </c>
      <c r="R172" s="32">
        <v>0</v>
      </c>
      <c r="S172" s="32">
        <v>0</v>
      </c>
      <c r="T172" s="32">
        <v>0</v>
      </c>
      <c r="U172" s="32">
        <v>0</v>
      </c>
      <c r="V172" s="32">
        <v>0</v>
      </c>
      <c r="W172" s="32">
        <v>0</v>
      </c>
      <c r="X172" s="32">
        <v>0</v>
      </c>
      <c r="Y172" s="32">
        <v>0</v>
      </c>
      <c r="Z172" s="32">
        <v>0</v>
      </c>
      <c r="AA172" s="32">
        <v>0</v>
      </c>
      <c r="AB172" s="32">
        <v>0</v>
      </c>
      <c r="AC172" s="32" t="s">
        <v>540</v>
      </c>
      <c r="AD172" s="32"/>
      <c r="AE172" s="32">
        <v>0</v>
      </c>
    </row>
    <row r="173" spans="1:31" x14ac:dyDescent="0.25">
      <c r="A173">
        <v>456</v>
      </c>
      <c r="B173" t="s">
        <v>658</v>
      </c>
      <c r="C173" t="s">
        <v>714</v>
      </c>
      <c r="D173" s="35">
        <v>99532</v>
      </c>
      <c r="E173">
        <v>1246268583</v>
      </c>
      <c r="F173" s="328">
        <v>46129</v>
      </c>
      <c r="H173" t="s">
        <v>28</v>
      </c>
      <c r="I173" t="s">
        <v>29</v>
      </c>
      <c r="J173">
        <v>10952</v>
      </c>
      <c r="K173" s="328">
        <v>46101</v>
      </c>
      <c r="L173">
        <v>1010100</v>
      </c>
      <c r="M173" t="s">
        <v>35</v>
      </c>
      <c r="N173">
        <v>-17</v>
      </c>
      <c r="O173" s="32">
        <v>0</v>
      </c>
      <c r="P173" s="32">
        <v>0</v>
      </c>
      <c r="Q173" s="32">
        <v>99532</v>
      </c>
      <c r="R173" s="32">
        <v>0</v>
      </c>
      <c r="S173" s="32">
        <v>0</v>
      </c>
      <c r="T173" s="32">
        <v>0</v>
      </c>
      <c r="U173" s="32">
        <v>0</v>
      </c>
      <c r="V173" s="32">
        <v>0</v>
      </c>
      <c r="W173" s="32">
        <v>0</v>
      </c>
      <c r="X173" s="32">
        <v>0</v>
      </c>
      <c r="Y173" s="32">
        <v>0</v>
      </c>
      <c r="Z173" s="32">
        <v>0</v>
      </c>
      <c r="AA173" s="32">
        <v>0</v>
      </c>
      <c r="AB173" s="32">
        <v>0</v>
      </c>
      <c r="AC173" s="32" t="s">
        <v>475</v>
      </c>
      <c r="AD173" s="32"/>
      <c r="AE173" s="32">
        <v>0</v>
      </c>
    </row>
    <row r="174" spans="1:31" x14ac:dyDescent="0.25">
      <c r="A174">
        <v>456</v>
      </c>
      <c r="B174" t="s">
        <v>658</v>
      </c>
      <c r="C174" t="s">
        <v>714</v>
      </c>
      <c r="D174" s="35">
        <v>3393</v>
      </c>
      <c r="E174">
        <v>1246245610</v>
      </c>
      <c r="F174" s="328">
        <v>45973</v>
      </c>
      <c r="H174" t="s">
        <v>28</v>
      </c>
      <c r="I174" t="s">
        <v>29</v>
      </c>
      <c r="J174">
        <v>9692</v>
      </c>
      <c r="K174" s="328">
        <v>45945</v>
      </c>
      <c r="L174">
        <v>1010100</v>
      </c>
      <c r="M174" t="s">
        <v>35</v>
      </c>
      <c r="N174">
        <v>139</v>
      </c>
      <c r="O174" s="32">
        <v>0</v>
      </c>
      <c r="P174" s="32">
        <v>101.78999999999999</v>
      </c>
      <c r="Q174" s="32">
        <v>0</v>
      </c>
      <c r="R174" s="32">
        <v>0</v>
      </c>
      <c r="S174" s="32">
        <v>3393</v>
      </c>
      <c r="T174" s="32">
        <v>0</v>
      </c>
      <c r="U174" s="32">
        <v>0</v>
      </c>
      <c r="V174" s="32">
        <v>0</v>
      </c>
      <c r="W174" s="32">
        <v>101.78999999999999</v>
      </c>
      <c r="X174" s="32">
        <v>0</v>
      </c>
      <c r="Y174" s="32">
        <v>0</v>
      </c>
      <c r="Z174" s="32">
        <v>0</v>
      </c>
      <c r="AA174" s="32">
        <v>0</v>
      </c>
      <c r="AB174" s="32">
        <v>101.78999999999999</v>
      </c>
      <c r="AC174" s="32" t="s">
        <v>475</v>
      </c>
      <c r="AD174" s="32"/>
      <c r="AE174" s="32">
        <v>0</v>
      </c>
    </row>
    <row r="175" spans="1:31" x14ac:dyDescent="0.25">
      <c r="A175">
        <v>3232</v>
      </c>
      <c r="B175" t="s">
        <v>532</v>
      </c>
      <c r="C175" t="s">
        <v>477</v>
      </c>
      <c r="D175" s="35">
        <v>169290.6</v>
      </c>
      <c r="E175">
        <v>1246269505</v>
      </c>
      <c r="F175" s="328">
        <v>46138</v>
      </c>
      <c r="H175" t="s">
        <v>28</v>
      </c>
      <c r="I175" t="s">
        <v>29</v>
      </c>
      <c r="J175">
        <v>10997</v>
      </c>
      <c r="K175" s="328">
        <v>46108</v>
      </c>
      <c r="L175">
        <v>1010100</v>
      </c>
      <c r="M175" t="s">
        <v>35</v>
      </c>
      <c r="N175">
        <v>-26</v>
      </c>
      <c r="O175" s="32">
        <v>0</v>
      </c>
      <c r="P175" s="32">
        <v>0</v>
      </c>
      <c r="Q175" s="32">
        <v>169290.6</v>
      </c>
      <c r="R175" s="32">
        <v>0</v>
      </c>
      <c r="S175" s="32">
        <v>0</v>
      </c>
      <c r="T175" s="32">
        <v>0</v>
      </c>
      <c r="U175" s="32">
        <v>0</v>
      </c>
      <c r="V175" s="32">
        <v>0</v>
      </c>
      <c r="W175" s="32">
        <v>0</v>
      </c>
      <c r="X175" s="32">
        <v>0</v>
      </c>
      <c r="Y175" s="32">
        <v>0</v>
      </c>
      <c r="Z175" s="32">
        <v>0</v>
      </c>
      <c r="AA175" s="32">
        <v>0</v>
      </c>
      <c r="AB175" s="32">
        <v>0</v>
      </c>
      <c r="AC175" s="32" t="s">
        <v>475</v>
      </c>
      <c r="AD175" s="32"/>
      <c r="AE175" s="32">
        <v>0</v>
      </c>
    </row>
    <row r="176" spans="1:31" x14ac:dyDescent="0.25">
      <c r="A176">
        <v>3232</v>
      </c>
      <c r="B176" t="s">
        <v>532</v>
      </c>
      <c r="C176" t="s">
        <v>477</v>
      </c>
      <c r="D176" s="35">
        <v>169573.6</v>
      </c>
      <c r="E176">
        <v>1246266098</v>
      </c>
      <c r="F176" s="328">
        <v>46114</v>
      </c>
      <c r="H176" t="s">
        <v>28</v>
      </c>
      <c r="I176" t="s">
        <v>29</v>
      </c>
      <c r="J176">
        <v>10802</v>
      </c>
      <c r="K176" s="328">
        <v>46084</v>
      </c>
      <c r="L176">
        <v>1010100</v>
      </c>
      <c r="M176" t="s">
        <v>35</v>
      </c>
      <c r="N176">
        <v>-2</v>
      </c>
      <c r="O176" s="32">
        <v>0</v>
      </c>
      <c r="P176" s="32">
        <v>0</v>
      </c>
      <c r="Q176" s="32">
        <v>169573.6</v>
      </c>
      <c r="R176" s="32">
        <v>0</v>
      </c>
      <c r="S176" s="32">
        <v>0</v>
      </c>
      <c r="T176" s="32">
        <v>0</v>
      </c>
      <c r="U176" s="32">
        <v>0</v>
      </c>
      <c r="V176" s="32">
        <v>0</v>
      </c>
      <c r="W176" s="32">
        <v>0</v>
      </c>
      <c r="X176" s="32">
        <v>0</v>
      </c>
      <c r="Y176" s="32">
        <v>0</v>
      </c>
      <c r="Z176" s="32">
        <v>0</v>
      </c>
      <c r="AA176" s="32">
        <v>0</v>
      </c>
      <c r="AB176" s="32">
        <v>0</v>
      </c>
      <c r="AC176" s="32" t="s">
        <v>475</v>
      </c>
      <c r="AD176" s="32"/>
      <c r="AE176" s="32">
        <v>0</v>
      </c>
    </row>
    <row r="177" spans="1:31" x14ac:dyDescent="0.25">
      <c r="A177">
        <v>2992</v>
      </c>
      <c r="B177" t="s">
        <v>422</v>
      </c>
      <c r="C177" t="s">
        <v>88</v>
      </c>
      <c r="D177" s="35">
        <v>10200.799999999999</v>
      </c>
      <c r="E177">
        <v>1246228457</v>
      </c>
      <c r="F177" s="328">
        <v>46101</v>
      </c>
      <c r="H177" t="s">
        <v>28</v>
      </c>
      <c r="I177" t="s">
        <v>29</v>
      </c>
      <c r="J177">
        <v>4377</v>
      </c>
      <c r="K177" s="328">
        <v>45493</v>
      </c>
      <c r="L177">
        <v>1010100</v>
      </c>
      <c r="M177" t="s">
        <v>35</v>
      </c>
      <c r="N177">
        <v>11</v>
      </c>
      <c r="O177" s="32">
        <v>0</v>
      </c>
      <c r="P177" s="32">
        <v>0</v>
      </c>
      <c r="Q177" s="32">
        <v>0</v>
      </c>
      <c r="R177" s="32">
        <v>10200.799999999999</v>
      </c>
      <c r="S177" s="32">
        <v>0</v>
      </c>
      <c r="T177" s="32">
        <v>0</v>
      </c>
      <c r="U177" s="32">
        <v>0</v>
      </c>
      <c r="V177" s="32">
        <v>0</v>
      </c>
      <c r="W177" s="32">
        <v>0</v>
      </c>
      <c r="X177" s="32">
        <v>0</v>
      </c>
      <c r="Y177" s="32">
        <v>0</v>
      </c>
      <c r="Z177" s="32">
        <v>0</v>
      </c>
      <c r="AA177" s="32">
        <v>0</v>
      </c>
      <c r="AB177" s="32">
        <v>0</v>
      </c>
      <c r="AC177" s="32" t="s">
        <v>475</v>
      </c>
      <c r="AD177" s="32"/>
      <c r="AE177" s="32">
        <v>0</v>
      </c>
    </row>
    <row r="178" spans="1:31" x14ac:dyDescent="0.25">
      <c r="A178">
        <v>2992</v>
      </c>
      <c r="B178" t="s">
        <v>422</v>
      </c>
      <c r="C178" t="s">
        <v>88</v>
      </c>
      <c r="D178" s="35">
        <v>10200.799999999999</v>
      </c>
      <c r="E178">
        <v>1246228456</v>
      </c>
      <c r="F178" s="328">
        <v>46133</v>
      </c>
      <c r="H178" t="s">
        <v>28</v>
      </c>
      <c r="I178" t="s">
        <v>29</v>
      </c>
      <c r="J178">
        <v>4377</v>
      </c>
      <c r="K178" s="328">
        <v>45493</v>
      </c>
      <c r="L178">
        <v>1010100</v>
      </c>
      <c r="M178" t="s">
        <v>35</v>
      </c>
      <c r="N178">
        <v>-21</v>
      </c>
      <c r="O178" s="32">
        <v>0</v>
      </c>
      <c r="P178" s="32">
        <v>0</v>
      </c>
      <c r="Q178" s="32">
        <v>10200.799999999999</v>
      </c>
      <c r="R178" s="32">
        <v>0</v>
      </c>
      <c r="S178" s="32">
        <v>0</v>
      </c>
      <c r="T178" s="32">
        <v>0</v>
      </c>
      <c r="U178" s="32">
        <v>0</v>
      </c>
      <c r="V178" s="32">
        <v>0</v>
      </c>
      <c r="W178" s="32">
        <v>0</v>
      </c>
      <c r="X178" s="32">
        <v>0</v>
      </c>
      <c r="Y178" s="32">
        <v>0</v>
      </c>
      <c r="Z178" s="32">
        <v>0</v>
      </c>
      <c r="AA178" s="32">
        <v>0</v>
      </c>
      <c r="AB178" s="32">
        <v>0</v>
      </c>
      <c r="AC178" s="32" t="s">
        <v>475</v>
      </c>
      <c r="AD178" s="32"/>
      <c r="AE178" s="32">
        <v>0</v>
      </c>
    </row>
    <row r="179" spans="1:31" x14ac:dyDescent="0.25">
      <c r="A179">
        <v>215</v>
      </c>
      <c r="B179" t="s">
        <v>417</v>
      </c>
      <c r="C179" t="s">
        <v>885</v>
      </c>
      <c r="D179" s="35">
        <v>234720</v>
      </c>
      <c r="E179">
        <v>1246267628</v>
      </c>
      <c r="F179" s="328">
        <v>46122</v>
      </c>
      <c r="H179" t="s">
        <v>28</v>
      </c>
      <c r="I179" t="s">
        <v>29</v>
      </c>
      <c r="J179">
        <v>2811</v>
      </c>
      <c r="K179" s="328">
        <v>46094</v>
      </c>
      <c r="L179">
        <v>1010100</v>
      </c>
      <c r="M179" t="s">
        <v>35</v>
      </c>
      <c r="N179">
        <v>-10</v>
      </c>
      <c r="O179" s="32">
        <v>0</v>
      </c>
      <c r="P179" s="32">
        <v>0</v>
      </c>
      <c r="Q179" s="32">
        <v>234720</v>
      </c>
      <c r="R179" s="32">
        <v>0</v>
      </c>
      <c r="S179" s="32">
        <v>0</v>
      </c>
      <c r="T179" s="32">
        <v>0</v>
      </c>
      <c r="U179" s="32">
        <v>0</v>
      </c>
      <c r="V179" s="32">
        <v>0</v>
      </c>
      <c r="W179" s="32">
        <v>0</v>
      </c>
      <c r="X179" s="32">
        <v>0</v>
      </c>
      <c r="Y179" s="32">
        <v>0</v>
      </c>
      <c r="Z179" s="32">
        <v>0</v>
      </c>
      <c r="AA179" s="32">
        <v>0</v>
      </c>
      <c r="AB179" s="32">
        <v>0</v>
      </c>
      <c r="AC179" s="32" t="s">
        <v>475</v>
      </c>
      <c r="AD179" s="32"/>
      <c r="AE179" s="32">
        <v>0</v>
      </c>
    </row>
    <row r="180" spans="1:31" x14ac:dyDescent="0.25">
      <c r="A180">
        <v>215</v>
      </c>
      <c r="B180" t="s">
        <v>417</v>
      </c>
      <c r="C180" t="s">
        <v>885</v>
      </c>
      <c r="D180" s="35">
        <v>117360</v>
      </c>
      <c r="E180">
        <v>1246267630</v>
      </c>
      <c r="F180" s="328">
        <v>46122</v>
      </c>
      <c r="H180" t="s">
        <v>28</v>
      </c>
      <c r="I180" t="s">
        <v>29</v>
      </c>
      <c r="J180">
        <v>2812</v>
      </c>
      <c r="K180" s="328">
        <v>46094</v>
      </c>
      <c r="L180">
        <v>1010100</v>
      </c>
      <c r="M180" t="s">
        <v>35</v>
      </c>
      <c r="N180">
        <v>-10</v>
      </c>
      <c r="O180" s="32">
        <v>0</v>
      </c>
      <c r="P180" s="32">
        <v>0</v>
      </c>
      <c r="Q180" s="32">
        <v>117360</v>
      </c>
      <c r="R180" s="32">
        <v>0</v>
      </c>
      <c r="S180" s="32">
        <v>0</v>
      </c>
      <c r="T180" s="32">
        <v>0</v>
      </c>
      <c r="U180" s="32">
        <v>0</v>
      </c>
      <c r="V180" s="32">
        <v>0</v>
      </c>
      <c r="W180" s="32">
        <v>0</v>
      </c>
      <c r="X180" s="32">
        <v>0</v>
      </c>
      <c r="Y180" s="32">
        <v>0</v>
      </c>
      <c r="Z180" s="32">
        <v>0</v>
      </c>
      <c r="AA180" s="32">
        <v>0</v>
      </c>
      <c r="AB180" s="32">
        <v>0</v>
      </c>
      <c r="AC180" s="32" t="s">
        <v>475</v>
      </c>
      <c r="AD180" s="32"/>
      <c r="AE180" s="32">
        <v>0</v>
      </c>
    </row>
    <row r="181" spans="1:31" x14ac:dyDescent="0.25">
      <c r="A181">
        <v>2949</v>
      </c>
      <c r="B181" t="s">
        <v>500</v>
      </c>
      <c r="C181" t="s">
        <v>861</v>
      </c>
      <c r="D181" s="35">
        <v>67841.5</v>
      </c>
      <c r="E181">
        <v>1246265741</v>
      </c>
      <c r="F181" s="328">
        <v>46170</v>
      </c>
      <c r="H181" t="s">
        <v>28</v>
      </c>
      <c r="I181" t="s">
        <v>29</v>
      </c>
      <c r="J181">
        <v>10785</v>
      </c>
      <c r="K181" s="328">
        <v>46080</v>
      </c>
      <c r="L181">
        <v>1010100</v>
      </c>
      <c r="M181" t="s">
        <v>35</v>
      </c>
      <c r="N181">
        <v>-58</v>
      </c>
      <c r="O181" s="32">
        <v>0</v>
      </c>
      <c r="P181" s="32">
        <v>0</v>
      </c>
      <c r="Q181" s="32">
        <v>67841.5</v>
      </c>
      <c r="R181" s="32">
        <v>0</v>
      </c>
      <c r="S181" s="32">
        <v>0</v>
      </c>
      <c r="T181" s="32">
        <v>0</v>
      </c>
      <c r="U181" s="32">
        <v>0</v>
      </c>
      <c r="V181" s="32">
        <v>0</v>
      </c>
      <c r="W181" s="32">
        <v>0</v>
      </c>
      <c r="X181" s="32">
        <v>0</v>
      </c>
      <c r="Y181" s="32">
        <v>0</v>
      </c>
      <c r="Z181" s="32">
        <v>0</v>
      </c>
      <c r="AA181" s="32">
        <v>0</v>
      </c>
      <c r="AB181" s="32">
        <v>0</v>
      </c>
      <c r="AC181" s="32" t="s">
        <v>540</v>
      </c>
      <c r="AD181" s="32"/>
      <c r="AE181" s="32">
        <v>0</v>
      </c>
    </row>
    <row r="182" spans="1:31" x14ac:dyDescent="0.25">
      <c r="A182">
        <v>6124</v>
      </c>
      <c r="B182" t="s">
        <v>500</v>
      </c>
      <c r="C182" t="s">
        <v>96</v>
      </c>
      <c r="D182" s="35">
        <v>51376.4</v>
      </c>
      <c r="E182">
        <v>1246260189</v>
      </c>
      <c r="F182" s="328">
        <v>46132</v>
      </c>
      <c r="H182" t="s">
        <v>28</v>
      </c>
      <c r="I182" t="s">
        <v>29</v>
      </c>
      <c r="J182">
        <v>10535</v>
      </c>
      <c r="K182" s="328">
        <v>46042</v>
      </c>
      <c r="L182">
        <v>1010100</v>
      </c>
      <c r="M182" t="s">
        <v>35</v>
      </c>
      <c r="N182">
        <v>-20</v>
      </c>
      <c r="O182" s="32">
        <v>0</v>
      </c>
      <c r="P182" s="32">
        <v>0</v>
      </c>
      <c r="Q182" s="32">
        <v>51376.4</v>
      </c>
      <c r="R182" s="32">
        <v>0</v>
      </c>
      <c r="S182" s="32">
        <v>0</v>
      </c>
      <c r="T182" s="32">
        <v>0</v>
      </c>
      <c r="U182" s="32">
        <v>0</v>
      </c>
      <c r="V182" s="32">
        <v>0</v>
      </c>
      <c r="W182" s="32">
        <v>0</v>
      </c>
      <c r="X182" s="32">
        <v>0</v>
      </c>
      <c r="Y182" s="32">
        <v>0</v>
      </c>
      <c r="Z182" s="32">
        <v>0</v>
      </c>
      <c r="AA182" s="32">
        <v>0</v>
      </c>
      <c r="AB182" s="32">
        <v>0</v>
      </c>
      <c r="AC182" s="32" t="s">
        <v>540</v>
      </c>
      <c r="AD182" s="32"/>
      <c r="AE182" s="32">
        <v>0</v>
      </c>
    </row>
    <row r="183" spans="1:31" x14ac:dyDescent="0.25">
      <c r="A183">
        <v>6124</v>
      </c>
      <c r="B183" t="s">
        <v>500</v>
      </c>
      <c r="C183" t="s">
        <v>96</v>
      </c>
      <c r="D183" s="35">
        <v>417259.92</v>
      </c>
      <c r="E183">
        <v>1246267573</v>
      </c>
      <c r="F183" s="328">
        <v>46153</v>
      </c>
      <c r="H183" t="s">
        <v>28</v>
      </c>
      <c r="I183" t="s">
        <v>29</v>
      </c>
      <c r="J183">
        <v>2808</v>
      </c>
      <c r="K183" s="328">
        <v>46093</v>
      </c>
      <c r="L183">
        <v>1010100</v>
      </c>
      <c r="M183" t="s">
        <v>35</v>
      </c>
      <c r="N183">
        <v>-41</v>
      </c>
      <c r="O183" s="32">
        <v>0</v>
      </c>
      <c r="P183" s="32">
        <v>0</v>
      </c>
      <c r="Q183" s="32">
        <v>417259.92</v>
      </c>
      <c r="R183" s="32">
        <v>0</v>
      </c>
      <c r="S183" s="32">
        <v>0</v>
      </c>
      <c r="T183" s="32">
        <v>0</v>
      </c>
      <c r="U183" s="32">
        <v>0</v>
      </c>
      <c r="V183" s="32">
        <v>0</v>
      </c>
      <c r="W183" s="32">
        <v>0</v>
      </c>
      <c r="X183" s="32">
        <v>0</v>
      </c>
      <c r="Y183" s="32">
        <v>0</v>
      </c>
      <c r="Z183" s="32">
        <v>0</v>
      </c>
      <c r="AA183" s="32">
        <v>0</v>
      </c>
      <c r="AB183" s="32">
        <v>0</v>
      </c>
      <c r="AC183" s="32" t="s">
        <v>540</v>
      </c>
      <c r="AD183" s="32"/>
      <c r="AE183" s="32">
        <v>0</v>
      </c>
    </row>
    <row r="184" spans="1:31" x14ac:dyDescent="0.25">
      <c r="A184">
        <v>6124</v>
      </c>
      <c r="B184" t="s">
        <v>500</v>
      </c>
      <c r="C184" t="s">
        <v>96</v>
      </c>
      <c r="D184" s="35">
        <v>55246.400000000001</v>
      </c>
      <c r="E184">
        <v>1246264147</v>
      </c>
      <c r="F184" s="328">
        <v>46162</v>
      </c>
      <c r="H184" t="s">
        <v>28</v>
      </c>
      <c r="I184" t="s">
        <v>29</v>
      </c>
      <c r="J184">
        <v>10720</v>
      </c>
      <c r="K184" s="328">
        <v>46072</v>
      </c>
      <c r="L184">
        <v>1010100</v>
      </c>
      <c r="M184" t="s">
        <v>35</v>
      </c>
      <c r="N184">
        <v>-50</v>
      </c>
      <c r="O184" s="32">
        <v>0</v>
      </c>
      <c r="P184" s="32">
        <v>0</v>
      </c>
      <c r="Q184" s="32">
        <v>55246.400000000001</v>
      </c>
      <c r="R184" s="32">
        <v>0</v>
      </c>
      <c r="S184" s="32">
        <v>0</v>
      </c>
      <c r="T184" s="32">
        <v>0</v>
      </c>
      <c r="U184" s="32">
        <v>0</v>
      </c>
      <c r="V184" s="32">
        <v>0</v>
      </c>
      <c r="W184" s="32">
        <v>0</v>
      </c>
      <c r="X184" s="32">
        <v>0</v>
      </c>
      <c r="Y184" s="32">
        <v>0</v>
      </c>
      <c r="Z184" s="32">
        <v>0</v>
      </c>
      <c r="AA184" s="32">
        <v>0</v>
      </c>
      <c r="AB184" s="32">
        <v>0</v>
      </c>
      <c r="AC184" s="32" t="s">
        <v>540</v>
      </c>
      <c r="AD184" s="32"/>
      <c r="AE184" s="32">
        <v>0</v>
      </c>
    </row>
    <row r="185" spans="1:31" x14ac:dyDescent="0.25">
      <c r="A185">
        <v>6124</v>
      </c>
      <c r="B185" t="s">
        <v>500</v>
      </c>
      <c r="C185" t="s">
        <v>96</v>
      </c>
      <c r="D185" s="35">
        <v>52374</v>
      </c>
      <c r="E185">
        <v>1246267926</v>
      </c>
      <c r="F185" s="328">
        <v>46187</v>
      </c>
      <c r="H185" t="s">
        <v>28</v>
      </c>
      <c r="I185" t="s">
        <v>29</v>
      </c>
      <c r="J185">
        <v>10897</v>
      </c>
      <c r="K185" s="328">
        <v>46097</v>
      </c>
      <c r="L185">
        <v>1010100</v>
      </c>
      <c r="M185" t="s">
        <v>35</v>
      </c>
      <c r="N185">
        <v>-75</v>
      </c>
      <c r="O185" s="32">
        <v>0</v>
      </c>
      <c r="P185" s="32">
        <v>0</v>
      </c>
      <c r="Q185" s="32">
        <v>52374</v>
      </c>
      <c r="R185" s="32">
        <v>0</v>
      </c>
      <c r="S185" s="32">
        <v>0</v>
      </c>
      <c r="T185" s="32">
        <v>0</v>
      </c>
      <c r="U185" s="32">
        <v>0</v>
      </c>
      <c r="V185" s="32">
        <v>0</v>
      </c>
      <c r="W185" s="32">
        <v>0</v>
      </c>
      <c r="X185" s="32">
        <v>0</v>
      </c>
      <c r="Y185" s="32">
        <v>0</v>
      </c>
      <c r="Z185" s="32">
        <v>0</v>
      </c>
      <c r="AA185" s="32">
        <v>0</v>
      </c>
      <c r="AB185" s="32">
        <v>0</v>
      </c>
      <c r="AC185" s="32" t="s">
        <v>540</v>
      </c>
      <c r="AD185" s="32"/>
      <c r="AE185" s="32">
        <v>0</v>
      </c>
    </row>
    <row r="186" spans="1:31" x14ac:dyDescent="0.25">
      <c r="A186">
        <v>6124</v>
      </c>
      <c r="B186" t="s">
        <v>500</v>
      </c>
      <c r="C186" t="s">
        <v>96</v>
      </c>
      <c r="D186" s="35">
        <v>425218.51</v>
      </c>
      <c r="E186">
        <v>1246262612</v>
      </c>
      <c r="F186" s="328">
        <v>46119</v>
      </c>
      <c r="H186" t="s">
        <v>28</v>
      </c>
      <c r="I186" t="s">
        <v>29</v>
      </c>
      <c r="J186">
        <v>2725</v>
      </c>
      <c r="K186" s="328">
        <v>46059</v>
      </c>
      <c r="L186">
        <v>1010100</v>
      </c>
      <c r="M186" t="s">
        <v>35</v>
      </c>
      <c r="N186">
        <v>-7</v>
      </c>
      <c r="O186" s="32">
        <v>0</v>
      </c>
      <c r="P186" s="32">
        <v>0</v>
      </c>
      <c r="Q186" s="32">
        <v>425218.51</v>
      </c>
      <c r="R186" s="32">
        <v>0</v>
      </c>
      <c r="S186" s="32">
        <v>0</v>
      </c>
      <c r="T186" s="32">
        <v>0</v>
      </c>
      <c r="U186" s="32">
        <v>0</v>
      </c>
      <c r="V186" s="32">
        <v>0</v>
      </c>
      <c r="W186" s="32">
        <v>0</v>
      </c>
      <c r="X186" s="32">
        <v>0</v>
      </c>
      <c r="Y186" s="32">
        <v>0</v>
      </c>
      <c r="Z186" s="32">
        <v>0</v>
      </c>
      <c r="AA186" s="32">
        <v>0</v>
      </c>
      <c r="AB186" s="32">
        <v>0</v>
      </c>
      <c r="AC186" s="32" t="s">
        <v>540</v>
      </c>
      <c r="AD186" s="32"/>
      <c r="AE186" s="32">
        <v>0</v>
      </c>
    </row>
    <row r="187" spans="1:31" x14ac:dyDescent="0.25">
      <c r="A187">
        <v>6124</v>
      </c>
      <c r="B187" t="s">
        <v>500</v>
      </c>
      <c r="C187" t="s">
        <v>96</v>
      </c>
      <c r="D187" s="35">
        <v>422856.82</v>
      </c>
      <c r="E187">
        <v>1246263813</v>
      </c>
      <c r="F187" s="328">
        <v>46129</v>
      </c>
      <c r="H187" t="s">
        <v>28</v>
      </c>
      <c r="I187" t="s">
        <v>29</v>
      </c>
      <c r="J187">
        <v>2744</v>
      </c>
      <c r="K187" s="328">
        <v>46069</v>
      </c>
      <c r="L187">
        <v>1010100</v>
      </c>
      <c r="M187" t="s">
        <v>35</v>
      </c>
      <c r="N187">
        <v>-17</v>
      </c>
      <c r="O187" s="32">
        <v>0</v>
      </c>
      <c r="P187" s="32">
        <v>0</v>
      </c>
      <c r="Q187" s="32">
        <v>422856.82</v>
      </c>
      <c r="R187" s="32">
        <v>0</v>
      </c>
      <c r="S187" s="32">
        <v>0</v>
      </c>
      <c r="T187" s="32">
        <v>0</v>
      </c>
      <c r="U187" s="32">
        <v>0</v>
      </c>
      <c r="V187" s="32">
        <v>0</v>
      </c>
      <c r="W187" s="32">
        <v>0</v>
      </c>
      <c r="X187" s="32">
        <v>0</v>
      </c>
      <c r="Y187" s="32">
        <v>0</v>
      </c>
      <c r="Z187" s="32">
        <v>0</v>
      </c>
      <c r="AA187" s="32">
        <v>0</v>
      </c>
      <c r="AB187" s="32">
        <v>0</v>
      </c>
      <c r="AC187" s="32" t="s">
        <v>540</v>
      </c>
      <c r="AD187" s="32"/>
      <c r="AE187" s="32">
        <v>0</v>
      </c>
    </row>
    <row r="188" spans="1:31" x14ac:dyDescent="0.25">
      <c r="A188">
        <v>7102</v>
      </c>
      <c r="B188" t="s">
        <v>500</v>
      </c>
      <c r="C188" t="s">
        <v>567</v>
      </c>
      <c r="D188" s="35">
        <v>62553.7</v>
      </c>
      <c r="E188">
        <v>1246262017</v>
      </c>
      <c r="F188" s="328">
        <v>46145</v>
      </c>
      <c r="H188" t="s">
        <v>28</v>
      </c>
      <c r="I188" t="s">
        <v>29</v>
      </c>
      <c r="J188">
        <v>10626</v>
      </c>
      <c r="K188" s="328">
        <v>46055</v>
      </c>
      <c r="L188">
        <v>1010100</v>
      </c>
      <c r="M188" t="s">
        <v>35</v>
      </c>
      <c r="N188">
        <v>-33</v>
      </c>
      <c r="O188" s="32">
        <v>0</v>
      </c>
      <c r="P188" s="32">
        <v>0</v>
      </c>
      <c r="Q188" s="32">
        <v>62553.7</v>
      </c>
      <c r="R188" s="32">
        <v>0</v>
      </c>
      <c r="S188" s="32">
        <v>0</v>
      </c>
      <c r="T188" s="32">
        <v>0</v>
      </c>
      <c r="U188" s="32">
        <v>0</v>
      </c>
      <c r="V188" s="32">
        <v>0</v>
      </c>
      <c r="W188" s="32">
        <v>0</v>
      </c>
      <c r="X188" s="32">
        <v>0</v>
      </c>
      <c r="Y188" s="32">
        <v>0</v>
      </c>
      <c r="Z188" s="32">
        <v>0</v>
      </c>
      <c r="AA188" s="32">
        <v>0</v>
      </c>
      <c r="AB188" s="32">
        <v>0</v>
      </c>
      <c r="AC188" s="32" t="s">
        <v>540</v>
      </c>
      <c r="AD188" s="32"/>
      <c r="AE188" s="32">
        <v>0</v>
      </c>
    </row>
    <row r="189" spans="1:31" x14ac:dyDescent="0.25">
      <c r="A189">
        <v>7102</v>
      </c>
      <c r="B189" t="s">
        <v>500</v>
      </c>
      <c r="C189" t="s">
        <v>567</v>
      </c>
      <c r="D189" s="35">
        <v>63055.3</v>
      </c>
      <c r="E189">
        <v>1246259121</v>
      </c>
      <c r="F189" s="328">
        <v>46124</v>
      </c>
      <c r="H189" t="s">
        <v>28</v>
      </c>
      <c r="I189" t="s">
        <v>29</v>
      </c>
      <c r="J189">
        <v>10455</v>
      </c>
      <c r="K189" s="328">
        <v>46034</v>
      </c>
      <c r="L189">
        <v>1010100</v>
      </c>
      <c r="M189" t="s">
        <v>35</v>
      </c>
      <c r="N189">
        <v>-12</v>
      </c>
      <c r="O189" s="32">
        <v>0</v>
      </c>
      <c r="P189" s="32">
        <v>0</v>
      </c>
      <c r="Q189" s="32">
        <v>63055.3</v>
      </c>
      <c r="R189" s="32">
        <v>0</v>
      </c>
      <c r="S189" s="32">
        <v>0</v>
      </c>
      <c r="T189" s="32">
        <v>0</v>
      </c>
      <c r="U189" s="32">
        <v>0</v>
      </c>
      <c r="V189" s="32">
        <v>0</v>
      </c>
      <c r="W189" s="32">
        <v>0</v>
      </c>
      <c r="X189" s="32">
        <v>0</v>
      </c>
      <c r="Y189" s="32">
        <v>0</v>
      </c>
      <c r="Z189" s="32">
        <v>0</v>
      </c>
      <c r="AA189" s="32">
        <v>0</v>
      </c>
      <c r="AB189" s="32">
        <v>0</v>
      </c>
      <c r="AC189" s="32" t="s">
        <v>540</v>
      </c>
      <c r="AD189" s="32"/>
      <c r="AE189" s="32">
        <v>0</v>
      </c>
    </row>
    <row r="190" spans="1:31" x14ac:dyDescent="0.25">
      <c r="A190">
        <v>7102</v>
      </c>
      <c r="B190" t="s">
        <v>500</v>
      </c>
      <c r="C190" t="s">
        <v>567</v>
      </c>
      <c r="D190" s="35">
        <v>62637.3</v>
      </c>
      <c r="E190">
        <v>1246268784</v>
      </c>
      <c r="F190" s="328">
        <v>46195</v>
      </c>
      <c r="H190" t="s">
        <v>28</v>
      </c>
      <c r="I190" t="s">
        <v>29</v>
      </c>
      <c r="J190">
        <v>10966</v>
      </c>
      <c r="K190" s="328">
        <v>46105</v>
      </c>
      <c r="L190">
        <v>1010100</v>
      </c>
      <c r="M190" t="s">
        <v>35</v>
      </c>
      <c r="N190">
        <v>-83</v>
      </c>
      <c r="O190" s="32">
        <v>0</v>
      </c>
      <c r="P190" s="32">
        <v>0</v>
      </c>
      <c r="Q190" s="32">
        <v>62637.3</v>
      </c>
      <c r="R190" s="32">
        <v>0</v>
      </c>
      <c r="S190" s="32">
        <v>0</v>
      </c>
      <c r="T190" s="32">
        <v>0</v>
      </c>
      <c r="U190" s="32">
        <v>0</v>
      </c>
      <c r="V190" s="32">
        <v>0</v>
      </c>
      <c r="W190" s="32">
        <v>0</v>
      </c>
      <c r="X190" s="32">
        <v>0</v>
      </c>
      <c r="Y190" s="32">
        <v>0</v>
      </c>
      <c r="Z190" s="32">
        <v>0</v>
      </c>
      <c r="AA190" s="32">
        <v>0</v>
      </c>
      <c r="AB190" s="32">
        <v>0</v>
      </c>
      <c r="AC190" s="32" t="s">
        <v>540</v>
      </c>
      <c r="AD190" s="32"/>
      <c r="AE190" s="32">
        <v>0</v>
      </c>
    </row>
    <row r="191" spans="1:31" x14ac:dyDescent="0.25">
      <c r="A191">
        <v>7102</v>
      </c>
      <c r="B191" t="s">
        <v>500</v>
      </c>
      <c r="C191" t="s">
        <v>567</v>
      </c>
      <c r="D191" s="35">
        <v>62888.1</v>
      </c>
      <c r="E191">
        <v>1246258714</v>
      </c>
      <c r="F191" s="328">
        <v>46119</v>
      </c>
      <c r="H191" t="s">
        <v>28</v>
      </c>
      <c r="I191" t="s">
        <v>29</v>
      </c>
      <c r="J191">
        <v>10440</v>
      </c>
      <c r="K191" s="328">
        <v>46029</v>
      </c>
      <c r="L191">
        <v>1010100</v>
      </c>
      <c r="M191" t="s">
        <v>35</v>
      </c>
      <c r="N191">
        <v>-7</v>
      </c>
      <c r="O191" s="32">
        <v>0</v>
      </c>
      <c r="P191" s="32">
        <v>0</v>
      </c>
      <c r="Q191" s="32">
        <v>62888.1</v>
      </c>
      <c r="R191" s="32">
        <v>0</v>
      </c>
      <c r="S191" s="32">
        <v>0</v>
      </c>
      <c r="T191" s="32">
        <v>0</v>
      </c>
      <c r="U191" s="32">
        <v>0</v>
      </c>
      <c r="V191" s="32">
        <v>0</v>
      </c>
      <c r="W191" s="32">
        <v>0</v>
      </c>
      <c r="X191" s="32">
        <v>0</v>
      </c>
      <c r="Y191" s="32">
        <v>0</v>
      </c>
      <c r="Z191" s="32">
        <v>0</v>
      </c>
      <c r="AA191" s="32">
        <v>0</v>
      </c>
      <c r="AB191" s="32">
        <v>0</v>
      </c>
      <c r="AC191" s="32" t="s">
        <v>540</v>
      </c>
      <c r="AD191" s="32"/>
      <c r="AE191" s="32">
        <v>0</v>
      </c>
    </row>
    <row r="192" spans="1:31" x14ac:dyDescent="0.25">
      <c r="A192">
        <v>7102</v>
      </c>
      <c r="B192" t="s">
        <v>500</v>
      </c>
      <c r="C192" t="s">
        <v>567</v>
      </c>
      <c r="D192" s="35">
        <v>63619.6</v>
      </c>
      <c r="E192">
        <v>1246260392</v>
      </c>
      <c r="F192" s="328">
        <v>46134</v>
      </c>
      <c r="H192" t="s">
        <v>28</v>
      </c>
      <c r="I192" t="s">
        <v>29</v>
      </c>
      <c r="J192">
        <v>10543</v>
      </c>
      <c r="K192" s="328">
        <v>46044</v>
      </c>
      <c r="L192">
        <v>1010100</v>
      </c>
      <c r="M192" t="s">
        <v>35</v>
      </c>
      <c r="N192">
        <v>-22</v>
      </c>
      <c r="O192" s="32">
        <v>0</v>
      </c>
      <c r="P192" s="32">
        <v>0</v>
      </c>
      <c r="Q192" s="32">
        <v>63619.6</v>
      </c>
      <c r="R192" s="32">
        <v>0</v>
      </c>
      <c r="S192" s="32">
        <v>0</v>
      </c>
      <c r="T192" s="32">
        <v>0</v>
      </c>
      <c r="U192" s="32">
        <v>0</v>
      </c>
      <c r="V192" s="32">
        <v>0</v>
      </c>
      <c r="W192" s="32">
        <v>0</v>
      </c>
      <c r="X192" s="32">
        <v>0</v>
      </c>
      <c r="Y192" s="32">
        <v>0</v>
      </c>
      <c r="Z192" s="32">
        <v>0</v>
      </c>
      <c r="AA192" s="32">
        <v>0</v>
      </c>
      <c r="AB192" s="32">
        <v>0</v>
      </c>
      <c r="AC192" s="32" t="s">
        <v>540</v>
      </c>
      <c r="AD192" s="32"/>
      <c r="AE192" s="32">
        <v>0</v>
      </c>
    </row>
    <row r="193" spans="1:31" x14ac:dyDescent="0.25">
      <c r="A193">
        <v>7102</v>
      </c>
      <c r="B193" t="s">
        <v>500</v>
      </c>
      <c r="C193" t="s">
        <v>567</v>
      </c>
      <c r="D193" s="35">
        <v>62700</v>
      </c>
      <c r="E193">
        <v>1246262728</v>
      </c>
      <c r="F193" s="328">
        <v>46152</v>
      </c>
      <c r="H193" t="s">
        <v>28</v>
      </c>
      <c r="I193" t="s">
        <v>29</v>
      </c>
      <c r="J193">
        <v>10663</v>
      </c>
      <c r="K193" s="328">
        <v>46062</v>
      </c>
      <c r="L193">
        <v>1010100</v>
      </c>
      <c r="M193" t="s">
        <v>35</v>
      </c>
      <c r="N193">
        <v>-40</v>
      </c>
      <c r="O193" s="32">
        <v>0</v>
      </c>
      <c r="P193" s="32">
        <v>0</v>
      </c>
      <c r="Q193" s="32">
        <v>62700</v>
      </c>
      <c r="R193" s="32">
        <v>0</v>
      </c>
      <c r="S193" s="32">
        <v>0</v>
      </c>
      <c r="T193" s="32">
        <v>0</v>
      </c>
      <c r="U193" s="32">
        <v>0</v>
      </c>
      <c r="V193" s="32">
        <v>0</v>
      </c>
      <c r="W193" s="32">
        <v>0</v>
      </c>
      <c r="X193" s="32">
        <v>0</v>
      </c>
      <c r="Y193" s="32">
        <v>0</v>
      </c>
      <c r="Z193" s="32">
        <v>0</v>
      </c>
      <c r="AA193" s="32">
        <v>0</v>
      </c>
      <c r="AB193" s="32">
        <v>0</v>
      </c>
      <c r="AC193" s="32" t="s">
        <v>540</v>
      </c>
      <c r="AD193" s="32"/>
      <c r="AE193" s="32">
        <v>0</v>
      </c>
    </row>
    <row r="194" spans="1:31" x14ac:dyDescent="0.25">
      <c r="A194">
        <v>7662</v>
      </c>
      <c r="B194" t="s">
        <v>618</v>
      </c>
      <c r="C194" t="s">
        <v>552</v>
      </c>
      <c r="D194" s="35">
        <v>57795</v>
      </c>
      <c r="E194">
        <v>1246266875</v>
      </c>
      <c r="F194" s="328">
        <v>46132</v>
      </c>
      <c r="H194" t="s">
        <v>28</v>
      </c>
      <c r="I194" t="s">
        <v>29</v>
      </c>
      <c r="J194">
        <v>2799</v>
      </c>
      <c r="K194" s="328">
        <v>46087</v>
      </c>
      <c r="L194">
        <v>1010100</v>
      </c>
      <c r="M194" t="s">
        <v>35</v>
      </c>
      <c r="N194">
        <v>-20</v>
      </c>
      <c r="O194" s="32">
        <v>0</v>
      </c>
      <c r="P194" s="32">
        <v>0</v>
      </c>
      <c r="Q194" s="32">
        <v>57795</v>
      </c>
      <c r="R194" s="32">
        <v>0</v>
      </c>
      <c r="S194" s="32">
        <v>0</v>
      </c>
      <c r="T194" s="32">
        <v>0</v>
      </c>
      <c r="U194" s="32">
        <v>0</v>
      </c>
      <c r="V194" s="32">
        <v>0</v>
      </c>
      <c r="W194" s="32">
        <v>0</v>
      </c>
      <c r="X194" s="32">
        <v>0</v>
      </c>
      <c r="Y194" s="32">
        <v>0</v>
      </c>
      <c r="Z194" s="32">
        <v>0</v>
      </c>
      <c r="AA194" s="32">
        <v>0</v>
      </c>
      <c r="AB194" s="32">
        <v>0</v>
      </c>
      <c r="AC194" s="32" t="s">
        <v>475</v>
      </c>
      <c r="AD194" s="32"/>
      <c r="AE194" s="32">
        <v>0</v>
      </c>
    </row>
    <row r="195" spans="1:31" x14ac:dyDescent="0.25">
      <c r="A195">
        <v>7662</v>
      </c>
      <c r="B195" t="s">
        <v>618</v>
      </c>
      <c r="C195" t="s">
        <v>552</v>
      </c>
      <c r="D195" s="35">
        <v>57795</v>
      </c>
      <c r="E195">
        <v>1246266876</v>
      </c>
      <c r="F195" s="328">
        <v>46147</v>
      </c>
      <c r="H195" t="s">
        <v>28</v>
      </c>
      <c r="I195" t="s">
        <v>29</v>
      </c>
      <c r="J195">
        <v>2799</v>
      </c>
      <c r="K195" s="328">
        <v>46087</v>
      </c>
      <c r="L195">
        <v>1010100</v>
      </c>
      <c r="M195" t="s">
        <v>35</v>
      </c>
      <c r="N195">
        <v>-35</v>
      </c>
      <c r="O195" s="32">
        <v>0</v>
      </c>
      <c r="P195" s="32">
        <v>0</v>
      </c>
      <c r="Q195" s="32">
        <v>57795</v>
      </c>
      <c r="R195" s="32">
        <v>0</v>
      </c>
      <c r="S195" s="32">
        <v>0</v>
      </c>
      <c r="T195" s="32">
        <v>0</v>
      </c>
      <c r="U195" s="32">
        <v>0</v>
      </c>
      <c r="V195" s="32">
        <v>0</v>
      </c>
      <c r="W195" s="32">
        <v>0</v>
      </c>
      <c r="X195" s="32">
        <v>0</v>
      </c>
      <c r="Y195" s="32">
        <v>0</v>
      </c>
      <c r="Z195" s="32">
        <v>0</v>
      </c>
      <c r="AA195" s="32">
        <v>0</v>
      </c>
      <c r="AB195" s="32">
        <v>0</v>
      </c>
      <c r="AC195" s="32" t="s">
        <v>475</v>
      </c>
      <c r="AD195" s="32"/>
      <c r="AE195" s="32">
        <v>0</v>
      </c>
    </row>
    <row r="196" spans="1:31" x14ac:dyDescent="0.25">
      <c r="A196">
        <v>7662</v>
      </c>
      <c r="B196" t="s">
        <v>618</v>
      </c>
      <c r="C196" t="s">
        <v>552</v>
      </c>
      <c r="D196" s="35">
        <v>38530</v>
      </c>
      <c r="E196">
        <v>1246262501</v>
      </c>
      <c r="F196" s="328">
        <v>46119</v>
      </c>
      <c r="H196" t="s">
        <v>28</v>
      </c>
      <c r="I196" t="s">
        <v>29</v>
      </c>
      <c r="J196">
        <v>2722</v>
      </c>
      <c r="K196" s="328">
        <v>46059</v>
      </c>
      <c r="L196">
        <v>1010100</v>
      </c>
      <c r="M196" t="s">
        <v>35</v>
      </c>
      <c r="N196">
        <v>-7</v>
      </c>
      <c r="O196" s="32">
        <v>0</v>
      </c>
      <c r="P196" s="32">
        <v>0</v>
      </c>
      <c r="Q196" s="32">
        <v>38530</v>
      </c>
      <c r="R196" s="32">
        <v>0</v>
      </c>
      <c r="S196" s="32">
        <v>0</v>
      </c>
      <c r="T196" s="32">
        <v>0</v>
      </c>
      <c r="U196" s="32">
        <v>0</v>
      </c>
      <c r="V196" s="32">
        <v>0</v>
      </c>
      <c r="W196" s="32">
        <v>0</v>
      </c>
      <c r="X196" s="32">
        <v>0</v>
      </c>
      <c r="Y196" s="32">
        <v>0</v>
      </c>
      <c r="Z196" s="32">
        <v>0</v>
      </c>
      <c r="AA196" s="32">
        <v>0</v>
      </c>
      <c r="AB196" s="32">
        <v>0</v>
      </c>
      <c r="AC196" s="32" t="s">
        <v>475</v>
      </c>
      <c r="AD196" s="32"/>
      <c r="AE196" s="32">
        <v>0</v>
      </c>
    </row>
    <row r="197" spans="1:31" x14ac:dyDescent="0.25">
      <c r="A197">
        <v>7662</v>
      </c>
      <c r="B197" t="s">
        <v>618</v>
      </c>
      <c r="C197" t="s">
        <v>552</v>
      </c>
      <c r="D197" s="35">
        <v>57795</v>
      </c>
      <c r="E197">
        <v>1246264217</v>
      </c>
      <c r="F197" s="328">
        <v>46118</v>
      </c>
      <c r="H197" t="s">
        <v>28</v>
      </c>
      <c r="I197" t="s">
        <v>29</v>
      </c>
      <c r="J197">
        <v>2754</v>
      </c>
      <c r="K197" s="328">
        <v>46073</v>
      </c>
      <c r="L197">
        <v>1010100</v>
      </c>
      <c r="M197" t="s">
        <v>35</v>
      </c>
      <c r="N197">
        <v>-6</v>
      </c>
      <c r="O197" s="32">
        <v>0</v>
      </c>
      <c r="P197" s="32">
        <v>0</v>
      </c>
      <c r="Q197" s="32">
        <v>57795</v>
      </c>
      <c r="R197" s="32">
        <v>0</v>
      </c>
      <c r="S197" s="32">
        <v>0</v>
      </c>
      <c r="T197" s="32">
        <v>0</v>
      </c>
      <c r="U197" s="32">
        <v>0</v>
      </c>
      <c r="V197" s="32">
        <v>0</v>
      </c>
      <c r="W197" s="32">
        <v>0</v>
      </c>
      <c r="X197" s="32">
        <v>0</v>
      </c>
      <c r="Y197" s="32">
        <v>0</v>
      </c>
      <c r="Z197" s="32">
        <v>0</v>
      </c>
      <c r="AA197" s="32">
        <v>0</v>
      </c>
      <c r="AB197" s="32">
        <v>0</v>
      </c>
      <c r="AC197" s="32" t="s">
        <v>475</v>
      </c>
      <c r="AD197" s="32"/>
      <c r="AE197" s="32">
        <v>0</v>
      </c>
    </row>
    <row r="198" spans="1:31" x14ac:dyDescent="0.25">
      <c r="A198">
        <v>7662</v>
      </c>
      <c r="B198" t="s">
        <v>618</v>
      </c>
      <c r="C198" t="s">
        <v>552</v>
      </c>
      <c r="D198" s="35">
        <v>57795</v>
      </c>
      <c r="E198">
        <v>1246264218</v>
      </c>
      <c r="F198" s="328">
        <v>46133</v>
      </c>
      <c r="H198" t="s">
        <v>28</v>
      </c>
      <c r="I198" t="s">
        <v>29</v>
      </c>
      <c r="J198">
        <v>2754</v>
      </c>
      <c r="K198" s="328">
        <v>46073</v>
      </c>
      <c r="L198">
        <v>1010100</v>
      </c>
      <c r="M198" t="s">
        <v>35</v>
      </c>
      <c r="N198">
        <v>-21</v>
      </c>
      <c r="O198" s="32">
        <v>0</v>
      </c>
      <c r="P198" s="32">
        <v>0</v>
      </c>
      <c r="Q198" s="32">
        <v>57795</v>
      </c>
      <c r="R198" s="32">
        <v>0</v>
      </c>
      <c r="S198" s="32">
        <v>0</v>
      </c>
      <c r="T198" s="32">
        <v>0</v>
      </c>
      <c r="U198" s="32">
        <v>0</v>
      </c>
      <c r="V198" s="32">
        <v>0</v>
      </c>
      <c r="W198" s="32">
        <v>0</v>
      </c>
      <c r="X198" s="32">
        <v>0</v>
      </c>
      <c r="Y198" s="32">
        <v>0</v>
      </c>
      <c r="Z198" s="32">
        <v>0</v>
      </c>
      <c r="AA198" s="32">
        <v>0</v>
      </c>
      <c r="AB198" s="32">
        <v>0</v>
      </c>
      <c r="AC198" s="32" t="s">
        <v>475</v>
      </c>
      <c r="AD198" s="32"/>
      <c r="AE198" s="32">
        <v>0</v>
      </c>
    </row>
    <row r="199" spans="1:31" x14ac:dyDescent="0.25">
      <c r="A199">
        <v>7662</v>
      </c>
      <c r="B199" t="s">
        <v>618</v>
      </c>
      <c r="C199" t="s">
        <v>552</v>
      </c>
      <c r="D199" s="35">
        <v>77060</v>
      </c>
      <c r="E199">
        <v>1246269689</v>
      </c>
      <c r="F199" s="328">
        <v>46157</v>
      </c>
      <c r="H199" t="s">
        <v>28</v>
      </c>
      <c r="I199" t="s">
        <v>29</v>
      </c>
      <c r="J199">
        <v>2856</v>
      </c>
      <c r="K199" s="328">
        <v>46112</v>
      </c>
      <c r="L199">
        <v>1010100</v>
      </c>
      <c r="M199" t="s">
        <v>35</v>
      </c>
      <c r="N199">
        <v>-45</v>
      </c>
      <c r="O199" s="32">
        <v>0</v>
      </c>
      <c r="P199" s="32">
        <v>0</v>
      </c>
      <c r="Q199" s="32">
        <v>77060</v>
      </c>
      <c r="R199" s="32">
        <v>0</v>
      </c>
      <c r="S199" s="32">
        <v>0</v>
      </c>
      <c r="T199" s="32">
        <v>0</v>
      </c>
      <c r="U199" s="32">
        <v>0</v>
      </c>
      <c r="V199" s="32">
        <v>0</v>
      </c>
      <c r="W199" s="32">
        <v>0</v>
      </c>
      <c r="X199" s="32">
        <v>0</v>
      </c>
      <c r="Y199" s="32">
        <v>0</v>
      </c>
      <c r="Z199" s="32">
        <v>0</v>
      </c>
      <c r="AA199" s="32">
        <v>0</v>
      </c>
      <c r="AB199" s="32">
        <v>0</v>
      </c>
      <c r="AC199" s="32" t="s">
        <v>475</v>
      </c>
      <c r="AD199" s="32"/>
      <c r="AE199" s="32">
        <v>0</v>
      </c>
    </row>
    <row r="200" spans="1:31" x14ac:dyDescent="0.25">
      <c r="A200">
        <v>7662</v>
      </c>
      <c r="B200" t="s">
        <v>618</v>
      </c>
      <c r="C200" t="s">
        <v>552</v>
      </c>
      <c r="D200" s="35">
        <v>77060</v>
      </c>
      <c r="E200">
        <v>1246269690</v>
      </c>
      <c r="F200" s="328">
        <v>46172</v>
      </c>
      <c r="H200" t="s">
        <v>28</v>
      </c>
      <c r="I200" t="s">
        <v>29</v>
      </c>
      <c r="J200">
        <v>2856</v>
      </c>
      <c r="K200" s="328">
        <v>46112</v>
      </c>
      <c r="L200">
        <v>1010100</v>
      </c>
      <c r="M200" t="s">
        <v>35</v>
      </c>
      <c r="N200">
        <v>-60</v>
      </c>
      <c r="O200" s="32">
        <v>0</v>
      </c>
      <c r="P200" s="32">
        <v>0</v>
      </c>
      <c r="Q200" s="32">
        <v>77060</v>
      </c>
      <c r="R200" s="32">
        <v>0</v>
      </c>
      <c r="S200" s="32">
        <v>0</v>
      </c>
      <c r="T200" s="32">
        <v>0</v>
      </c>
      <c r="U200" s="32">
        <v>0</v>
      </c>
      <c r="V200" s="32">
        <v>0</v>
      </c>
      <c r="W200" s="32">
        <v>0</v>
      </c>
      <c r="X200" s="32">
        <v>0</v>
      </c>
      <c r="Y200" s="32">
        <v>0</v>
      </c>
      <c r="Z200" s="32">
        <v>0</v>
      </c>
      <c r="AA200" s="32">
        <v>0</v>
      </c>
      <c r="AB200" s="32">
        <v>0</v>
      </c>
      <c r="AC200" s="32" t="s">
        <v>475</v>
      </c>
      <c r="AD200" s="32"/>
      <c r="AE200" s="32">
        <v>0</v>
      </c>
    </row>
    <row r="201" spans="1:31" x14ac:dyDescent="0.25">
      <c r="A201">
        <v>7662</v>
      </c>
      <c r="B201" t="s">
        <v>618</v>
      </c>
      <c r="C201" t="s">
        <v>552</v>
      </c>
      <c r="D201" s="35">
        <v>77060</v>
      </c>
      <c r="E201">
        <v>1246262503</v>
      </c>
      <c r="F201" s="328">
        <v>46119</v>
      </c>
      <c r="H201" t="s">
        <v>28</v>
      </c>
      <c r="I201" t="s">
        <v>29</v>
      </c>
      <c r="J201">
        <v>2723</v>
      </c>
      <c r="K201" s="328">
        <v>46059</v>
      </c>
      <c r="L201">
        <v>1010100</v>
      </c>
      <c r="M201" t="s">
        <v>35</v>
      </c>
      <c r="N201">
        <v>-7</v>
      </c>
      <c r="O201" s="32">
        <v>0</v>
      </c>
      <c r="P201" s="32">
        <v>0</v>
      </c>
      <c r="Q201" s="32">
        <v>77060</v>
      </c>
      <c r="R201" s="32">
        <v>0</v>
      </c>
      <c r="S201" s="32">
        <v>0</v>
      </c>
      <c r="T201" s="32">
        <v>0</v>
      </c>
      <c r="U201" s="32">
        <v>0</v>
      </c>
      <c r="V201" s="32">
        <v>0</v>
      </c>
      <c r="W201" s="32">
        <v>0</v>
      </c>
      <c r="X201" s="32">
        <v>0</v>
      </c>
      <c r="Y201" s="32">
        <v>0</v>
      </c>
      <c r="Z201" s="32">
        <v>0</v>
      </c>
      <c r="AA201" s="32">
        <v>0</v>
      </c>
      <c r="AB201" s="32">
        <v>0</v>
      </c>
      <c r="AC201" s="32" t="s">
        <v>475</v>
      </c>
      <c r="AD201" s="32"/>
      <c r="AE201" s="32">
        <v>0</v>
      </c>
    </row>
    <row r="202" spans="1:31" x14ac:dyDescent="0.25">
      <c r="A202">
        <v>6477</v>
      </c>
      <c r="B202" t="s">
        <v>500</v>
      </c>
      <c r="C202" t="s">
        <v>99</v>
      </c>
      <c r="D202" s="35">
        <v>10915.8</v>
      </c>
      <c r="E202">
        <v>1246261047</v>
      </c>
      <c r="F202" s="328">
        <v>46138</v>
      </c>
      <c r="H202" t="s">
        <v>28</v>
      </c>
      <c r="I202" t="s">
        <v>29</v>
      </c>
      <c r="J202">
        <v>10576</v>
      </c>
      <c r="K202" s="328">
        <v>46048</v>
      </c>
      <c r="L202">
        <v>1010100</v>
      </c>
      <c r="M202" t="s">
        <v>35</v>
      </c>
      <c r="N202">
        <v>-26</v>
      </c>
      <c r="O202" s="32">
        <v>0</v>
      </c>
      <c r="P202" s="32">
        <v>0</v>
      </c>
      <c r="Q202" s="32">
        <v>10915.8</v>
      </c>
      <c r="R202" s="32">
        <v>0</v>
      </c>
      <c r="S202" s="32">
        <v>0</v>
      </c>
      <c r="T202" s="32">
        <v>0</v>
      </c>
      <c r="U202" s="32">
        <v>0</v>
      </c>
      <c r="V202" s="32">
        <v>0</v>
      </c>
      <c r="W202" s="32">
        <v>0</v>
      </c>
      <c r="X202" s="32">
        <v>0</v>
      </c>
      <c r="Y202" s="32">
        <v>0</v>
      </c>
      <c r="Z202" s="32">
        <v>0</v>
      </c>
      <c r="AA202" s="32">
        <v>0</v>
      </c>
      <c r="AB202" s="32">
        <v>0</v>
      </c>
      <c r="AC202" s="32" t="s">
        <v>540</v>
      </c>
      <c r="AD202" s="32"/>
      <c r="AE202" s="32">
        <v>0</v>
      </c>
    </row>
    <row r="203" spans="1:31" x14ac:dyDescent="0.25">
      <c r="A203">
        <v>6477</v>
      </c>
      <c r="B203" t="s">
        <v>500</v>
      </c>
      <c r="C203" t="s">
        <v>99</v>
      </c>
      <c r="D203" s="35">
        <v>166320</v>
      </c>
      <c r="E203">
        <v>1246263184</v>
      </c>
      <c r="F203" s="328">
        <v>46153</v>
      </c>
      <c r="H203" t="s">
        <v>28</v>
      </c>
      <c r="I203" t="s">
        <v>29</v>
      </c>
      <c r="J203">
        <v>10673</v>
      </c>
      <c r="K203" s="328">
        <v>46063</v>
      </c>
      <c r="L203">
        <v>1010100</v>
      </c>
      <c r="M203" t="s">
        <v>35</v>
      </c>
      <c r="N203">
        <v>-41</v>
      </c>
      <c r="O203" s="32">
        <v>0</v>
      </c>
      <c r="P203" s="32">
        <v>0</v>
      </c>
      <c r="Q203" s="32">
        <v>166320</v>
      </c>
      <c r="R203" s="32">
        <v>0</v>
      </c>
      <c r="S203" s="32">
        <v>0</v>
      </c>
      <c r="T203" s="32">
        <v>0</v>
      </c>
      <c r="U203" s="32">
        <v>0</v>
      </c>
      <c r="V203" s="32">
        <v>0</v>
      </c>
      <c r="W203" s="32">
        <v>0</v>
      </c>
      <c r="X203" s="32">
        <v>0</v>
      </c>
      <c r="Y203" s="32">
        <v>0</v>
      </c>
      <c r="Z203" s="32">
        <v>0</v>
      </c>
      <c r="AA203" s="32">
        <v>0</v>
      </c>
      <c r="AB203" s="32">
        <v>0</v>
      </c>
      <c r="AC203" s="32" t="s">
        <v>540</v>
      </c>
      <c r="AD203" s="32"/>
      <c r="AE203" s="32">
        <v>0</v>
      </c>
    </row>
    <row r="204" spans="1:31" x14ac:dyDescent="0.25">
      <c r="A204">
        <v>6477</v>
      </c>
      <c r="B204" t="s">
        <v>500</v>
      </c>
      <c r="C204" t="s">
        <v>99</v>
      </c>
      <c r="D204" s="35">
        <v>221088</v>
      </c>
      <c r="E204">
        <v>1246261235</v>
      </c>
      <c r="F204" s="328">
        <v>46139</v>
      </c>
      <c r="H204" t="s">
        <v>28</v>
      </c>
      <c r="I204" t="s">
        <v>29</v>
      </c>
      <c r="J204">
        <v>10588</v>
      </c>
      <c r="K204" s="328">
        <v>46049</v>
      </c>
      <c r="L204">
        <v>1010100</v>
      </c>
      <c r="M204" t="s">
        <v>35</v>
      </c>
      <c r="N204">
        <v>-27</v>
      </c>
      <c r="O204" s="32">
        <v>0</v>
      </c>
      <c r="P204" s="32">
        <v>0</v>
      </c>
      <c r="Q204" s="32">
        <v>221088</v>
      </c>
      <c r="R204" s="32">
        <v>0</v>
      </c>
      <c r="S204" s="32">
        <v>0</v>
      </c>
      <c r="T204" s="32">
        <v>0</v>
      </c>
      <c r="U204" s="32">
        <v>0</v>
      </c>
      <c r="V204" s="32">
        <v>0</v>
      </c>
      <c r="W204" s="32">
        <v>0</v>
      </c>
      <c r="X204" s="32">
        <v>0</v>
      </c>
      <c r="Y204" s="32">
        <v>0</v>
      </c>
      <c r="Z204" s="32">
        <v>0</v>
      </c>
      <c r="AA204" s="32">
        <v>0</v>
      </c>
      <c r="AB204" s="32">
        <v>0</v>
      </c>
      <c r="AC204" s="32" t="s">
        <v>540</v>
      </c>
      <c r="AD204" s="32"/>
      <c r="AE204" s="32">
        <v>0</v>
      </c>
    </row>
    <row r="205" spans="1:31" x14ac:dyDescent="0.25">
      <c r="A205">
        <v>6477</v>
      </c>
      <c r="B205" t="s">
        <v>500</v>
      </c>
      <c r="C205" t="s">
        <v>99</v>
      </c>
      <c r="D205" s="35">
        <v>167720</v>
      </c>
      <c r="E205">
        <v>1246262010</v>
      </c>
      <c r="F205" s="328">
        <v>46145</v>
      </c>
      <c r="H205" t="s">
        <v>28</v>
      </c>
      <c r="I205" t="s">
        <v>29</v>
      </c>
      <c r="J205">
        <v>10625</v>
      </c>
      <c r="K205" s="328">
        <v>46055</v>
      </c>
      <c r="L205">
        <v>1010100</v>
      </c>
      <c r="M205" t="s">
        <v>35</v>
      </c>
      <c r="N205">
        <v>-33</v>
      </c>
      <c r="O205" s="32">
        <v>0</v>
      </c>
      <c r="P205" s="32">
        <v>0</v>
      </c>
      <c r="Q205" s="32">
        <v>167720</v>
      </c>
      <c r="R205" s="32">
        <v>0</v>
      </c>
      <c r="S205" s="32">
        <v>0</v>
      </c>
      <c r="T205" s="32">
        <v>0</v>
      </c>
      <c r="U205" s="32">
        <v>0</v>
      </c>
      <c r="V205" s="32">
        <v>0</v>
      </c>
      <c r="W205" s="32">
        <v>0</v>
      </c>
      <c r="X205" s="32">
        <v>0</v>
      </c>
      <c r="Y205" s="32">
        <v>0</v>
      </c>
      <c r="Z205" s="32">
        <v>0</v>
      </c>
      <c r="AA205" s="32">
        <v>0</v>
      </c>
      <c r="AB205" s="32">
        <v>0</v>
      </c>
      <c r="AC205" s="32" t="s">
        <v>540</v>
      </c>
      <c r="AD205" s="32"/>
      <c r="AE205" s="32">
        <v>0</v>
      </c>
    </row>
    <row r="206" spans="1:31" x14ac:dyDescent="0.25">
      <c r="A206">
        <v>6477</v>
      </c>
      <c r="B206" t="s">
        <v>500</v>
      </c>
      <c r="C206" t="s">
        <v>99</v>
      </c>
      <c r="D206" s="35">
        <v>167048</v>
      </c>
      <c r="E206">
        <v>1246260177</v>
      </c>
      <c r="F206" s="328">
        <v>46132</v>
      </c>
      <c r="H206" t="s">
        <v>28</v>
      </c>
      <c r="I206" t="s">
        <v>29</v>
      </c>
      <c r="J206">
        <v>10533</v>
      </c>
      <c r="K206" s="328">
        <v>46042</v>
      </c>
      <c r="L206">
        <v>1010100</v>
      </c>
      <c r="M206" t="s">
        <v>35</v>
      </c>
      <c r="N206">
        <v>-20</v>
      </c>
      <c r="O206" s="32">
        <v>0</v>
      </c>
      <c r="P206" s="32">
        <v>0</v>
      </c>
      <c r="Q206" s="32">
        <v>167048</v>
      </c>
      <c r="R206" s="32">
        <v>0</v>
      </c>
      <c r="S206" s="32">
        <v>0</v>
      </c>
      <c r="T206" s="32">
        <v>0</v>
      </c>
      <c r="U206" s="32">
        <v>0</v>
      </c>
      <c r="V206" s="32">
        <v>0</v>
      </c>
      <c r="W206" s="32">
        <v>0</v>
      </c>
      <c r="X206" s="32">
        <v>0</v>
      </c>
      <c r="Y206" s="32">
        <v>0</v>
      </c>
      <c r="Z206" s="32">
        <v>0</v>
      </c>
      <c r="AA206" s="32">
        <v>0</v>
      </c>
      <c r="AB206" s="32">
        <v>0</v>
      </c>
      <c r="AC206" s="32" t="s">
        <v>540</v>
      </c>
      <c r="AD206" s="32"/>
      <c r="AE206" s="32">
        <v>0</v>
      </c>
    </row>
    <row r="207" spans="1:31" x14ac:dyDescent="0.25">
      <c r="A207">
        <v>6477</v>
      </c>
      <c r="B207" t="s">
        <v>500</v>
      </c>
      <c r="C207" t="s">
        <v>99</v>
      </c>
      <c r="D207" s="35">
        <v>168000</v>
      </c>
      <c r="E207">
        <v>1246259444</v>
      </c>
      <c r="F207" s="328">
        <v>46126</v>
      </c>
      <c r="H207" t="s">
        <v>28</v>
      </c>
      <c r="I207" t="s">
        <v>29</v>
      </c>
      <c r="J207">
        <v>10483</v>
      </c>
      <c r="K207" s="328">
        <v>46036</v>
      </c>
      <c r="L207">
        <v>1010100</v>
      </c>
      <c r="M207" t="s">
        <v>35</v>
      </c>
      <c r="N207">
        <v>-14</v>
      </c>
      <c r="O207" s="32">
        <v>0</v>
      </c>
      <c r="P207" s="32">
        <v>0</v>
      </c>
      <c r="Q207" s="32">
        <v>168000</v>
      </c>
      <c r="R207" s="32">
        <v>0</v>
      </c>
      <c r="S207" s="32">
        <v>0</v>
      </c>
      <c r="T207" s="32">
        <v>0</v>
      </c>
      <c r="U207" s="32">
        <v>0</v>
      </c>
      <c r="V207" s="32">
        <v>0</v>
      </c>
      <c r="W207" s="32">
        <v>0</v>
      </c>
      <c r="X207" s="32">
        <v>0</v>
      </c>
      <c r="Y207" s="32">
        <v>0</v>
      </c>
      <c r="Z207" s="32">
        <v>0</v>
      </c>
      <c r="AA207" s="32">
        <v>0</v>
      </c>
      <c r="AB207" s="32">
        <v>0</v>
      </c>
      <c r="AC207" s="32" t="s">
        <v>540</v>
      </c>
      <c r="AD207" s="32"/>
      <c r="AE207" s="32">
        <v>0</v>
      </c>
    </row>
    <row r="208" spans="1:31" x14ac:dyDescent="0.25">
      <c r="A208">
        <v>6477</v>
      </c>
      <c r="B208" t="s">
        <v>500</v>
      </c>
      <c r="C208" t="s">
        <v>99</v>
      </c>
      <c r="D208" s="35">
        <v>6302.6</v>
      </c>
      <c r="E208">
        <v>1246212732</v>
      </c>
      <c r="F208" s="328">
        <v>45682</v>
      </c>
      <c r="H208" t="s">
        <v>28</v>
      </c>
      <c r="I208" t="s">
        <v>29</v>
      </c>
      <c r="J208">
        <v>6197</v>
      </c>
      <c r="K208" s="328">
        <v>45622</v>
      </c>
      <c r="L208">
        <v>1010100</v>
      </c>
      <c r="M208" t="s">
        <v>35</v>
      </c>
      <c r="N208">
        <v>430</v>
      </c>
      <c r="O208" s="32">
        <v>0</v>
      </c>
      <c r="P208" s="32">
        <v>6302.6</v>
      </c>
      <c r="Q208" s="32">
        <v>0</v>
      </c>
      <c r="R208" s="32">
        <v>0</v>
      </c>
      <c r="S208" s="32">
        <v>0</v>
      </c>
      <c r="T208" s="32">
        <v>0</v>
      </c>
      <c r="U208" s="32">
        <v>6302.6</v>
      </c>
      <c r="V208" s="32">
        <v>0</v>
      </c>
      <c r="W208" s="32">
        <v>189.078</v>
      </c>
      <c r="X208" s="32">
        <v>6113.5219999999999</v>
      </c>
      <c r="Y208" s="32">
        <v>6113.5219999999999</v>
      </c>
      <c r="Z208" s="32">
        <v>6302.6</v>
      </c>
      <c r="AA208" s="32">
        <v>0</v>
      </c>
      <c r="AB208" s="32">
        <v>6302.6</v>
      </c>
      <c r="AC208" s="32" t="s">
        <v>540</v>
      </c>
      <c r="AD208" s="32"/>
      <c r="AE208" s="32">
        <v>6302.6</v>
      </c>
    </row>
    <row r="209" spans="1:31" x14ac:dyDescent="0.25">
      <c r="A209">
        <v>7097</v>
      </c>
      <c r="B209" t="s">
        <v>500</v>
      </c>
      <c r="C209" t="s">
        <v>103</v>
      </c>
      <c r="D209" s="35">
        <v>177977.8</v>
      </c>
      <c r="E209">
        <v>1246265921</v>
      </c>
      <c r="F209" s="328">
        <v>46173</v>
      </c>
      <c r="H209" t="s">
        <v>28</v>
      </c>
      <c r="I209" t="s">
        <v>29</v>
      </c>
      <c r="J209">
        <v>10795</v>
      </c>
      <c r="K209" s="328">
        <v>46083</v>
      </c>
      <c r="L209">
        <v>1010100</v>
      </c>
      <c r="M209" t="s">
        <v>35</v>
      </c>
      <c r="N209">
        <v>-61</v>
      </c>
      <c r="O209" s="32">
        <v>0</v>
      </c>
      <c r="P209" s="32">
        <v>0</v>
      </c>
      <c r="Q209" s="32">
        <v>177977.8</v>
      </c>
      <c r="R209" s="32">
        <v>0</v>
      </c>
      <c r="S209" s="32">
        <v>0</v>
      </c>
      <c r="T209" s="32">
        <v>0</v>
      </c>
      <c r="U209" s="32">
        <v>0</v>
      </c>
      <c r="V209" s="32">
        <v>0</v>
      </c>
      <c r="W209" s="32">
        <v>0</v>
      </c>
      <c r="X209" s="32">
        <v>0</v>
      </c>
      <c r="Y209" s="32">
        <v>0</v>
      </c>
      <c r="Z209" s="32">
        <v>0</v>
      </c>
      <c r="AA209" s="32">
        <v>0</v>
      </c>
      <c r="AB209" s="32">
        <v>0</v>
      </c>
      <c r="AC209" s="32" t="s">
        <v>540</v>
      </c>
      <c r="AD209" s="32"/>
      <c r="AE209" s="32">
        <v>0</v>
      </c>
    </row>
    <row r="210" spans="1:31" x14ac:dyDescent="0.25">
      <c r="A210">
        <v>7097</v>
      </c>
      <c r="B210" t="s">
        <v>500</v>
      </c>
      <c r="C210" t="s">
        <v>103</v>
      </c>
      <c r="D210" s="35">
        <v>24552</v>
      </c>
      <c r="E210">
        <v>1246259145</v>
      </c>
      <c r="F210" s="328">
        <v>46124</v>
      </c>
      <c r="H210" t="s">
        <v>28</v>
      </c>
      <c r="I210" t="s">
        <v>29</v>
      </c>
      <c r="J210">
        <v>10460</v>
      </c>
      <c r="K210" s="328">
        <v>46034</v>
      </c>
      <c r="L210">
        <v>1010100</v>
      </c>
      <c r="M210" t="s">
        <v>35</v>
      </c>
      <c r="N210">
        <v>-12</v>
      </c>
      <c r="O210" s="32">
        <v>0</v>
      </c>
      <c r="P210" s="32">
        <v>0</v>
      </c>
      <c r="Q210" s="32">
        <v>24552</v>
      </c>
      <c r="R210" s="32">
        <v>0</v>
      </c>
      <c r="S210" s="32">
        <v>0</v>
      </c>
      <c r="T210" s="32">
        <v>0</v>
      </c>
      <c r="U210" s="32">
        <v>0</v>
      </c>
      <c r="V210" s="32">
        <v>0</v>
      </c>
      <c r="W210" s="32">
        <v>0</v>
      </c>
      <c r="X210" s="32">
        <v>0</v>
      </c>
      <c r="Y210" s="32">
        <v>0</v>
      </c>
      <c r="Z210" s="32">
        <v>0</v>
      </c>
      <c r="AA210" s="32">
        <v>0</v>
      </c>
      <c r="AB210" s="32">
        <v>0</v>
      </c>
      <c r="AC210" s="32" t="s">
        <v>540</v>
      </c>
      <c r="AD210" s="32"/>
      <c r="AE210" s="32">
        <v>0</v>
      </c>
    </row>
    <row r="211" spans="1:31" x14ac:dyDescent="0.25">
      <c r="A211">
        <v>7024</v>
      </c>
      <c r="B211" t="s">
        <v>500</v>
      </c>
      <c r="C211" t="s">
        <v>863</v>
      </c>
      <c r="D211" s="35">
        <v>70855.199999999997</v>
      </c>
      <c r="E211">
        <v>1246269662</v>
      </c>
      <c r="F211" s="328">
        <v>46201</v>
      </c>
      <c r="H211" t="s">
        <v>28</v>
      </c>
      <c r="I211" t="s">
        <v>29</v>
      </c>
      <c r="J211">
        <v>11011</v>
      </c>
      <c r="K211" s="328">
        <v>46111</v>
      </c>
      <c r="L211">
        <v>1010100</v>
      </c>
      <c r="M211" t="s">
        <v>35</v>
      </c>
      <c r="N211">
        <v>-89</v>
      </c>
      <c r="O211" s="32">
        <v>0</v>
      </c>
      <c r="P211" s="32">
        <v>0</v>
      </c>
      <c r="Q211" s="32">
        <v>70855.199999999997</v>
      </c>
      <c r="R211" s="32">
        <v>0</v>
      </c>
      <c r="S211" s="32">
        <v>0</v>
      </c>
      <c r="T211" s="32">
        <v>0</v>
      </c>
      <c r="U211" s="32">
        <v>0</v>
      </c>
      <c r="V211" s="32">
        <v>0</v>
      </c>
      <c r="W211" s="32">
        <v>0</v>
      </c>
      <c r="X211" s="32">
        <v>0</v>
      </c>
      <c r="Y211" s="32">
        <v>0</v>
      </c>
      <c r="Z211" s="32">
        <v>0</v>
      </c>
      <c r="AA211" s="32">
        <v>0</v>
      </c>
      <c r="AB211" s="32">
        <v>0</v>
      </c>
      <c r="AC211" s="32" t="s">
        <v>540</v>
      </c>
      <c r="AD211" s="32"/>
      <c r="AE211" s="32">
        <v>0</v>
      </c>
    </row>
    <row r="212" spans="1:31" x14ac:dyDescent="0.25">
      <c r="A212">
        <v>7024</v>
      </c>
      <c r="B212" t="s">
        <v>500</v>
      </c>
      <c r="C212" t="s">
        <v>863</v>
      </c>
      <c r="D212" s="35">
        <v>70410.600000000006</v>
      </c>
      <c r="E212">
        <v>1246265856</v>
      </c>
      <c r="F212" s="328">
        <v>46170</v>
      </c>
      <c r="H212" t="s">
        <v>28</v>
      </c>
      <c r="I212" t="s">
        <v>29</v>
      </c>
      <c r="J212">
        <v>10790</v>
      </c>
      <c r="K212" s="328">
        <v>46080</v>
      </c>
      <c r="L212">
        <v>1010100</v>
      </c>
      <c r="M212" t="s">
        <v>35</v>
      </c>
      <c r="N212">
        <v>-58</v>
      </c>
      <c r="O212" s="32">
        <v>0</v>
      </c>
      <c r="P212" s="32">
        <v>0</v>
      </c>
      <c r="Q212" s="32">
        <v>70410.600000000006</v>
      </c>
      <c r="R212" s="32">
        <v>0</v>
      </c>
      <c r="S212" s="32">
        <v>0</v>
      </c>
      <c r="T212" s="32">
        <v>0</v>
      </c>
      <c r="U212" s="32">
        <v>0</v>
      </c>
      <c r="V212" s="32">
        <v>0</v>
      </c>
      <c r="W212" s="32">
        <v>0</v>
      </c>
      <c r="X212" s="32">
        <v>0</v>
      </c>
      <c r="Y212" s="32">
        <v>0</v>
      </c>
      <c r="Z212" s="32">
        <v>0</v>
      </c>
      <c r="AA212" s="32">
        <v>0</v>
      </c>
      <c r="AB212" s="32">
        <v>0</v>
      </c>
      <c r="AC212" s="32" t="s">
        <v>540</v>
      </c>
      <c r="AD212" s="32"/>
      <c r="AE212" s="32">
        <v>0</v>
      </c>
    </row>
    <row r="213" spans="1:31" x14ac:dyDescent="0.25">
      <c r="A213">
        <v>7302</v>
      </c>
      <c r="B213" t="s">
        <v>500</v>
      </c>
      <c r="C213" t="s">
        <v>105</v>
      </c>
      <c r="D213" s="35">
        <v>2517.4</v>
      </c>
      <c r="E213">
        <v>1246055324</v>
      </c>
      <c r="F213" s="328">
        <v>44887</v>
      </c>
      <c r="H213" t="s">
        <v>28</v>
      </c>
      <c r="I213" t="s">
        <v>29</v>
      </c>
      <c r="J213">
        <v>19314</v>
      </c>
      <c r="K213" s="328">
        <v>44827</v>
      </c>
      <c r="L213">
        <v>1010100</v>
      </c>
      <c r="M213" t="s">
        <v>35</v>
      </c>
      <c r="N213">
        <v>1225</v>
      </c>
      <c r="O213" s="32">
        <v>0</v>
      </c>
      <c r="P213" s="32">
        <v>2517.4</v>
      </c>
      <c r="Q213" s="32">
        <v>0</v>
      </c>
      <c r="R213" s="32">
        <v>0</v>
      </c>
      <c r="S213" s="32">
        <v>0</v>
      </c>
      <c r="T213" s="32">
        <v>0</v>
      </c>
      <c r="U213" s="32">
        <v>2517.4</v>
      </c>
      <c r="V213" s="32">
        <v>0</v>
      </c>
      <c r="W213" s="32">
        <v>75.522000000000006</v>
      </c>
      <c r="X213" s="32">
        <v>2441.8780000000002</v>
      </c>
      <c r="Y213" s="32">
        <v>2441.8780000000002</v>
      </c>
      <c r="Z213" s="32">
        <v>2517.4</v>
      </c>
      <c r="AA213" s="32">
        <v>0</v>
      </c>
      <c r="AB213" s="32">
        <v>2517.4</v>
      </c>
      <c r="AC213" s="32" t="s">
        <v>540</v>
      </c>
      <c r="AD213" s="32"/>
      <c r="AE213" s="32">
        <v>2517.4</v>
      </c>
    </row>
    <row r="214" spans="1:31" x14ac:dyDescent="0.25">
      <c r="A214">
        <v>7302</v>
      </c>
      <c r="B214" t="s">
        <v>500</v>
      </c>
      <c r="C214" t="s">
        <v>105</v>
      </c>
      <c r="D214" s="35">
        <v>166320</v>
      </c>
      <c r="E214">
        <v>1246263181</v>
      </c>
      <c r="F214" s="328">
        <v>46153</v>
      </c>
      <c r="H214" t="s">
        <v>28</v>
      </c>
      <c r="I214" t="s">
        <v>29</v>
      </c>
      <c r="J214">
        <v>10672</v>
      </c>
      <c r="K214" s="328">
        <v>46063</v>
      </c>
      <c r="L214">
        <v>1010100</v>
      </c>
      <c r="M214" t="s">
        <v>35</v>
      </c>
      <c r="N214">
        <v>-41</v>
      </c>
      <c r="O214" s="32">
        <v>0</v>
      </c>
      <c r="P214" s="32">
        <v>0</v>
      </c>
      <c r="Q214" s="32">
        <v>166320</v>
      </c>
      <c r="R214" s="32">
        <v>0</v>
      </c>
      <c r="S214" s="32">
        <v>0</v>
      </c>
      <c r="T214" s="32">
        <v>0</v>
      </c>
      <c r="U214" s="32">
        <v>0</v>
      </c>
      <c r="V214" s="32">
        <v>0</v>
      </c>
      <c r="W214" s="32">
        <v>0</v>
      </c>
      <c r="X214" s="32">
        <v>0</v>
      </c>
      <c r="Y214" s="32">
        <v>0</v>
      </c>
      <c r="Z214" s="32">
        <v>0</v>
      </c>
      <c r="AA214" s="32">
        <v>0</v>
      </c>
      <c r="AB214" s="32">
        <v>0</v>
      </c>
      <c r="AC214" s="32" t="s">
        <v>540</v>
      </c>
      <c r="AD214" s="32"/>
      <c r="AE214" s="32">
        <v>0</v>
      </c>
    </row>
    <row r="215" spans="1:31" x14ac:dyDescent="0.25">
      <c r="A215">
        <v>7302</v>
      </c>
      <c r="B215" t="s">
        <v>500</v>
      </c>
      <c r="C215" t="s">
        <v>105</v>
      </c>
      <c r="D215" s="35">
        <v>112000</v>
      </c>
      <c r="E215">
        <v>1246261232</v>
      </c>
      <c r="F215" s="328">
        <v>46139</v>
      </c>
      <c r="H215" t="s">
        <v>28</v>
      </c>
      <c r="I215" t="s">
        <v>29</v>
      </c>
      <c r="J215">
        <v>10587</v>
      </c>
      <c r="K215" s="328">
        <v>46049</v>
      </c>
      <c r="L215">
        <v>1010100</v>
      </c>
      <c r="M215" t="s">
        <v>35</v>
      </c>
      <c r="N215">
        <v>-27</v>
      </c>
      <c r="O215" s="32">
        <v>0</v>
      </c>
      <c r="P215" s="32">
        <v>0</v>
      </c>
      <c r="Q215" s="32">
        <v>112000</v>
      </c>
      <c r="R215" s="32">
        <v>0</v>
      </c>
      <c r="S215" s="32">
        <v>0</v>
      </c>
      <c r="T215" s="32">
        <v>0</v>
      </c>
      <c r="U215" s="32">
        <v>0</v>
      </c>
      <c r="V215" s="32">
        <v>0</v>
      </c>
      <c r="W215" s="32">
        <v>0</v>
      </c>
      <c r="X215" s="32">
        <v>0</v>
      </c>
      <c r="Y215" s="32">
        <v>0</v>
      </c>
      <c r="Z215" s="32">
        <v>0</v>
      </c>
      <c r="AA215" s="32">
        <v>0</v>
      </c>
      <c r="AB215" s="32">
        <v>0</v>
      </c>
      <c r="AC215" s="32" t="s">
        <v>540</v>
      </c>
      <c r="AD215" s="32"/>
      <c r="AE215" s="32">
        <v>0</v>
      </c>
    </row>
    <row r="216" spans="1:31" x14ac:dyDescent="0.25">
      <c r="A216">
        <v>7302</v>
      </c>
      <c r="B216" t="s">
        <v>500</v>
      </c>
      <c r="C216" t="s">
        <v>105</v>
      </c>
      <c r="D216" s="35">
        <v>157472</v>
      </c>
      <c r="E216">
        <v>1246259446</v>
      </c>
      <c r="F216" s="328">
        <v>46126</v>
      </c>
      <c r="H216" t="s">
        <v>28</v>
      </c>
      <c r="I216" t="s">
        <v>29</v>
      </c>
      <c r="J216">
        <v>10484</v>
      </c>
      <c r="K216" s="328">
        <v>46036</v>
      </c>
      <c r="L216">
        <v>1010100</v>
      </c>
      <c r="M216" t="s">
        <v>35</v>
      </c>
      <c r="N216">
        <v>-14</v>
      </c>
      <c r="O216" s="32">
        <v>0</v>
      </c>
      <c r="P216" s="32">
        <v>0</v>
      </c>
      <c r="Q216" s="32">
        <v>157472</v>
      </c>
      <c r="R216" s="32">
        <v>0</v>
      </c>
      <c r="S216" s="32">
        <v>0</v>
      </c>
      <c r="T216" s="32">
        <v>0</v>
      </c>
      <c r="U216" s="32">
        <v>0</v>
      </c>
      <c r="V216" s="32">
        <v>0</v>
      </c>
      <c r="W216" s="32">
        <v>0</v>
      </c>
      <c r="X216" s="32">
        <v>0</v>
      </c>
      <c r="Y216" s="32">
        <v>0</v>
      </c>
      <c r="Z216" s="32">
        <v>0</v>
      </c>
      <c r="AA216" s="32">
        <v>0</v>
      </c>
      <c r="AB216" s="32">
        <v>0</v>
      </c>
      <c r="AC216" s="32" t="s">
        <v>540</v>
      </c>
      <c r="AD216" s="32"/>
      <c r="AE216" s="32">
        <v>0</v>
      </c>
    </row>
    <row r="217" spans="1:31" x14ac:dyDescent="0.25">
      <c r="A217">
        <v>7302</v>
      </c>
      <c r="B217" t="s">
        <v>500</v>
      </c>
      <c r="C217" t="s">
        <v>105</v>
      </c>
      <c r="D217" s="35">
        <v>167048</v>
      </c>
      <c r="E217">
        <v>1246260176</v>
      </c>
      <c r="F217" s="328">
        <v>46132</v>
      </c>
      <c r="H217" t="s">
        <v>28</v>
      </c>
      <c r="I217" t="s">
        <v>29</v>
      </c>
      <c r="J217">
        <v>10532</v>
      </c>
      <c r="K217" s="328">
        <v>46042</v>
      </c>
      <c r="L217">
        <v>1010100</v>
      </c>
      <c r="M217" t="s">
        <v>35</v>
      </c>
      <c r="N217">
        <v>-20</v>
      </c>
      <c r="O217" s="32">
        <v>0</v>
      </c>
      <c r="P217" s="32">
        <v>0</v>
      </c>
      <c r="Q217" s="32">
        <v>167048</v>
      </c>
      <c r="R217" s="32">
        <v>0</v>
      </c>
      <c r="S217" s="32">
        <v>0</v>
      </c>
      <c r="T217" s="32">
        <v>0</v>
      </c>
      <c r="U217" s="32">
        <v>0</v>
      </c>
      <c r="V217" s="32">
        <v>0</v>
      </c>
      <c r="W217" s="32">
        <v>0</v>
      </c>
      <c r="X217" s="32">
        <v>0</v>
      </c>
      <c r="Y217" s="32">
        <v>0</v>
      </c>
      <c r="Z217" s="32">
        <v>0</v>
      </c>
      <c r="AA217" s="32">
        <v>0</v>
      </c>
      <c r="AB217" s="32">
        <v>0</v>
      </c>
      <c r="AC217" s="32" t="s">
        <v>540</v>
      </c>
      <c r="AD217" s="32"/>
      <c r="AE217" s="32">
        <v>0</v>
      </c>
    </row>
    <row r="218" spans="1:31" x14ac:dyDescent="0.25">
      <c r="A218">
        <v>7302</v>
      </c>
      <c r="B218" t="s">
        <v>500</v>
      </c>
      <c r="C218" t="s">
        <v>105</v>
      </c>
      <c r="D218" s="35">
        <v>167720</v>
      </c>
      <c r="E218">
        <v>1246262004</v>
      </c>
      <c r="F218" s="328">
        <v>46145</v>
      </c>
      <c r="H218" t="s">
        <v>28</v>
      </c>
      <c r="I218" t="s">
        <v>29</v>
      </c>
      <c r="J218">
        <v>10622</v>
      </c>
      <c r="K218" s="328">
        <v>46055</v>
      </c>
      <c r="L218">
        <v>1010100</v>
      </c>
      <c r="M218" t="s">
        <v>35</v>
      </c>
      <c r="N218">
        <v>-33</v>
      </c>
      <c r="O218" s="32">
        <v>0</v>
      </c>
      <c r="P218" s="32">
        <v>0</v>
      </c>
      <c r="Q218" s="32">
        <v>167720</v>
      </c>
      <c r="R218" s="32">
        <v>0</v>
      </c>
      <c r="S218" s="32">
        <v>0</v>
      </c>
      <c r="T218" s="32">
        <v>0</v>
      </c>
      <c r="U218" s="32">
        <v>0</v>
      </c>
      <c r="V218" s="32">
        <v>0</v>
      </c>
      <c r="W218" s="32">
        <v>0</v>
      </c>
      <c r="X218" s="32">
        <v>0</v>
      </c>
      <c r="Y218" s="32">
        <v>0</v>
      </c>
      <c r="Z218" s="32">
        <v>0</v>
      </c>
      <c r="AA218" s="32">
        <v>0</v>
      </c>
      <c r="AB218" s="32">
        <v>0</v>
      </c>
      <c r="AC218" s="32" t="s">
        <v>540</v>
      </c>
      <c r="AD218" s="32"/>
      <c r="AE218" s="32">
        <v>0</v>
      </c>
    </row>
    <row r="219" spans="1:31" x14ac:dyDescent="0.25">
      <c r="A219">
        <v>7302</v>
      </c>
      <c r="B219" t="s">
        <v>500</v>
      </c>
      <c r="C219" t="s">
        <v>105</v>
      </c>
      <c r="D219" s="35">
        <v>64.2</v>
      </c>
      <c r="E219">
        <v>1246226087</v>
      </c>
      <c r="F219" s="328">
        <v>45919</v>
      </c>
      <c r="H219" t="s">
        <v>28</v>
      </c>
      <c r="I219" t="s">
        <v>29</v>
      </c>
      <c r="J219">
        <v>8559</v>
      </c>
      <c r="K219" s="328">
        <v>45859</v>
      </c>
      <c r="L219">
        <v>1010100</v>
      </c>
      <c r="M219" t="s">
        <v>35</v>
      </c>
      <c r="N219">
        <v>193</v>
      </c>
      <c r="O219" s="32">
        <v>0</v>
      </c>
      <c r="P219" s="32">
        <v>1.9259999999999999</v>
      </c>
      <c r="Q219" s="32">
        <v>0</v>
      </c>
      <c r="R219" s="32">
        <v>0</v>
      </c>
      <c r="S219" s="32">
        <v>0</v>
      </c>
      <c r="T219" s="32">
        <v>64.2</v>
      </c>
      <c r="U219" s="32">
        <v>0</v>
      </c>
      <c r="V219" s="32">
        <v>0</v>
      </c>
      <c r="W219" s="32">
        <v>1.9259999999999999</v>
      </c>
      <c r="X219" s="32">
        <v>0</v>
      </c>
      <c r="Y219" s="32">
        <v>0</v>
      </c>
      <c r="Z219" s="32">
        <v>64.2</v>
      </c>
      <c r="AA219" s="32">
        <v>0</v>
      </c>
      <c r="AB219" s="32">
        <v>1.9259999999999999</v>
      </c>
      <c r="AC219" s="32" t="s">
        <v>540</v>
      </c>
      <c r="AD219" s="32"/>
      <c r="AE219" s="32">
        <v>1.9259999999999999</v>
      </c>
    </row>
    <row r="220" spans="1:31" x14ac:dyDescent="0.25">
      <c r="A220">
        <v>7103</v>
      </c>
      <c r="B220" t="s">
        <v>500</v>
      </c>
      <c r="C220" t="s">
        <v>570</v>
      </c>
      <c r="D220" s="35">
        <v>57019</v>
      </c>
      <c r="E220">
        <v>1246269403</v>
      </c>
      <c r="F220" s="328">
        <v>46198</v>
      </c>
      <c r="H220" t="s">
        <v>28</v>
      </c>
      <c r="I220" t="s">
        <v>29</v>
      </c>
      <c r="J220">
        <v>10985</v>
      </c>
      <c r="K220" s="328">
        <v>46108</v>
      </c>
      <c r="L220">
        <v>1010100</v>
      </c>
      <c r="M220" t="s">
        <v>35</v>
      </c>
      <c r="N220">
        <v>-86</v>
      </c>
      <c r="O220" s="32">
        <v>0</v>
      </c>
      <c r="P220" s="32">
        <v>0</v>
      </c>
      <c r="Q220" s="32">
        <v>57019</v>
      </c>
      <c r="R220" s="32">
        <v>0</v>
      </c>
      <c r="S220" s="32">
        <v>0</v>
      </c>
      <c r="T220" s="32">
        <v>0</v>
      </c>
      <c r="U220" s="32">
        <v>0</v>
      </c>
      <c r="V220" s="32">
        <v>0</v>
      </c>
      <c r="W220" s="32">
        <v>0</v>
      </c>
      <c r="X220" s="32">
        <v>0</v>
      </c>
      <c r="Y220" s="32">
        <v>0</v>
      </c>
      <c r="Z220" s="32">
        <v>0</v>
      </c>
      <c r="AA220" s="32">
        <v>0</v>
      </c>
      <c r="AB220" s="32">
        <v>0</v>
      </c>
      <c r="AC220" s="32" t="s">
        <v>540</v>
      </c>
      <c r="AD220" s="32"/>
      <c r="AE220" s="32">
        <v>0</v>
      </c>
    </row>
    <row r="221" spans="1:31" x14ac:dyDescent="0.25">
      <c r="A221">
        <v>7103</v>
      </c>
      <c r="B221" t="s">
        <v>500</v>
      </c>
      <c r="C221" t="s">
        <v>570</v>
      </c>
      <c r="D221" s="35">
        <v>288000</v>
      </c>
      <c r="E221">
        <v>1246264792</v>
      </c>
      <c r="F221" s="328">
        <v>46167</v>
      </c>
      <c r="H221" t="s">
        <v>28</v>
      </c>
      <c r="I221" t="s">
        <v>29</v>
      </c>
      <c r="J221">
        <v>2769</v>
      </c>
      <c r="K221" s="328">
        <v>46077</v>
      </c>
      <c r="L221">
        <v>1010100</v>
      </c>
      <c r="M221" t="s">
        <v>35</v>
      </c>
      <c r="N221">
        <v>-55</v>
      </c>
      <c r="O221" s="32">
        <v>0</v>
      </c>
      <c r="P221" s="32">
        <v>0</v>
      </c>
      <c r="Q221" s="32">
        <v>288000</v>
      </c>
      <c r="R221" s="32">
        <v>0</v>
      </c>
      <c r="S221" s="32">
        <v>0</v>
      </c>
      <c r="T221" s="32">
        <v>0</v>
      </c>
      <c r="U221" s="32">
        <v>0</v>
      </c>
      <c r="V221" s="32">
        <v>0</v>
      </c>
      <c r="W221" s="32">
        <v>0</v>
      </c>
      <c r="X221" s="32">
        <v>0</v>
      </c>
      <c r="Y221" s="32">
        <v>0</v>
      </c>
      <c r="Z221" s="32">
        <v>0</v>
      </c>
      <c r="AA221" s="32">
        <v>0</v>
      </c>
      <c r="AB221" s="32">
        <v>0</v>
      </c>
      <c r="AC221" s="32" t="s">
        <v>540</v>
      </c>
      <c r="AD221" s="32"/>
      <c r="AE221" s="32">
        <v>0</v>
      </c>
    </row>
    <row r="222" spans="1:31" x14ac:dyDescent="0.25">
      <c r="A222">
        <v>9824</v>
      </c>
      <c r="B222" t="s">
        <v>427</v>
      </c>
      <c r="C222" t="s">
        <v>190</v>
      </c>
      <c r="D222" s="35">
        <v>69971.199999999997</v>
      </c>
      <c r="E222">
        <v>1246154720</v>
      </c>
      <c r="F222" s="328">
        <v>45738</v>
      </c>
      <c r="H222" t="s">
        <v>173</v>
      </c>
      <c r="I222" t="s">
        <v>174</v>
      </c>
      <c r="J222">
        <v>4113</v>
      </c>
      <c r="K222" s="328">
        <v>45475</v>
      </c>
      <c r="L222">
        <v>1010100</v>
      </c>
      <c r="M222" t="s">
        <v>35</v>
      </c>
      <c r="N222">
        <v>374</v>
      </c>
      <c r="O222" s="32">
        <v>0</v>
      </c>
      <c r="P222" s="32">
        <v>69971.199999999997</v>
      </c>
      <c r="Q222" s="32">
        <v>0</v>
      </c>
      <c r="R222" s="32">
        <v>0</v>
      </c>
      <c r="S222" s="32">
        <v>0</v>
      </c>
      <c r="T222" s="32">
        <v>0</v>
      </c>
      <c r="U222" s="32">
        <v>69971.199999999997</v>
      </c>
      <c r="V222" s="32">
        <v>0</v>
      </c>
      <c r="W222" s="32">
        <v>2099.136</v>
      </c>
      <c r="X222" s="32">
        <v>67872.063999999998</v>
      </c>
      <c r="Y222" s="32">
        <v>67872.063999999998</v>
      </c>
      <c r="Z222" s="32">
        <v>69971.199999999997</v>
      </c>
      <c r="AA222" s="32">
        <v>0</v>
      </c>
      <c r="AB222" s="32">
        <v>69971.199999999997</v>
      </c>
      <c r="AC222" s="32" t="s">
        <v>541</v>
      </c>
      <c r="AD222" s="32"/>
      <c r="AE222" s="32">
        <v>69971.199999999997</v>
      </c>
    </row>
    <row r="223" spans="1:31" x14ac:dyDescent="0.25">
      <c r="A223">
        <v>9824</v>
      </c>
      <c r="B223" t="s">
        <v>427</v>
      </c>
      <c r="C223" t="s">
        <v>190</v>
      </c>
      <c r="D223" s="35">
        <v>60656</v>
      </c>
      <c r="E223">
        <v>1246154724</v>
      </c>
      <c r="F223" s="328">
        <v>45738</v>
      </c>
      <c r="H223" t="s">
        <v>173</v>
      </c>
      <c r="I223" t="s">
        <v>174</v>
      </c>
      <c r="J223">
        <v>4114</v>
      </c>
      <c r="K223" s="328">
        <v>45475</v>
      </c>
      <c r="L223">
        <v>1010100</v>
      </c>
      <c r="M223" t="s">
        <v>35</v>
      </c>
      <c r="N223">
        <v>374</v>
      </c>
      <c r="O223" s="32">
        <v>0</v>
      </c>
      <c r="P223" s="32">
        <v>60656</v>
      </c>
      <c r="Q223" s="32">
        <v>0</v>
      </c>
      <c r="R223" s="32">
        <v>0</v>
      </c>
      <c r="S223" s="32">
        <v>0</v>
      </c>
      <c r="T223" s="32">
        <v>0</v>
      </c>
      <c r="U223" s="32">
        <v>60656</v>
      </c>
      <c r="V223" s="32">
        <v>0</v>
      </c>
      <c r="W223" s="32">
        <v>1819.6799999999998</v>
      </c>
      <c r="X223" s="32">
        <v>58836.32</v>
      </c>
      <c r="Y223" s="32">
        <v>58836.32</v>
      </c>
      <c r="Z223" s="32">
        <v>60656</v>
      </c>
      <c r="AA223" s="32">
        <v>0</v>
      </c>
      <c r="AB223" s="32">
        <v>60656</v>
      </c>
      <c r="AC223" s="32" t="s">
        <v>541</v>
      </c>
      <c r="AD223" s="32"/>
      <c r="AE223" s="32">
        <v>60656</v>
      </c>
    </row>
    <row r="224" spans="1:31" x14ac:dyDescent="0.25">
      <c r="A224">
        <v>11724</v>
      </c>
      <c r="B224" t="s">
        <v>428</v>
      </c>
      <c r="C224" t="s">
        <v>119</v>
      </c>
      <c r="D224" s="35">
        <v>143868</v>
      </c>
      <c r="E224">
        <v>1246267487</v>
      </c>
      <c r="F224" s="328">
        <v>46167</v>
      </c>
      <c r="H224" t="s">
        <v>28</v>
      </c>
      <c r="I224" t="s">
        <v>29</v>
      </c>
      <c r="J224">
        <v>10867</v>
      </c>
      <c r="K224" s="328">
        <v>46092</v>
      </c>
      <c r="L224">
        <v>1010100</v>
      </c>
      <c r="M224" t="s">
        <v>35</v>
      </c>
      <c r="N224">
        <v>-55</v>
      </c>
      <c r="O224" s="32">
        <v>0</v>
      </c>
      <c r="P224" s="32">
        <v>0</v>
      </c>
      <c r="Q224" s="32">
        <v>143868</v>
      </c>
      <c r="R224" s="32">
        <v>0</v>
      </c>
      <c r="S224" s="32">
        <v>0</v>
      </c>
      <c r="T224" s="32">
        <v>0</v>
      </c>
      <c r="U224" s="32">
        <v>0</v>
      </c>
      <c r="V224" s="32">
        <v>0</v>
      </c>
      <c r="W224" s="32">
        <v>0</v>
      </c>
      <c r="X224" s="32">
        <v>0</v>
      </c>
      <c r="Y224" s="32">
        <v>0</v>
      </c>
      <c r="Z224" s="32">
        <v>0</v>
      </c>
      <c r="AA224" s="32">
        <v>0</v>
      </c>
      <c r="AB224" s="32">
        <v>0</v>
      </c>
      <c r="AC224" s="32" t="s">
        <v>475</v>
      </c>
      <c r="AD224" s="32"/>
      <c r="AE224" s="32">
        <v>0</v>
      </c>
    </row>
    <row r="225" spans="1:31" x14ac:dyDescent="0.25">
      <c r="A225">
        <v>11724</v>
      </c>
      <c r="B225" t="s">
        <v>428</v>
      </c>
      <c r="C225" t="s">
        <v>119</v>
      </c>
      <c r="D225" s="35">
        <v>179580.2</v>
      </c>
      <c r="E225">
        <v>1246262079</v>
      </c>
      <c r="F225" s="328">
        <v>46122</v>
      </c>
      <c r="H225" t="s">
        <v>28</v>
      </c>
      <c r="I225" t="s">
        <v>29</v>
      </c>
      <c r="J225">
        <v>10628</v>
      </c>
      <c r="K225" s="328">
        <v>46056</v>
      </c>
      <c r="L225">
        <v>1010100</v>
      </c>
      <c r="M225" t="s">
        <v>35</v>
      </c>
      <c r="N225">
        <v>-10</v>
      </c>
      <c r="O225" s="32">
        <v>0</v>
      </c>
      <c r="P225" s="32">
        <v>0</v>
      </c>
      <c r="Q225" s="32">
        <v>179580.2</v>
      </c>
      <c r="R225" s="32">
        <v>0</v>
      </c>
      <c r="S225" s="32">
        <v>0</v>
      </c>
      <c r="T225" s="32">
        <v>0</v>
      </c>
      <c r="U225" s="32">
        <v>0</v>
      </c>
      <c r="V225" s="32">
        <v>0</v>
      </c>
      <c r="W225" s="32">
        <v>0</v>
      </c>
      <c r="X225" s="32">
        <v>0</v>
      </c>
      <c r="Y225" s="32">
        <v>0</v>
      </c>
      <c r="Z225" s="32">
        <v>0</v>
      </c>
      <c r="AA225" s="32">
        <v>0</v>
      </c>
      <c r="AB225" s="32">
        <v>0</v>
      </c>
      <c r="AC225" s="32" t="s">
        <v>475</v>
      </c>
      <c r="AD225" s="32"/>
      <c r="AE225" s="32">
        <v>0</v>
      </c>
    </row>
    <row r="226" spans="1:31" x14ac:dyDescent="0.25">
      <c r="A226">
        <v>11724</v>
      </c>
      <c r="B226" t="s">
        <v>428</v>
      </c>
      <c r="C226" t="s">
        <v>119</v>
      </c>
      <c r="D226" s="35">
        <v>171254.1</v>
      </c>
      <c r="E226">
        <v>1246263820</v>
      </c>
      <c r="F226" s="328">
        <v>46137</v>
      </c>
      <c r="H226" t="s">
        <v>28</v>
      </c>
      <c r="I226" t="s">
        <v>29</v>
      </c>
      <c r="J226">
        <v>10704</v>
      </c>
      <c r="K226" s="328">
        <v>46069</v>
      </c>
      <c r="L226">
        <v>1010100</v>
      </c>
      <c r="M226" t="s">
        <v>35</v>
      </c>
      <c r="N226">
        <v>-25</v>
      </c>
      <c r="O226" s="32">
        <v>0</v>
      </c>
      <c r="P226" s="32">
        <v>0</v>
      </c>
      <c r="Q226" s="32">
        <v>171254.1</v>
      </c>
      <c r="R226" s="32">
        <v>0</v>
      </c>
      <c r="S226" s="32">
        <v>0</v>
      </c>
      <c r="T226" s="32">
        <v>0</v>
      </c>
      <c r="U226" s="32">
        <v>0</v>
      </c>
      <c r="V226" s="32">
        <v>0</v>
      </c>
      <c r="W226" s="32">
        <v>0</v>
      </c>
      <c r="X226" s="32">
        <v>0</v>
      </c>
      <c r="Y226" s="32">
        <v>0</v>
      </c>
      <c r="Z226" s="32">
        <v>0</v>
      </c>
      <c r="AA226" s="32">
        <v>0</v>
      </c>
      <c r="AB226" s="32">
        <v>0</v>
      </c>
      <c r="AC226" s="32" t="s">
        <v>475</v>
      </c>
      <c r="AD226" s="32"/>
      <c r="AE226" s="32">
        <v>0</v>
      </c>
    </row>
    <row r="227" spans="1:31" x14ac:dyDescent="0.25">
      <c r="A227">
        <v>10371</v>
      </c>
      <c r="B227" t="s">
        <v>427</v>
      </c>
      <c r="C227" t="s">
        <v>256</v>
      </c>
      <c r="D227" s="35">
        <v>56674.77</v>
      </c>
      <c r="E227">
        <v>1246161059</v>
      </c>
      <c r="F227" s="328">
        <v>45736</v>
      </c>
      <c r="H227" t="s">
        <v>173</v>
      </c>
      <c r="I227" t="s">
        <v>174</v>
      </c>
      <c r="J227">
        <v>4516</v>
      </c>
      <c r="K227" s="328">
        <v>45502</v>
      </c>
      <c r="L227">
        <v>1010100</v>
      </c>
      <c r="M227" t="s">
        <v>35</v>
      </c>
      <c r="N227">
        <v>376</v>
      </c>
      <c r="O227" s="32">
        <v>0</v>
      </c>
      <c r="P227" s="32">
        <v>56674.77</v>
      </c>
      <c r="Q227" s="32">
        <v>0</v>
      </c>
      <c r="R227" s="32">
        <v>0</v>
      </c>
      <c r="S227" s="32">
        <v>0</v>
      </c>
      <c r="T227" s="32">
        <v>0</v>
      </c>
      <c r="U227" s="32">
        <v>56674.77</v>
      </c>
      <c r="V227" s="32">
        <v>0</v>
      </c>
      <c r="W227" s="32">
        <v>1700.2430999999999</v>
      </c>
      <c r="X227" s="32">
        <v>54974.526899999997</v>
      </c>
      <c r="Y227" s="32">
        <v>54974.526899999997</v>
      </c>
      <c r="Z227" s="32">
        <v>56674.77</v>
      </c>
      <c r="AA227" s="32">
        <v>0</v>
      </c>
      <c r="AB227" s="32">
        <v>56674.77</v>
      </c>
      <c r="AC227" s="32" t="s">
        <v>541</v>
      </c>
      <c r="AD227" s="32"/>
      <c r="AE227" s="32">
        <v>56674.77</v>
      </c>
    </row>
    <row r="228" spans="1:31" x14ac:dyDescent="0.25">
      <c r="A228">
        <v>10371</v>
      </c>
      <c r="B228" t="s">
        <v>427</v>
      </c>
      <c r="C228" t="s">
        <v>256</v>
      </c>
      <c r="D228" s="35">
        <v>50007.15</v>
      </c>
      <c r="E228">
        <v>1246161057</v>
      </c>
      <c r="F228" s="328">
        <v>45736</v>
      </c>
      <c r="H228" t="s">
        <v>173</v>
      </c>
      <c r="I228" t="s">
        <v>174</v>
      </c>
      <c r="J228">
        <v>4515</v>
      </c>
      <c r="K228" s="328">
        <v>45502</v>
      </c>
      <c r="L228">
        <v>1010100</v>
      </c>
      <c r="M228" t="s">
        <v>35</v>
      </c>
      <c r="N228">
        <v>376</v>
      </c>
      <c r="O228" s="32">
        <v>0</v>
      </c>
      <c r="P228" s="32">
        <v>50007.15</v>
      </c>
      <c r="Q228" s="32">
        <v>0</v>
      </c>
      <c r="R228" s="32">
        <v>0</v>
      </c>
      <c r="S228" s="32">
        <v>0</v>
      </c>
      <c r="T228" s="32">
        <v>0</v>
      </c>
      <c r="U228" s="32">
        <v>50007.15</v>
      </c>
      <c r="V228" s="32">
        <v>0</v>
      </c>
      <c r="W228" s="32">
        <v>1500.2145</v>
      </c>
      <c r="X228" s="32">
        <v>48506.9355</v>
      </c>
      <c r="Y228" s="32">
        <v>48506.9355</v>
      </c>
      <c r="Z228" s="32">
        <v>50007.15</v>
      </c>
      <c r="AA228" s="32">
        <v>0</v>
      </c>
      <c r="AB228" s="32">
        <v>50007.15</v>
      </c>
      <c r="AC228" s="32" t="s">
        <v>541</v>
      </c>
      <c r="AD228" s="32"/>
      <c r="AE228" s="32">
        <v>50007.15</v>
      </c>
    </row>
    <row r="229" spans="1:31" x14ac:dyDescent="0.25">
      <c r="A229">
        <v>10660</v>
      </c>
      <c r="B229" t="s">
        <v>420</v>
      </c>
      <c r="C229" t="s">
        <v>114</v>
      </c>
      <c r="D229" s="35">
        <v>1282.56</v>
      </c>
      <c r="E229">
        <v>1246157883</v>
      </c>
      <c r="F229" s="328">
        <v>45472</v>
      </c>
      <c r="H229" t="s">
        <v>28</v>
      </c>
      <c r="I229" t="s">
        <v>29</v>
      </c>
      <c r="J229">
        <v>3740</v>
      </c>
      <c r="K229" s="328">
        <v>45444</v>
      </c>
      <c r="L229">
        <v>1010100</v>
      </c>
      <c r="M229" t="s">
        <v>35</v>
      </c>
      <c r="N229">
        <v>640</v>
      </c>
      <c r="O229" s="32">
        <v>0</v>
      </c>
      <c r="P229" s="32">
        <v>1282.5599999999997</v>
      </c>
      <c r="Q229" s="32">
        <v>0</v>
      </c>
      <c r="R229" s="32">
        <v>0</v>
      </c>
      <c r="S229" s="32">
        <v>0</v>
      </c>
      <c r="T229" s="32">
        <v>0</v>
      </c>
      <c r="U229" s="32">
        <v>1282.56</v>
      </c>
      <c r="V229" s="32">
        <v>0</v>
      </c>
      <c r="W229" s="32">
        <v>38.476799999999997</v>
      </c>
      <c r="X229" s="32">
        <v>1244.0831999999998</v>
      </c>
      <c r="Y229" s="32">
        <v>1244.0831999999998</v>
      </c>
      <c r="Z229" s="32">
        <v>1282.56</v>
      </c>
      <c r="AA229" s="32">
        <v>0</v>
      </c>
      <c r="AB229" s="32">
        <v>1282.5599999999997</v>
      </c>
      <c r="AC229" s="32" t="s">
        <v>540</v>
      </c>
      <c r="AD229" s="32"/>
      <c r="AE229" s="32">
        <v>1282.5599999999997</v>
      </c>
    </row>
    <row r="230" spans="1:31" x14ac:dyDescent="0.25">
      <c r="A230">
        <v>10660</v>
      </c>
      <c r="B230" t="s">
        <v>420</v>
      </c>
      <c r="C230" t="s">
        <v>114</v>
      </c>
      <c r="D230" s="35">
        <v>1603.2</v>
      </c>
      <c r="E230">
        <v>1246176576</v>
      </c>
      <c r="F230" s="328">
        <v>45577</v>
      </c>
      <c r="H230" t="s">
        <v>28</v>
      </c>
      <c r="I230" t="s">
        <v>29</v>
      </c>
      <c r="J230">
        <v>5264</v>
      </c>
      <c r="K230" s="328">
        <v>45549</v>
      </c>
      <c r="L230">
        <v>1010100</v>
      </c>
      <c r="M230" t="s">
        <v>35</v>
      </c>
      <c r="N230">
        <v>535</v>
      </c>
      <c r="O230" s="32">
        <v>0</v>
      </c>
      <c r="P230" s="32">
        <v>1603.2</v>
      </c>
      <c r="Q230" s="32">
        <v>0</v>
      </c>
      <c r="R230" s="32">
        <v>0</v>
      </c>
      <c r="S230" s="32">
        <v>0</v>
      </c>
      <c r="T230" s="32">
        <v>0</v>
      </c>
      <c r="U230" s="32">
        <v>1603.2</v>
      </c>
      <c r="V230" s="32">
        <v>0</v>
      </c>
      <c r="W230" s="32">
        <v>48.095999999999997</v>
      </c>
      <c r="X230" s="32">
        <v>1555.104</v>
      </c>
      <c r="Y230" s="32">
        <v>1555.104</v>
      </c>
      <c r="Z230" s="32">
        <v>1603.2</v>
      </c>
      <c r="AA230" s="32">
        <v>0</v>
      </c>
      <c r="AB230" s="32">
        <v>1603.2</v>
      </c>
      <c r="AC230" s="32" t="s">
        <v>540</v>
      </c>
      <c r="AD230" s="32"/>
      <c r="AE230" s="32">
        <v>1603.2</v>
      </c>
    </row>
    <row r="231" spans="1:31" x14ac:dyDescent="0.25">
      <c r="A231">
        <v>10660</v>
      </c>
      <c r="B231" t="s">
        <v>420</v>
      </c>
      <c r="C231" t="s">
        <v>114</v>
      </c>
      <c r="D231" s="35">
        <v>1282.56</v>
      </c>
      <c r="E231">
        <v>1246184893</v>
      </c>
      <c r="F231" s="328">
        <v>45623</v>
      </c>
      <c r="H231" t="s">
        <v>28</v>
      </c>
      <c r="I231" t="s">
        <v>29</v>
      </c>
      <c r="J231">
        <v>5907</v>
      </c>
      <c r="K231" s="328">
        <v>45595</v>
      </c>
      <c r="L231">
        <v>1010100</v>
      </c>
      <c r="M231" t="s">
        <v>35</v>
      </c>
      <c r="N231">
        <v>489</v>
      </c>
      <c r="O231" s="32">
        <v>0</v>
      </c>
      <c r="P231" s="32">
        <v>1282.5599999999997</v>
      </c>
      <c r="Q231" s="32">
        <v>0</v>
      </c>
      <c r="R231" s="32">
        <v>0</v>
      </c>
      <c r="S231" s="32">
        <v>0</v>
      </c>
      <c r="T231" s="32">
        <v>0</v>
      </c>
      <c r="U231" s="32">
        <v>1282.56</v>
      </c>
      <c r="V231" s="32">
        <v>0</v>
      </c>
      <c r="W231" s="32">
        <v>38.476799999999997</v>
      </c>
      <c r="X231" s="32">
        <v>1244.0831999999998</v>
      </c>
      <c r="Y231" s="32">
        <v>1244.0831999999998</v>
      </c>
      <c r="Z231" s="32">
        <v>1282.56</v>
      </c>
      <c r="AA231" s="32">
        <v>0</v>
      </c>
      <c r="AB231" s="32">
        <v>1282.5599999999997</v>
      </c>
      <c r="AC231" s="32" t="s">
        <v>540</v>
      </c>
      <c r="AD231" s="32"/>
      <c r="AE231" s="32">
        <v>1282.5599999999997</v>
      </c>
    </row>
    <row r="232" spans="1:31" x14ac:dyDescent="0.25">
      <c r="A232">
        <v>11207</v>
      </c>
      <c r="B232" t="s">
        <v>429</v>
      </c>
      <c r="C232" t="s">
        <v>194</v>
      </c>
      <c r="D232" s="35">
        <v>153825.49</v>
      </c>
      <c r="E232">
        <v>1246067872</v>
      </c>
      <c r="F232" s="328">
        <v>45412</v>
      </c>
      <c r="H232" t="s">
        <v>173</v>
      </c>
      <c r="I232" t="s">
        <v>174</v>
      </c>
      <c r="J232">
        <v>20696</v>
      </c>
      <c r="K232" s="328">
        <v>44973</v>
      </c>
      <c r="L232">
        <v>1010100</v>
      </c>
      <c r="M232" t="s">
        <v>35</v>
      </c>
      <c r="N232">
        <v>700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541</v>
      </c>
      <c r="AD232" s="32"/>
      <c r="AE232" s="32">
        <v>153825.49</v>
      </c>
    </row>
    <row r="233" spans="1:31" x14ac:dyDescent="0.25">
      <c r="A233">
        <v>11207</v>
      </c>
      <c r="B233" t="s">
        <v>429</v>
      </c>
      <c r="C233" t="s">
        <v>194</v>
      </c>
      <c r="D233" s="35">
        <v>118231.86</v>
      </c>
      <c r="E233">
        <v>1246074301</v>
      </c>
      <c r="F233" s="328">
        <v>45412</v>
      </c>
      <c r="H233" t="s">
        <v>173</v>
      </c>
      <c r="I233" t="s">
        <v>174</v>
      </c>
      <c r="J233">
        <v>21005</v>
      </c>
      <c r="K233" s="328">
        <v>45015</v>
      </c>
      <c r="L233">
        <v>1010100</v>
      </c>
      <c r="M233" t="s">
        <v>35</v>
      </c>
      <c r="N233">
        <v>700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541</v>
      </c>
      <c r="AD233" s="32"/>
      <c r="AE233" s="32">
        <v>118231.86</v>
      </c>
    </row>
    <row r="234" spans="1:31" x14ac:dyDescent="0.25">
      <c r="A234">
        <v>11207</v>
      </c>
      <c r="B234" t="s">
        <v>429</v>
      </c>
      <c r="C234" t="s">
        <v>194</v>
      </c>
      <c r="D234" s="35">
        <v>91167.15</v>
      </c>
      <c r="E234">
        <v>1246075550</v>
      </c>
      <c r="F234" s="328">
        <v>45412</v>
      </c>
      <c r="H234" t="s">
        <v>173</v>
      </c>
      <c r="I234" t="s">
        <v>174</v>
      </c>
      <c r="J234">
        <v>21053</v>
      </c>
      <c r="K234" s="328">
        <v>45022</v>
      </c>
      <c r="L234">
        <v>1010100</v>
      </c>
      <c r="M234" t="s">
        <v>35</v>
      </c>
      <c r="N234">
        <v>700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541</v>
      </c>
      <c r="AD234" s="32"/>
      <c r="AE234" s="32">
        <v>91167.15</v>
      </c>
    </row>
    <row r="235" spans="1:31" x14ac:dyDescent="0.25">
      <c r="A235">
        <v>11207</v>
      </c>
      <c r="B235" t="s">
        <v>429</v>
      </c>
      <c r="C235" t="s">
        <v>194</v>
      </c>
      <c r="D235" s="35">
        <v>43771.16</v>
      </c>
      <c r="E235">
        <v>1246094423</v>
      </c>
      <c r="F235" s="328">
        <v>45423</v>
      </c>
      <c r="H235" t="s">
        <v>173</v>
      </c>
      <c r="I235" t="s">
        <v>174</v>
      </c>
      <c r="J235">
        <v>356</v>
      </c>
      <c r="K235" s="328">
        <v>45133</v>
      </c>
      <c r="L235">
        <v>1010100</v>
      </c>
      <c r="M235" t="s">
        <v>35</v>
      </c>
      <c r="N235">
        <v>689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541</v>
      </c>
      <c r="AD235" s="32"/>
      <c r="AE235" s="32">
        <v>43771.16</v>
      </c>
    </row>
    <row r="236" spans="1:31" x14ac:dyDescent="0.25">
      <c r="A236">
        <v>11207</v>
      </c>
      <c r="B236" t="s">
        <v>429</v>
      </c>
      <c r="C236" t="s">
        <v>194</v>
      </c>
      <c r="D236" s="35">
        <v>44760.26</v>
      </c>
      <c r="E236">
        <v>1246092027</v>
      </c>
      <c r="F236" s="328">
        <v>45504</v>
      </c>
      <c r="H236" t="s">
        <v>173</v>
      </c>
      <c r="I236" t="s">
        <v>174</v>
      </c>
      <c r="J236">
        <v>138</v>
      </c>
      <c r="K236" s="328">
        <v>45119</v>
      </c>
      <c r="L236">
        <v>1010100</v>
      </c>
      <c r="M236" t="s">
        <v>35</v>
      </c>
      <c r="N236">
        <v>608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541</v>
      </c>
      <c r="AD236" s="32"/>
      <c r="AE236" s="32">
        <v>44760.26</v>
      </c>
    </row>
    <row r="237" spans="1:31" x14ac:dyDescent="0.25">
      <c r="A237">
        <v>11207</v>
      </c>
      <c r="B237" t="s">
        <v>429</v>
      </c>
      <c r="C237" t="s">
        <v>194</v>
      </c>
      <c r="D237" s="35">
        <v>43771.16</v>
      </c>
      <c r="E237">
        <v>1246093362</v>
      </c>
      <c r="F237" s="328">
        <v>45417</v>
      </c>
      <c r="H237" t="s">
        <v>173</v>
      </c>
      <c r="I237" t="s">
        <v>174</v>
      </c>
      <c r="J237">
        <v>253</v>
      </c>
      <c r="K237" s="328">
        <v>45127</v>
      </c>
      <c r="L237">
        <v>1010100</v>
      </c>
      <c r="M237" t="s">
        <v>35</v>
      </c>
      <c r="N237">
        <v>695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541</v>
      </c>
      <c r="AD237" s="32"/>
      <c r="AE237" s="32">
        <v>43771.16</v>
      </c>
    </row>
    <row r="238" spans="1:31" x14ac:dyDescent="0.25">
      <c r="A238">
        <v>11207</v>
      </c>
      <c r="B238" t="s">
        <v>429</v>
      </c>
      <c r="C238" t="s">
        <v>194</v>
      </c>
      <c r="D238" s="35">
        <v>47925.4</v>
      </c>
      <c r="E238">
        <v>1246094864</v>
      </c>
      <c r="F238" s="328">
        <v>45544</v>
      </c>
      <c r="H238" t="s">
        <v>173</v>
      </c>
      <c r="I238" t="s">
        <v>174</v>
      </c>
      <c r="J238">
        <v>407</v>
      </c>
      <c r="K238" s="328">
        <v>45135</v>
      </c>
      <c r="L238">
        <v>1010100</v>
      </c>
      <c r="M238" t="s">
        <v>35</v>
      </c>
      <c r="N238">
        <v>568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541</v>
      </c>
      <c r="AD238" s="32"/>
      <c r="AE238" s="32">
        <v>47925.4</v>
      </c>
    </row>
    <row r="239" spans="1:31" x14ac:dyDescent="0.25">
      <c r="A239">
        <v>11207</v>
      </c>
      <c r="B239" t="s">
        <v>429</v>
      </c>
      <c r="C239" t="s">
        <v>194</v>
      </c>
      <c r="D239" s="35">
        <v>106301.38</v>
      </c>
      <c r="E239">
        <v>1246094863</v>
      </c>
      <c r="F239" s="328">
        <v>45425</v>
      </c>
      <c r="H239" t="s">
        <v>173</v>
      </c>
      <c r="I239" t="s">
        <v>174</v>
      </c>
      <c r="J239">
        <v>406</v>
      </c>
      <c r="K239" s="328">
        <v>45135</v>
      </c>
      <c r="L239">
        <v>1010100</v>
      </c>
      <c r="M239" t="s">
        <v>35</v>
      </c>
      <c r="N239">
        <v>687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541</v>
      </c>
      <c r="AD239" s="32"/>
      <c r="AE239" s="32">
        <v>106301.38</v>
      </c>
    </row>
    <row r="240" spans="1:31" x14ac:dyDescent="0.25">
      <c r="A240">
        <v>11207</v>
      </c>
      <c r="B240" t="s">
        <v>429</v>
      </c>
      <c r="C240" t="s">
        <v>194</v>
      </c>
      <c r="D240" s="35">
        <v>150072.54</v>
      </c>
      <c r="E240">
        <v>1246095554</v>
      </c>
      <c r="F240" s="328">
        <v>45415</v>
      </c>
      <c r="H240" t="s">
        <v>173</v>
      </c>
      <c r="I240" t="s">
        <v>174</v>
      </c>
      <c r="J240">
        <v>485</v>
      </c>
      <c r="K240" s="328">
        <v>45140</v>
      </c>
      <c r="L240">
        <v>1010100</v>
      </c>
      <c r="M240" t="s">
        <v>35</v>
      </c>
      <c r="N240">
        <v>697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541</v>
      </c>
      <c r="AD240" s="32"/>
      <c r="AE240" s="32">
        <v>150072.54</v>
      </c>
    </row>
    <row r="241" spans="1:31" x14ac:dyDescent="0.25">
      <c r="A241">
        <v>11207</v>
      </c>
      <c r="B241" t="s">
        <v>429</v>
      </c>
      <c r="C241" t="s">
        <v>194</v>
      </c>
      <c r="D241" s="35">
        <v>150072.54999999999</v>
      </c>
      <c r="E241">
        <v>1246098101</v>
      </c>
      <c r="F241" s="328">
        <v>45414</v>
      </c>
      <c r="H241" t="s">
        <v>173</v>
      </c>
      <c r="I241" t="s">
        <v>174</v>
      </c>
      <c r="J241">
        <v>151</v>
      </c>
      <c r="K241" s="328">
        <v>45154</v>
      </c>
      <c r="L241">
        <v>1010100</v>
      </c>
      <c r="M241" t="s">
        <v>35</v>
      </c>
      <c r="N241">
        <v>698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541</v>
      </c>
      <c r="AD241" s="32"/>
      <c r="AE241" s="32">
        <v>150072.54999999999</v>
      </c>
    </row>
    <row r="242" spans="1:31" x14ac:dyDescent="0.25">
      <c r="A242">
        <v>11207</v>
      </c>
      <c r="B242" t="s">
        <v>429</v>
      </c>
      <c r="C242" t="s">
        <v>194</v>
      </c>
      <c r="D242" s="35">
        <v>43771.16</v>
      </c>
      <c r="E242">
        <v>1246098102</v>
      </c>
      <c r="F242" s="328">
        <v>45414</v>
      </c>
      <c r="H242" t="s">
        <v>173</v>
      </c>
      <c r="I242" t="s">
        <v>174</v>
      </c>
      <c r="J242">
        <v>152</v>
      </c>
      <c r="K242" s="328">
        <v>45154</v>
      </c>
      <c r="L242">
        <v>1010100</v>
      </c>
      <c r="M242" t="s">
        <v>35</v>
      </c>
      <c r="N242">
        <v>698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541</v>
      </c>
      <c r="AD242" s="32"/>
      <c r="AE242" s="32">
        <v>43771.16</v>
      </c>
    </row>
    <row r="243" spans="1:31" x14ac:dyDescent="0.25">
      <c r="A243">
        <v>11207</v>
      </c>
      <c r="B243" t="s">
        <v>429</v>
      </c>
      <c r="C243" t="s">
        <v>194</v>
      </c>
      <c r="D243" s="35">
        <v>150072.54</v>
      </c>
      <c r="E243">
        <v>1246096042</v>
      </c>
      <c r="F243" s="328">
        <v>45417</v>
      </c>
      <c r="H243" t="s">
        <v>173</v>
      </c>
      <c r="I243" t="s">
        <v>174</v>
      </c>
      <c r="J243">
        <v>520</v>
      </c>
      <c r="K243" s="328">
        <v>45142</v>
      </c>
      <c r="L243">
        <v>1010100</v>
      </c>
      <c r="M243" t="s">
        <v>35</v>
      </c>
      <c r="N243">
        <v>695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541</v>
      </c>
      <c r="AD243" s="32"/>
      <c r="AE243" s="32">
        <v>150072.54</v>
      </c>
    </row>
    <row r="244" spans="1:31" x14ac:dyDescent="0.25">
      <c r="A244">
        <v>11207</v>
      </c>
      <c r="B244" t="s">
        <v>429</v>
      </c>
      <c r="C244" t="s">
        <v>194</v>
      </c>
      <c r="D244" s="35">
        <v>150072.54999999999</v>
      </c>
      <c r="E244">
        <v>1246098739</v>
      </c>
      <c r="F244" s="328">
        <v>45446</v>
      </c>
      <c r="H244" t="s">
        <v>173</v>
      </c>
      <c r="I244" t="s">
        <v>174</v>
      </c>
      <c r="J244">
        <v>161</v>
      </c>
      <c r="K244" s="328">
        <v>45156</v>
      </c>
      <c r="L244">
        <v>1010100</v>
      </c>
      <c r="M244" t="s">
        <v>35</v>
      </c>
      <c r="N244">
        <v>666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541</v>
      </c>
      <c r="AD244" s="32"/>
      <c r="AE244" s="32">
        <v>150072.54999999999</v>
      </c>
    </row>
    <row r="245" spans="1:31" x14ac:dyDescent="0.25">
      <c r="A245">
        <v>11207</v>
      </c>
      <c r="B245" t="s">
        <v>429</v>
      </c>
      <c r="C245" t="s">
        <v>194</v>
      </c>
      <c r="D245" s="35">
        <v>150072.54</v>
      </c>
      <c r="E245">
        <v>1246103409</v>
      </c>
      <c r="F245" s="328">
        <v>45421</v>
      </c>
      <c r="H245" t="s">
        <v>173</v>
      </c>
      <c r="I245" t="s">
        <v>174</v>
      </c>
      <c r="J245">
        <v>231</v>
      </c>
      <c r="K245" s="328">
        <v>45181</v>
      </c>
      <c r="L245">
        <v>1010100</v>
      </c>
      <c r="M245" t="s">
        <v>35</v>
      </c>
      <c r="N245">
        <v>691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541</v>
      </c>
      <c r="AD245" s="32"/>
      <c r="AE245" s="32">
        <v>150072.54</v>
      </c>
    </row>
    <row r="246" spans="1:31" x14ac:dyDescent="0.25">
      <c r="A246">
        <v>11207</v>
      </c>
      <c r="B246" t="s">
        <v>429</v>
      </c>
      <c r="C246" t="s">
        <v>194</v>
      </c>
      <c r="D246" s="35">
        <v>150072.54999999999</v>
      </c>
      <c r="E246">
        <v>1246104480</v>
      </c>
      <c r="F246" s="328">
        <v>45427</v>
      </c>
      <c r="H246" t="s">
        <v>173</v>
      </c>
      <c r="I246" t="s">
        <v>174</v>
      </c>
      <c r="J246">
        <v>1209</v>
      </c>
      <c r="K246" s="328">
        <v>45187</v>
      </c>
      <c r="L246">
        <v>1010100</v>
      </c>
      <c r="M246" t="s">
        <v>35</v>
      </c>
      <c r="N246">
        <v>685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541</v>
      </c>
      <c r="AD246" s="32"/>
      <c r="AE246" s="32">
        <v>150072.54999999999</v>
      </c>
    </row>
    <row r="247" spans="1:31" x14ac:dyDescent="0.25">
      <c r="A247">
        <v>11207</v>
      </c>
      <c r="B247" t="s">
        <v>429</v>
      </c>
      <c r="C247" t="s">
        <v>194</v>
      </c>
      <c r="D247" s="35">
        <v>98152.42</v>
      </c>
      <c r="E247">
        <v>1246128194</v>
      </c>
      <c r="F247" s="328">
        <v>45595</v>
      </c>
      <c r="H247" t="s">
        <v>173</v>
      </c>
      <c r="I247" t="s">
        <v>174</v>
      </c>
      <c r="J247">
        <v>2705</v>
      </c>
      <c r="K247" s="328">
        <v>45327</v>
      </c>
      <c r="L247">
        <v>1010100</v>
      </c>
      <c r="M247" t="s">
        <v>35</v>
      </c>
      <c r="N247">
        <v>517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541</v>
      </c>
      <c r="AD247" s="32"/>
      <c r="AE247" s="32">
        <v>98152.42</v>
      </c>
    </row>
    <row r="248" spans="1:31" x14ac:dyDescent="0.25">
      <c r="A248">
        <v>11207</v>
      </c>
      <c r="B248" t="s">
        <v>429</v>
      </c>
      <c r="C248" t="s">
        <v>194</v>
      </c>
      <c r="D248" s="35">
        <v>98152.43</v>
      </c>
      <c r="E248">
        <v>1246128212</v>
      </c>
      <c r="F248" s="328">
        <v>45595</v>
      </c>
      <c r="H248" t="s">
        <v>173</v>
      </c>
      <c r="I248" t="s">
        <v>174</v>
      </c>
      <c r="J248">
        <v>2708</v>
      </c>
      <c r="K248" s="328">
        <v>45327</v>
      </c>
      <c r="L248">
        <v>1010100</v>
      </c>
      <c r="M248" t="s">
        <v>35</v>
      </c>
      <c r="N248">
        <v>517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541</v>
      </c>
      <c r="AD248" s="32"/>
      <c r="AE248" s="32">
        <v>98152.43</v>
      </c>
    </row>
    <row r="249" spans="1:31" x14ac:dyDescent="0.25">
      <c r="A249">
        <v>11207</v>
      </c>
      <c r="B249" t="s">
        <v>429</v>
      </c>
      <c r="C249" t="s">
        <v>194</v>
      </c>
      <c r="D249" s="35">
        <v>43771.16</v>
      </c>
      <c r="E249">
        <v>1246102312</v>
      </c>
      <c r="F249" s="328">
        <v>45414</v>
      </c>
      <c r="H249" t="s">
        <v>173</v>
      </c>
      <c r="I249" t="s">
        <v>174</v>
      </c>
      <c r="J249">
        <v>1038</v>
      </c>
      <c r="K249" s="328">
        <v>45174</v>
      </c>
      <c r="L249">
        <v>1010100</v>
      </c>
      <c r="M249" t="s">
        <v>35</v>
      </c>
      <c r="N249">
        <v>698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541</v>
      </c>
      <c r="AD249" s="32"/>
      <c r="AE249" s="32">
        <v>43771.16</v>
      </c>
    </row>
    <row r="250" spans="1:31" x14ac:dyDescent="0.25">
      <c r="A250">
        <v>11207</v>
      </c>
      <c r="B250" t="s">
        <v>429</v>
      </c>
      <c r="C250" t="s">
        <v>194</v>
      </c>
      <c r="D250" s="35">
        <v>43771.16</v>
      </c>
      <c r="E250">
        <v>1246103425</v>
      </c>
      <c r="F250" s="328">
        <v>45421</v>
      </c>
      <c r="H250" t="s">
        <v>173</v>
      </c>
      <c r="I250" t="s">
        <v>174</v>
      </c>
      <c r="J250">
        <v>232</v>
      </c>
      <c r="K250" s="328">
        <v>45181</v>
      </c>
      <c r="L250">
        <v>1010100</v>
      </c>
      <c r="M250" t="s">
        <v>35</v>
      </c>
      <c r="N250">
        <v>691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541</v>
      </c>
      <c r="AD250" s="32"/>
      <c r="AE250" s="32">
        <v>43771.16</v>
      </c>
    </row>
    <row r="251" spans="1:31" x14ac:dyDescent="0.25">
      <c r="A251">
        <v>11207</v>
      </c>
      <c r="B251" t="s">
        <v>429</v>
      </c>
      <c r="C251" t="s">
        <v>194</v>
      </c>
      <c r="D251" s="35">
        <v>85883.37</v>
      </c>
      <c r="E251">
        <v>1246128634</v>
      </c>
      <c r="F251" s="328">
        <v>45597</v>
      </c>
      <c r="H251" t="s">
        <v>173</v>
      </c>
      <c r="I251" t="s">
        <v>174</v>
      </c>
      <c r="J251">
        <v>2731</v>
      </c>
      <c r="K251" s="328">
        <v>45329</v>
      </c>
      <c r="L251">
        <v>1010100</v>
      </c>
      <c r="M251" t="s">
        <v>35</v>
      </c>
      <c r="N251">
        <v>515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541</v>
      </c>
      <c r="AD251" s="32"/>
      <c r="AE251" s="32">
        <v>85883.37</v>
      </c>
    </row>
    <row r="252" spans="1:31" x14ac:dyDescent="0.25">
      <c r="A252">
        <v>11207</v>
      </c>
      <c r="B252" t="s">
        <v>429</v>
      </c>
      <c r="C252" t="s">
        <v>194</v>
      </c>
      <c r="D252" s="35">
        <v>150072.54</v>
      </c>
      <c r="E252">
        <v>1246106013</v>
      </c>
      <c r="F252" s="328">
        <v>45416</v>
      </c>
      <c r="H252" t="s">
        <v>173</v>
      </c>
      <c r="I252" t="s">
        <v>174</v>
      </c>
      <c r="J252">
        <v>1329</v>
      </c>
      <c r="K252" s="328">
        <v>45194</v>
      </c>
      <c r="L252">
        <v>1010100</v>
      </c>
      <c r="M252" t="s">
        <v>35</v>
      </c>
      <c r="N252">
        <v>696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541</v>
      </c>
      <c r="AD252" s="32"/>
      <c r="AE252" s="32">
        <v>150072.54</v>
      </c>
    </row>
    <row r="253" spans="1:31" x14ac:dyDescent="0.25">
      <c r="A253">
        <v>11207</v>
      </c>
      <c r="B253" t="s">
        <v>429</v>
      </c>
      <c r="C253" t="s">
        <v>194</v>
      </c>
      <c r="D253" s="35">
        <v>150072.54</v>
      </c>
      <c r="E253">
        <v>1246102752</v>
      </c>
      <c r="F253" s="328">
        <v>45415</v>
      </c>
      <c r="H253" t="s">
        <v>173</v>
      </c>
      <c r="I253" t="s">
        <v>174</v>
      </c>
      <c r="J253">
        <v>1071</v>
      </c>
      <c r="K253" s="328">
        <v>45175</v>
      </c>
      <c r="L253">
        <v>1010100</v>
      </c>
      <c r="M253" t="s">
        <v>35</v>
      </c>
      <c r="N253">
        <v>697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541</v>
      </c>
      <c r="AD253" s="32"/>
      <c r="AE253" s="32">
        <v>150072.54</v>
      </c>
    </row>
    <row r="254" spans="1:31" x14ac:dyDescent="0.25">
      <c r="A254">
        <v>11207</v>
      </c>
      <c r="B254" t="s">
        <v>429</v>
      </c>
      <c r="C254" t="s">
        <v>194</v>
      </c>
      <c r="D254" s="35">
        <v>43771.16</v>
      </c>
      <c r="E254">
        <v>1246103933</v>
      </c>
      <c r="F254" s="328">
        <v>45423</v>
      </c>
      <c r="H254" t="s">
        <v>173</v>
      </c>
      <c r="I254" t="s">
        <v>174</v>
      </c>
      <c r="J254">
        <v>1167</v>
      </c>
      <c r="K254" s="328">
        <v>45183</v>
      </c>
      <c r="L254">
        <v>1010100</v>
      </c>
      <c r="M254" t="s">
        <v>35</v>
      </c>
      <c r="N254">
        <v>689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541</v>
      </c>
      <c r="AD254" s="32"/>
      <c r="AE254" s="32">
        <v>43771.16</v>
      </c>
    </row>
    <row r="255" spans="1:31" x14ac:dyDescent="0.25">
      <c r="A255">
        <v>11207</v>
      </c>
      <c r="B255" t="s">
        <v>429</v>
      </c>
      <c r="C255" t="s">
        <v>194</v>
      </c>
      <c r="D255" s="35">
        <v>150072.54</v>
      </c>
      <c r="E255">
        <v>1246105096</v>
      </c>
      <c r="F255" s="328">
        <v>45429</v>
      </c>
      <c r="H255" t="s">
        <v>173</v>
      </c>
      <c r="I255" t="s">
        <v>174</v>
      </c>
      <c r="J255">
        <v>1263</v>
      </c>
      <c r="K255" s="328">
        <v>45189</v>
      </c>
      <c r="L255">
        <v>1010100</v>
      </c>
      <c r="M255" t="s">
        <v>35</v>
      </c>
      <c r="N255">
        <v>683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541</v>
      </c>
      <c r="AD255" s="32"/>
      <c r="AE255" s="32">
        <v>150072.54</v>
      </c>
    </row>
    <row r="256" spans="1:31" x14ac:dyDescent="0.25">
      <c r="A256">
        <v>11207</v>
      </c>
      <c r="B256" t="s">
        <v>429</v>
      </c>
      <c r="C256" t="s">
        <v>194</v>
      </c>
      <c r="D256" s="35">
        <v>85883.37</v>
      </c>
      <c r="E256">
        <v>1246131973</v>
      </c>
      <c r="F256" s="328">
        <v>45595</v>
      </c>
      <c r="H256" t="s">
        <v>173</v>
      </c>
      <c r="I256" t="s">
        <v>174</v>
      </c>
      <c r="J256">
        <v>2972</v>
      </c>
      <c r="K256" s="328">
        <v>45352</v>
      </c>
      <c r="L256">
        <v>1010100</v>
      </c>
      <c r="M256" t="s">
        <v>35</v>
      </c>
      <c r="N256">
        <v>517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541</v>
      </c>
      <c r="AD256" s="32"/>
      <c r="AE256" s="32">
        <v>85883.37</v>
      </c>
    </row>
    <row r="257" spans="1:31" x14ac:dyDescent="0.25">
      <c r="A257">
        <v>11456</v>
      </c>
      <c r="B257" t="s">
        <v>429</v>
      </c>
      <c r="C257" t="s">
        <v>202</v>
      </c>
      <c r="D257" s="35">
        <v>108608.88999999998</v>
      </c>
      <c r="E257">
        <v>1246074872</v>
      </c>
      <c r="F257" s="328">
        <v>45412</v>
      </c>
      <c r="H257" t="s">
        <v>173</v>
      </c>
      <c r="I257" t="s">
        <v>174</v>
      </c>
      <c r="J257">
        <v>21029</v>
      </c>
      <c r="K257" s="328">
        <v>45019</v>
      </c>
      <c r="L257">
        <v>1010100</v>
      </c>
      <c r="M257" t="s">
        <v>35</v>
      </c>
      <c r="N257">
        <v>700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541</v>
      </c>
      <c r="AD257" s="32"/>
      <c r="AE257" s="32">
        <v>108608.88999999998</v>
      </c>
    </row>
    <row r="258" spans="1:31" x14ac:dyDescent="0.25">
      <c r="A258">
        <v>11456</v>
      </c>
      <c r="B258" t="s">
        <v>429</v>
      </c>
      <c r="C258" t="s">
        <v>202</v>
      </c>
      <c r="D258" s="35">
        <v>136139</v>
      </c>
      <c r="E258">
        <v>1246074571</v>
      </c>
      <c r="F258" s="328">
        <v>45412</v>
      </c>
      <c r="H258" t="s">
        <v>173</v>
      </c>
      <c r="I258" t="s">
        <v>174</v>
      </c>
      <c r="J258">
        <v>21023</v>
      </c>
      <c r="K258" s="328">
        <v>45017</v>
      </c>
      <c r="L258">
        <v>1010100</v>
      </c>
      <c r="M258" t="s">
        <v>35</v>
      </c>
      <c r="N258">
        <v>700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541</v>
      </c>
      <c r="AD258" s="32"/>
      <c r="AE258" s="32">
        <v>136139</v>
      </c>
    </row>
    <row r="259" spans="1:31" x14ac:dyDescent="0.25">
      <c r="A259">
        <v>11456</v>
      </c>
      <c r="B259" t="s">
        <v>429</v>
      </c>
      <c r="C259" t="s">
        <v>202</v>
      </c>
      <c r="D259" s="35">
        <v>150110.1</v>
      </c>
      <c r="E259">
        <v>1246127149</v>
      </c>
      <c r="F259" s="328">
        <v>45615</v>
      </c>
      <c r="H259" t="s">
        <v>173</v>
      </c>
      <c r="I259" t="s">
        <v>174</v>
      </c>
      <c r="J259">
        <v>2634</v>
      </c>
      <c r="K259" s="328">
        <v>45320</v>
      </c>
      <c r="L259">
        <v>1010100</v>
      </c>
      <c r="M259" t="s">
        <v>35</v>
      </c>
      <c r="N259">
        <v>497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541</v>
      </c>
      <c r="AD259" s="32"/>
      <c r="AE259" s="32">
        <v>150110.1</v>
      </c>
    </row>
    <row r="260" spans="1:31" x14ac:dyDescent="0.25">
      <c r="A260">
        <v>11456</v>
      </c>
      <c r="B260" t="s">
        <v>429</v>
      </c>
      <c r="C260" t="s">
        <v>202</v>
      </c>
      <c r="D260" s="35">
        <v>150110.1</v>
      </c>
      <c r="E260">
        <v>1246128463</v>
      </c>
      <c r="F260" s="328">
        <v>45623</v>
      </c>
      <c r="H260" t="s">
        <v>173</v>
      </c>
      <c r="I260" t="s">
        <v>174</v>
      </c>
      <c r="J260">
        <v>2720</v>
      </c>
      <c r="K260" s="328">
        <v>45328</v>
      </c>
      <c r="L260">
        <v>1010100</v>
      </c>
      <c r="M260" t="s">
        <v>35</v>
      </c>
      <c r="N260">
        <v>489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541</v>
      </c>
      <c r="AD260" s="32"/>
      <c r="AE260" s="32">
        <v>150110.1</v>
      </c>
    </row>
    <row r="261" spans="1:31" x14ac:dyDescent="0.25">
      <c r="A261">
        <v>10492</v>
      </c>
      <c r="B261" t="s">
        <v>417</v>
      </c>
      <c r="C261" t="s">
        <v>876</v>
      </c>
      <c r="D261" s="35">
        <v>352080</v>
      </c>
      <c r="E261">
        <v>1246269406</v>
      </c>
      <c r="F261" s="328">
        <v>46136</v>
      </c>
      <c r="H261" t="s">
        <v>28</v>
      </c>
      <c r="I261" t="s">
        <v>29</v>
      </c>
      <c r="J261">
        <v>2845</v>
      </c>
      <c r="K261" s="328">
        <v>46108</v>
      </c>
      <c r="L261">
        <v>1010100</v>
      </c>
      <c r="M261" t="s">
        <v>35</v>
      </c>
      <c r="N261">
        <v>-24</v>
      </c>
      <c r="O261" s="32">
        <v>0</v>
      </c>
      <c r="P261" s="32">
        <v>0</v>
      </c>
      <c r="Q261" s="32">
        <v>352080</v>
      </c>
      <c r="R261" s="32">
        <v>0</v>
      </c>
      <c r="S261" s="32">
        <v>0</v>
      </c>
      <c r="T261" s="32">
        <v>0</v>
      </c>
      <c r="U261" s="32">
        <v>0</v>
      </c>
      <c r="V261" s="32">
        <v>0</v>
      </c>
      <c r="W261" s="32">
        <v>0</v>
      </c>
      <c r="X261" s="32">
        <v>0</v>
      </c>
      <c r="Y261" s="32">
        <v>0</v>
      </c>
      <c r="Z261" s="32">
        <v>0</v>
      </c>
      <c r="AA261" s="32">
        <v>0</v>
      </c>
      <c r="AB261" s="32">
        <v>0</v>
      </c>
      <c r="AC261" s="32" t="s">
        <v>475</v>
      </c>
      <c r="AD261" s="32"/>
      <c r="AE261" s="32">
        <v>0</v>
      </c>
    </row>
    <row r="262" spans="1:31" x14ac:dyDescent="0.25">
      <c r="A262">
        <v>13018</v>
      </c>
      <c r="B262" t="s">
        <v>683</v>
      </c>
      <c r="C262" t="s">
        <v>686</v>
      </c>
      <c r="D262" s="35">
        <v>65364.2</v>
      </c>
      <c r="E262">
        <v>1246251307</v>
      </c>
      <c r="F262" s="328">
        <v>46387</v>
      </c>
      <c r="H262" t="s">
        <v>28</v>
      </c>
      <c r="I262" t="s">
        <v>29</v>
      </c>
      <c r="J262">
        <v>10138</v>
      </c>
      <c r="K262" s="328">
        <v>45988</v>
      </c>
      <c r="L262">
        <v>1010100</v>
      </c>
      <c r="M262" t="s">
        <v>35</v>
      </c>
      <c r="N262">
        <v>-275</v>
      </c>
      <c r="O262" s="32">
        <v>0</v>
      </c>
      <c r="P262" s="32">
        <v>0</v>
      </c>
      <c r="Q262" s="32">
        <v>65364.2</v>
      </c>
      <c r="R262" s="32">
        <v>0</v>
      </c>
      <c r="S262" s="32">
        <v>0</v>
      </c>
      <c r="T262" s="32">
        <v>0</v>
      </c>
      <c r="U262" s="32">
        <v>0</v>
      </c>
      <c r="V262" s="32">
        <v>0</v>
      </c>
      <c r="W262" s="32">
        <v>0</v>
      </c>
      <c r="X262" s="32">
        <v>0</v>
      </c>
      <c r="Y262" s="32">
        <v>0</v>
      </c>
      <c r="Z262" s="32">
        <v>0</v>
      </c>
      <c r="AA262" s="32">
        <v>0</v>
      </c>
      <c r="AB262" s="32">
        <v>0</v>
      </c>
      <c r="AC262" s="32" t="s">
        <v>475</v>
      </c>
      <c r="AD262" s="32"/>
      <c r="AE262" s="32">
        <v>0</v>
      </c>
    </row>
    <row r="263" spans="1:31" x14ac:dyDescent="0.25">
      <c r="A263">
        <v>13018</v>
      </c>
      <c r="B263" t="s">
        <v>683</v>
      </c>
      <c r="C263" t="s">
        <v>686</v>
      </c>
      <c r="D263" s="35">
        <v>49092.5</v>
      </c>
      <c r="E263">
        <v>1246237155</v>
      </c>
      <c r="F263" s="328">
        <v>46387</v>
      </c>
      <c r="H263" t="s">
        <v>28</v>
      </c>
      <c r="I263" t="s">
        <v>29</v>
      </c>
      <c r="J263">
        <v>9357</v>
      </c>
      <c r="K263" s="328">
        <v>45917</v>
      </c>
      <c r="L263">
        <v>1010100</v>
      </c>
      <c r="M263" t="s">
        <v>35</v>
      </c>
      <c r="N263">
        <v>-275</v>
      </c>
      <c r="O263" s="32">
        <v>0</v>
      </c>
      <c r="P263" s="32">
        <v>0</v>
      </c>
      <c r="Q263" s="32">
        <v>49092.5</v>
      </c>
      <c r="R263" s="32">
        <v>0</v>
      </c>
      <c r="S263" s="32">
        <v>0</v>
      </c>
      <c r="T263" s="32">
        <v>0</v>
      </c>
      <c r="U263" s="32">
        <v>0</v>
      </c>
      <c r="V263" s="32">
        <v>0</v>
      </c>
      <c r="W263" s="32">
        <v>0</v>
      </c>
      <c r="X263" s="32">
        <v>0</v>
      </c>
      <c r="Y263" s="32">
        <v>0</v>
      </c>
      <c r="Z263" s="32">
        <v>0</v>
      </c>
      <c r="AA263" s="32">
        <v>0</v>
      </c>
      <c r="AB263" s="32">
        <v>0</v>
      </c>
      <c r="AC263" s="32" t="s">
        <v>475</v>
      </c>
      <c r="AD263" s="32"/>
      <c r="AE263" s="32">
        <v>0</v>
      </c>
    </row>
    <row r="264" spans="1:31" x14ac:dyDescent="0.25">
      <c r="A264">
        <v>13018</v>
      </c>
      <c r="B264" t="s">
        <v>683</v>
      </c>
      <c r="C264" t="s">
        <v>686</v>
      </c>
      <c r="D264" s="35">
        <v>71295.600000000006</v>
      </c>
      <c r="E264">
        <v>1246239405</v>
      </c>
      <c r="F264" s="328">
        <v>46387</v>
      </c>
      <c r="H264" t="s">
        <v>28</v>
      </c>
      <c r="I264" t="s">
        <v>29</v>
      </c>
      <c r="J264">
        <v>9472</v>
      </c>
      <c r="K264" s="328">
        <v>45926</v>
      </c>
      <c r="L264">
        <v>1010100</v>
      </c>
      <c r="M264" t="s">
        <v>35</v>
      </c>
      <c r="N264">
        <v>-275</v>
      </c>
      <c r="O264" s="32">
        <v>0</v>
      </c>
      <c r="P264" s="32">
        <v>0</v>
      </c>
      <c r="Q264" s="32">
        <v>71295.600000000006</v>
      </c>
      <c r="R264" s="32">
        <v>0</v>
      </c>
      <c r="S264" s="32">
        <v>0</v>
      </c>
      <c r="T264" s="32">
        <v>0</v>
      </c>
      <c r="U264" s="32">
        <v>0</v>
      </c>
      <c r="V264" s="32">
        <v>0</v>
      </c>
      <c r="W264" s="32">
        <v>0</v>
      </c>
      <c r="X264" s="32">
        <v>0</v>
      </c>
      <c r="Y264" s="32">
        <v>0</v>
      </c>
      <c r="Z264" s="32">
        <v>0</v>
      </c>
      <c r="AA264" s="32">
        <v>0</v>
      </c>
      <c r="AB264" s="32">
        <v>0</v>
      </c>
      <c r="AC264" s="32" t="s">
        <v>475</v>
      </c>
      <c r="AD264" s="32"/>
      <c r="AE264" s="32">
        <v>0</v>
      </c>
    </row>
    <row r="265" spans="1:31" x14ac:dyDescent="0.25">
      <c r="A265">
        <v>13018</v>
      </c>
      <c r="B265" t="s">
        <v>683</v>
      </c>
      <c r="C265" t="s">
        <v>686</v>
      </c>
      <c r="D265" s="35">
        <v>70705.600000000006</v>
      </c>
      <c r="E265">
        <v>1246239411</v>
      </c>
      <c r="F265" s="328">
        <v>46387</v>
      </c>
      <c r="H265" t="s">
        <v>28</v>
      </c>
      <c r="I265" t="s">
        <v>29</v>
      </c>
      <c r="J265">
        <v>9474</v>
      </c>
      <c r="K265" s="328">
        <v>45926</v>
      </c>
      <c r="L265">
        <v>1010100</v>
      </c>
      <c r="M265" t="s">
        <v>35</v>
      </c>
      <c r="N265">
        <v>-275</v>
      </c>
      <c r="O265" s="32">
        <v>0</v>
      </c>
      <c r="P265" s="32">
        <v>0</v>
      </c>
      <c r="Q265" s="32">
        <v>70705.600000000006</v>
      </c>
      <c r="R265" s="32">
        <v>0</v>
      </c>
      <c r="S265" s="32">
        <v>0</v>
      </c>
      <c r="T265" s="32">
        <v>0</v>
      </c>
      <c r="U265" s="32">
        <v>0</v>
      </c>
      <c r="V265" s="32">
        <v>0</v>
      </c>
      <c r="W265" s="32">
        <v>0</v>
      </c>
      <c r="X265" s="32">
        <v>0</v>
      </c>
      <c r="Y265" s="32">
        <v>0</v>
      </c>
      <c r="Z265" s="32">
        <v>0</v>
      </c>
      <c r="AA265" s="32">
        <v>0</v>
      </c>
      <c r="AB265" s="32">
        <v>0</v>
      </c>
      <c r="AC265" s="32" t="s">
        <v>475</v>
      </c>
      <c r="AD265" s="32"/>
      <c r="AE265" s="32">
        <v>0</v>
      </c>
    </row>
    <row r="266" spans="1:31" x14ac:dyDescent="0.25">
      <c r="A266">
        <v>13018</v>
      </c>
      <c r="B266" t="s">
        <v>683</v>
      </c>
      <c r="C266" t="s">
        <v>686</v>
      </c>
      <c r="D266" s="35">
        <v>70800</v>
      </c>
      <c r="E266">
        <v>1246239409</v>
      </c>
      <c r="F266" s="328">
        <v>46387</v>
      </c>
      <c r="H266" t="s">
        <v>28</v>
      </c>
      <c r="I266" t="s">
        <v>29</v>
      </c>
      <c r="J266">
        <v>9473</v>
      </c>
      <c r="K266" s="328">
        <v>45926</v>
      </c>
      <c r="L266">
        <v>1010100</v>
      </c>
      <c r="M266" t="s">
        <v>35</v>
      </c>
      <c r="N266">
        <v>-275</v>
      </c>
      <c r="O266" s="32">
        <v>0</v>
      </c>
      <c r="P266" s="32">
        <v>0</v>
      </c>
      <c r="Q266" s="32">
        <v>70800</v>
      </c>
      <c r="R266" s="32">
        <v>0</v>
      </c>
      <c r="S266" s="32">
        <v>0</v>
      </c>
      <c r="T266" s="32">
        <v>0</v>
      </c>
      <c r="U266" s="32">
        <v>0</v>
      </c>
      <c r="V266" s="32">
        <v>0</v>
      </c>
      <c r="W266" s="32">
        <v>0</v>
      </c>
      <c r="X266" s="32">
        <v>0</v>
      </c>
      <c r="Y266" s="32">
        <v>0</v>
      </c>
      <c r="Z266" s="32">
        <v>0</v>
      </c>
      <c r="AA266" s="32">
        <v>0</v>
      </c>
      <c r="AB266" s="32">
        <v>0</v>
      </c>
      <c r="AC266" s="32" t="s">
        <v>475</v>
      </c>
      <c r="AD266" s="32"/>
      <c r="AE266" s="32">
        <v>0</v>
      </c>
    </row>
    <row r="267" spans="1:31" x14ac:dyDescent="0.25">
      <c r="A267">
        <v>12741</v>
      </c>
      <c r="B267" t="s">
        <v>428</v>
      </c>
      <c r="C267" t="s">
        <v>888</v>
      </c>
      <c r="D267" s="35">
        <v>137256</v>
      </c>
      <c r="E267">
        <v>1246268240</v>
      </c>
      <c r="F267" s="328">
        <v>46167</v>
      </c>
      <c r="H267" t="s">
        <v>28</v>
      </c>
      <c r="I267" t="s">
        <v>29</v>
      </c>
      <c r="J267">
        <v>10917</v>
      </c>
      <c r="K267" s="328">
        <v>46099</v>
      </c>
      <c r="L267">
        <v>1010100</v>
      </c>
      <c r="M267" t="s">
        <v>35</v>
      </c>
      <c r="N267">
        <v>-55</v>
      </c>
      <c r="O267" s="32">
        <v>0</v>
      </c>
      <c r="P267" s="32">
        <v>0</v>
      </c>
      <c r="Q267" s="32">
        <v>137256</v>
      </c>
      <c r="R267" s="32">
        <v>0</v>
      </c>
      <c r="S267" s="32">
        <v>0</v>
      </c>
      <c r="T267" s="32">
        <v>0</v>
      </c>
      <c r="U267" s="32">
        <v>0</v>
      </c>
      <c r="V267" s="32">
        <v>0</v>
      </c>
      <c r="W267" s="32">
        <v>0</v>
      </c>
      <c r="X267" s="32">
        <v>0</v>
      </c>
      <c r="Y267" s="32">
        <v>0</v>
      </c>
      <c r="Z267" s="32">
        <v>0</v>
      </c>
      <c r="AA267" s="32">
        <v>0</v>
      </c>
      <c r="AB267" s="32">
        <v>0</v>
      </c>
      <c r="AC267" s="32" t="s">
        <v>475</v>
      </c>
      <c r="AD267" s="32"/>
      <c r="AE267" s="32">
        <v>0</v>
      </c>
    </row>
    <row r="268" spans="1:31" x14ac:dyDescent="0.25">
      <c r="A268">
        <v>13861</v>
      </c>
      <c r="B268" t="s">
        <v>419</v>
      </c>
      <c r="C268" t="s">
        <v>852</v>
      </c>
      <c r="D268" s="35">
        <v>29700</v>
      </c>
      <c r="E268">
        <v>1246264670</v>
      </c>
      <c r="F268" s="328">
        <v>46136</v>
      </c>
      <c r="H268" t="s">
        <v>28</v>
      </c>
      <c r="I268" t="s">
        <v>29</v>
      </c>
      <c r="J268">
        <v>10750</v>
      </c>
      <c r="K268" s="328">
        <v>46076</v>
      </c>
      <c r="L268">
        <v>1010100</v>
      </c>
      <c r="M268" t="s">
        <v>35</v>
      </c>
      <c r="N268">
        <v>-24</v>
      </c>
      <c r="O268" s="32">
        <v>0</v>
      </c>
      <c r="P268" s="32">
        <v>0</v>
      </c>
      <c r="Q268" s="32">
        <v>29700</v>
      </c>
      <c r="R268" s="32">
        <v>0</v>
      </c>
      <c r="S268" s="32">
        <v>0</v>
      </c>
      <c r="T268" s="32">
        <v>0</v>
      </c>
      <c r="U268" s="32">
        <v>0</v>
      </c>
      <c r="V268" s="32">
        <v>0</v>
      </c>
      <c r="W268" s="32">
        <v>0</v>
      </c>
      <c r="X268" s="32">
        <v>0</v>
      </c>
      <c r="Y268" s="32">
        <v>0</v>
      </c>
      <c r="Z268" s="32">
        <v>0</v>
      </c>
      <c r="AA268" s="32">
        <v>0</v>
      </c>
      <c r="AB268" s="32">
        <v>0</v>
      </c>
      <c r="AC268" s="32" t="s">
        <v>475</v>
      </c>
      <c r="AD268" s="32"/>
      <c r="AE268" s="32">
        <v>0</v>
      </c>
    </row>
    <row r="269" spans="1:31" x14ac:dyDescent="0.25">
      <c r="A269">
        <v>13861</v>
      </c>
      <c r="B269" t="s">
        <v>419</v>
      </c>
      <c r="C269" t="s">
        <v>852</v>
      </c>
      <c r="D269" s="35">
        <v>51280</v>
      </c>
      <c r="E269">
        <v>1246264568</v>
      </c>
      <c r="F269" s="328">
        <v>46136</v>
      </c>
      <c r="H269" t="s">
        <v>28</v>
      </c>
      <c r="I269" t="s">
        <v>29</v>
      </c>
      <c r="J269">
        <v>2764</v>
      </c>
      <c r="K269" s="328">
        <v>46076</v>
      </c>
      <c r="L269">
        <v>1010100</v>
      </c>
      <c r="M269" t="s">
        <v>35</v>
      </c>
      <c r="N269">
        <v>-24</v>
      </c>
      <c r="O269" s="32">
        <v>0</v>
      </c>
      <c r="P269" s="32">
        <v>0</v>
      </c>
      <c r="Q269" s="32">
        <v>51280</v>
      </c>
      <c r="R269" s="32">
        <v>0</v>
      </c>
      <c r="S269" s="32">
        <v>0</v>
      </c>
      <c r="T269" s="32">
        <v>0</v>
      </c>
      <c r="U269" s="32">
        <v>0</v>
      </c>
      <c r="V269" s="32">
        <v>0</v>
      </c>
      <c r="W269" s="32">
        <v>0</v>
      </c>
      <c r="X269" s="32">
        <v>0</v>
      </c>
      <c r="Y269" s="32">
        <v>0</v>
      </c>
      <c r="Z269" s="32">
        <v>0</v>
      </c>
      <c r="AA269" s="32">
        <v>0</v>
      </c>
      <c r="AB269" s="32">
        <v>0</v>
      </c>
      <c r="AC269" s="32" t="s">
        <v>475</v>
      </c>
      <c r="AD269" s="32"/>
      <c r="AE269" s="32">
        <v>0</v>
      </c>
    </row>
    <row r="270" spans="1:31" x14ac:dyDescent="0.25">
      <c r="A270">
        <v>14166</v>
      </c>
      <c r="B270" t="s">
        <v>432</v>
      </c>
      <c r="C270" t="s">
        <v>124</v>
      </c>
      <c r="D270" s="35">
        <v>82152</v>
      </c>
      <c r="E270">
        <v>1246231876</v>
      </c>
      <c r="F270" s="328">
        <v>46144</v>
      </c>
      <c r="H270" t="s">
        <v>173</v>
      </c>
      <c r="I270" t="s">
        <v>174</v>
      </c>
      <c r="J270">
        <v>8933</v>
      </c>
      <c r="K270" s="328">
        <v>45888</v>
      </c>
      <c r="L270">
        <v>1010100</v>
      </c>
      <c r="M270" t="s">
        <v>35</v>
      </c>
      <c r="N270">
        <v>-32</v>
      </c>
      <c r="O270" s="32">
        <v>0</v>
      </c>
      <c r="P270" s="32">
        <v>0</v>
      </c>
      <c r="Q270" s="32">
        <v>82152</v>
      </c>
      <c r="R270" s="32">
        <v>0</v>
      </c>
      <c r="S270" s="32">
        <v>0</v>
      </c>
      <c r="T270" s="32">
        <v>0</v>
      </c>
      <c r="U270" s="32">
        <v>0</v>
      </c>
      <c r="V270" s="32">
        <v>0</v>
      </c>
      <c r="W270" s="32">
        <v>0</v>
      </c>
      <c r="X270" s="32">
        <v>0</v>
      </c>
      <c r="Y270" s="32">
        <v>0</v>
      </c>
      <c r="Z270" s="32">
        <v>0</v>
      </c>
      <c r="AA270" s="32">
        <v>0</v>
      </c>
      <c r="AB270" s="32">
        <v>0</v>
      </c>
      <c r="AC270" s="32" t="s">
        <v>475</v>
      </c>
      <c r="AD270" s="32"/>
      <c r="AE270" s="32">
        <v>0</v>
      </c>
    </row>
    <row r="271" spans="1:31" x14ac:dyDescent="0.25">
      <c r="A271">
        <v>14166</v>
      </c>
      <c r="B271" t="s">
        <v>432</v>
      </c>
      <c r="C271" t="s">
        <v>124</v>
      </c>
      <c r="D271" s="35">
        <v>93462.6</v>
      </c>
      <c r="E271">
        <v>1246231878</v>
      </c>
      <c r="F271" s="328">
        <v>46144</v>
      </c>
      <c r="H271" t="s">
        <v>173</v>
      </c>
      <c r="I271" t="s">
        <v>174</v>
      </c>
      <c r="J271">
        <v>8934</v>
      </c>
      <c r="K271" s="328">
        <v>45888</v>
      </c>
      <c r="L271">
        <v>1010100</v>
      </c>
      <c r="M271" t="s">
        <v>35</v>
      </c>
      <c r="N271">
        <v>-32</v>
      </c>
      <c r="O271" s="32">
        <v>0</v>
      </c>
      <c r="P271" s="32">
        <v>0</v>
      </c>
      <c r="Q271" s="32">
        <v>93462.6</v>
      </c>
      <c r="R271" s="32">
        <v>0</v>
      </c>
      <c r="S271" s="32">
        <v>0</v>
      </c>
      <c r="T271" s="32">
        <v>0</v>
      </c>
      <c r="U271" s="32">
        <v>0</v>
      </c>
      <c r="V271" s="32">
        <v>0</v>
      </c>
      <c r="W271" s="32">
        <v>0</v>
      </c>
      <c r="X271" s="32">
        <v>0</v>
      </c>
      <c r="Y271" s="32">
        <v>0</v>
      </c>
      <c r="Z271" s="32">
        <v>0</v>
      </c>
      <c r="AA271" s="32">
        <v>0</v>
      </c>
      <c r="AB271" s="32">
        <v>0</v>
      </c>
      <c r="AC271" s="32" t="s">
        <v>475</v>
      </c>
      <c r="AD271" s="32"/>
      <c r="AE271" s="32">
        <v>0</v>
      </c>
    </row>
    <row r="272" spans="1:31" x14ac:dyDescent="0.25">
      <c r="A272">
        <v>14166</v>
      </c>
      <c r="B272" t="s">
        <v>432</v>
      </c>
      <c r="C272" t="s">
        <v>124</v>
      </c>
      <c r="D272" s="35">
        <v>188705.92000000001</v>
      </c>
      <c r="E272">
        <v>1246224769</v>
      </c>
      <c r="F272" s="328">
        <v>46132</v>
      </c>
      <c r="H272" t="s">
        <v>173</v>
      </c>
      <c r="I272" t="s">
        <v>174</v>
      </c>
      <c r="J272">
        <v>8477</v>
      </c>
      <c r="K272" s="328">
        <v>45852</v>
      </c>
      <c r="L272">
        <v>1010100</v>
      </c>
      <c r="M272" t="s">
        <v>35</v>
      </c>
      <c r="N272">
        <v>-20</v>
      </c>
      <c r="O272" s="32">
        <v>0</v>
      </c>
      <c r="P272" s="32">
        <v>0</v>
      </c>
      <c r="Q272" s="32">
        <v>188705.92000000001</v>
      </c>
      <c r="R272" s="32">
        <v>0</v>
      </c>
      <c r="S272" s="32">
        <v>0</v>
      </c>
      <c r="T272" s="32">
        <v>0</v>
      </c>
      <c r="U272" s="32">
        <v>0</v>
      </c>
      <c r="V272" s="32">
        <v>0</v>
      </c>
      <c r="W272" s="32">
        <v>0</v>
      </c>
      <c r="X272" s="32">
        <v>0</v>
      </c>
      <c r="Y272" s="32">
        <v>0</v>
      </c>
      <c r="Z272" s="32">
        <v>0</v>
      </c>
      <c r="AA272" s="32">
        <v>0</v>
      </c>
      <c r="AB272" s="32">
        <v>0</v>
      </c>
      <c r="AC272" s="32" t="s">
        <v>475</v>
      </c>
      <c r="AD272" s="32"/>
      <c r="AE272" s="32">
        <v>0</v>
      </c>
    </row>
    <row r="273" spans="1:31" x14ac:dyDescent="0.25">
      <c r="A273">
        <v>14166</v>
      </c>
      <c r="B273" t="s">
        <v>432</v>
      </c>
      <c r="C273" t="s">
        <v>124</v>
      </c>
      <c r="D273" s="35">
        <v>83930.4</v>
      </c>
      <c r="E273">
        <v>1246227452</v>
      </c>
      <c r="F273" s="328">
        <v>46131</v>
      </c>
      <c r="H273" t="s">
        <v>173</v>
      </c>
      <c r="I273" t="s">
        <v>174</v>
      </c>
      <c r="J273">
        <v>8647</v>
      </c>
      <c r="K273" s="328">
        <v>45866</v>
      </c>
      <c r="L273">
        <v>1010100</v>
      </c>
      <c r="M273" t="s">
        <v>35</v>
      </c>
      <c r="N273">
        <v>-19</v>
      </c>
      <c r="O273" s="32">
        <v>0</v>
      </c>
      <c r="P273" s="32">
        <v>0</v>
      </c>
      <c r="Q273" s="32">
        <v>83930.4</v>
      </c>
      <c r="R273" s="32">
        <v>0</v>
      </c>
      <c r="S273" s="32">
        <v>0</v>
      </c>
      <c r="T273" s="32">
        <v>0</v>
      </c>
      <c r="U273" s="32">
        <v>0</v>
      </c>
      <c r="V273" s="32">
        <v>0</v>
      </c>
      <c r="W273" s="32">
        <v>0</v>
      </c>
      <c r="X273" s="32">
        <v>0</v>
      </c>
      <c r="Y273" s="32">
        <v>0</v>
      </c>
      <c r="Z273" s="32">
        <v>0</v>
      </c>
      <c r="AA273" s="32">
        <v>0</v>
      </c>
      <c r="AB273" s="32">
        <v>0</v>
      </c>
      <c r="AC273" s="32" t="s">
        <v>475</v>
      </c>
      <c r="AD273" s="32"/>
      <c r="AE273" s="32">
        <v>0</v>
      </c>
    </row>
    <row r="274" spans="1:31" x14ac:dyDescent="0.25">
      <c r="A274">
        <v>14166</v>
      </c>
      <c r="B274" t="s">
        <v>432</v>
      </c>
      <c r="C274" t="s">
        <v>124</v>
      </c>
      <c r="D274" s="35">
        <v>191491.28</v>
      </c>
      <c r="E274">
        <v>1246221981</v>
      </c>
      <c r="F274" s="328">
        <v>46140</v>
      </c>
      <c r="H274" t="s">
        <v>173</v>
      </c>
      <c r="I274" t="s">
        <v>174</v>
      </c>
      <c r="J274">
        <v>8305</v>
      </c>
      <c r="K274" s="328">
        <v>45838</v>
      </c>
      <c r="L274">
        <v>1010100</v>
      </c>
      <c r="M274" t="s">
        <v>35</v>
      </c>
      <c r="N274">
        <v>-28</v>
      </c>
      <c r="O274" s="32">
        <v>0</v>
      </c>
      <c r="P274" s="32">
        <v>0</v>
      </c>
      <c r="Q274" s="32">
        <v>191491.28</v>
      </c>
      <c r="R274" s="32">
        <v>0</v>
      </c>
      <c r="S274" s="32">
        <v>0</v>
      </c>
      <c r="T274" s="32">
        <v>0</v>
      </c>
      <c r="U274" s="32">
        <v>0</v>
      </c>
      <c r="V274" s="32">
        <v>0</v>
      </c>
      <c r="W274" s="32">
        <v>0</v>
      </c>
      <c r="X274" s="32">
        <v>0</v>
      </c>
      <c r="Y274" s="32">
        <v>0</v>
      </c>
      <c r="Z274" s="32">
        <v>0</v>
      </c>
      <c r="AA274" s="32">
        <v>0</v>
      </c>
      <c r="AB274" s="32">
        <v>0</v>
      </c>
      <c r="AC274" s="32" t="s">
        <v>475</v>
      </c>
      <c r="AD274" s="32"/>
      <c r="AE274" s="32">
        <v>0</v>
      </c>
    </row>
    <row r="275" spans="1:31" x14ac:dyDescent="0.25">
      <c r="A275">
        <v>14849</v>
      </c>
      <c r="B275" t="s">
        <v>433</v>
      </c>
      <c r="C275" t="s">
        <v>619</v>
      </c>
      <c r="D275" s="35">
        <v>133718</v>
      </c>
      <c r="E275">
        <v>1246222953</v>
      </c>
      <c r="F275" s="328">
        <v>46143</v>
      </c>
      <c r="H275" t="s">
        <v>173</v>
      </c>
      <c r="I275" t="s">
        <v>174</v>
      </c>
      <c r="J275">
        <v>8360</v>
      </c>
      <c r="K275" s="328">
        <v>45841</v>
      </c>
      <c r="L275">
        <v>1010100</v>
      </c>
      <c r="M275" t="s">
        <v>35</v>
      </c>
      <c r="N275">
        <v>-31</v>
      </c>
      <c r="O275" s="32">
        <v>0</v>
      </c>
      <c r="P275" s="32">
        <v>0</v>
      </c>
      <c r="Q275" s="32">
        <v>133718</v>
      </c>
      <c r="R275" s="32">
        <v>0</v>
      </c>
      <c r="S275" s="32">
        <v>0</v>
      </c>
      <c r="T275" s="32">
        <v>0</v>
      </c>
      <c r="U275" s="32">
        <v>0</v>
      </c>
      <c r="V275" s="32">
        <v>0</v>
      </c>
      <c r="W275" s="32">
        <v>0</v>
      </c>
      <c r="X275" s="32">
        <v>0</v>
      </c>
      <c r="Y275" s="32">
        <v>0</v>
      </c>
      <c r="Z275" s="32">
        <v>0</v>
      </c>
      <c r="AA275" s="32">
        <v>0</v>
      </c>
      <c r="AB275" s="32">
        <v>0</v>
      </c>
      <c r="AC275" s="32" t="s">
        <v>475</v>
      </c>
      <c r="AD275" s="32"/>
      <c r="AE275" s="32">
        <v>0</v>
      </c>
    </row>
    <row r="276" spans="1:31" x14ac:dyDescent="0.25">
      <c r="A276">
        <v>15908</v>
      </c>
      <c r="B276" t="s">
        <v>83</v>
      </c>
      <c r="C276" t="s">
        <v>900</v>
      </c>
      <c r="D276" s="35">
        <v>152185.74</v>
      </c>
      <c r="E276">
        <v>1246268845</v>
      </c>
      <c r="F276" s="328">
        <v>46195</v>
      </c>
      <c r="H276" t="s">
        <v>173</v>
      </c>
      <c r="I276" t="s">
        <v>174</v>
      </c>
      <c r="J276">
        <v>10968</v>
      </c>
      <c r="K276" s="328">
        <v>46105</v>
      </c>
      <c r="L276">
        <v>1010100</v>
      </c>
      <c r="M276" t="s">
        <v>35</v>
      </c>
      <c r="N276">
        <v>-83</v>
      </c>
      <c r="O276" s="32">
        <v>0</v>
      </c>
      <c r="P276" s="32">
        <v>0</v>
      </c>
      <c r="Q276" s="32">
        <v>152185.74</v>
      </c>
      <c r="R276" s="32">
        <v>0</v>
      </c>
      <c r="S276" s="32">
        <v>0</v>
      </c>
      <c r="T276" s="32">
        <v>0</v>
      </c>
      <c r="U276" s="32">
        <v>0</v>
      </c>
      <c r="V276" s="32">
        <v>0</v>
      </c>
      <c r="W276" s="32">
        <v>0</v>
      </c>
      <c r="X276" s="32">
        <v>0</v>
      </c>
      <c r="Y276" s="32">
        <v>0</v>
      </c>
      <c r="Z276" s="32">
        <v>0</v>
      </c>
      <c r="AA276" s="32">
        <v>0</v>
      </c>
      <c r="AB276" s="32">
        <v>0</v>
      </c>
      <c r="AC276" s="32" t="s">
        <v>475</v>
      </c>
      <c r="AD276" s="32"/>
      <c r="AE276" s="32">
        <v>0</v>
      </c>
    </row>
    <row r="277" spans="1:31" x14ac:dyDescent="0.25">
      <c r="A277">
        <v>15908</v>
      </c>
      <c r="B277" t="s">
        <v>83</v>
      </c>
      <c r="C277" t="s">
        <v>900</v>
      </c>
      <c r="D277" s="35">
        <v>38698.71</v>
      </c>
      <c r="E277">
        <v>1246268455</v>
      </c>
      <c r="F277" s="328">
        <v>46190</v>
      </c>
      <c r="H277" t="s">
        <v>173</v>
      </c>
      <c r="I277" t="s">
        <v>174</v>
      </c>
      <c r="J277">
        <v>10935</v>
      </c>
      <c r="K277" s="328">
        <v>46100</v>
      </c>
      <c r="L277">
        <v>1010100</v>
      </c>
      <c r="M277" t="s">
        <v>35</v>
      </c>
      <c r="N277">
        <v>-78</v>
      </c>
      <c r="O277" s="32">
        <v>0</v>
      </c>
      <c r="P277" s="32">
        <v>0</v>
      </c>
      <c r="Q277" s="32">
        <v>38698.71</v>
      </c>
      <c r="R277" s="32">
        <v>0</v>
      </c>
      <c r="S277" s="32">
        <v>0</v>
      </c>
      <c r="T277" s="32">
        <v>0</v>
      </c>
      <c r="U277" s="32">
        <v>0</v>
      </c>
      <c r="V277" s="32">
        <v>0</v>
      </c>
      <c r="W277" s="32">
        <v>0</v>
      </c>
      <c r="X277" s="32">
        <v>0</v>
      </c>
      <c r="Y277" s="32">
        <v>0</v>
      </c>
      <c r="Z277" s="32">
        <v>0</v>
      </c>
      <c r="AA277" s="32">
        <v>0</v>
      </c>
      <c r="AB277" s="32">
        <v>0</v>
      </c>
      <c r="AC277" s="32" t="s">
        <v>475</v>
      </c>
      <c r="AD277" s="32"/>
      <c r="AE277" s="32">
        <v>0</v>
      </c>
    </row>
    <row r="278" spans="1:31" x14ac:dyDescent="0.25">
      <c r="A278">
        <v>15905</v>
      </c>
      <c r="B278" t="s">
        <v>83</v>
      </c>
      <c r="C278" t="s">
        <v>902</v>
      </c>
      <c r="D278" s="35">
        <v>51551.06</v>
      </c>
      <c r="E278">
        <v>1246268473</v>
      </c>
      <c r="F278" s="328">
        <v>46190</v>
      </c>
      <c r="H278" t="s">
        <v>173</v>
      </c>
      <c r="I278" t="s">
        <v>174</v>
      </c>
      <c r="J278">
        <v>10938</v>
      </c>
      <c r="K278" s="328">
        <v>46100</v>
      </c>
      <c r="L278">
        <v>1010100</v>
      </c>
      <c r="M278" t="s">
        <v>35</v>
      </c>
      <c r="N278">
        <v>-78</v>
      </c>
      <c r="O278" s="32">
        <v>0</v>
      </c>
      <c r="P278" s="32">
        <v>0</v>
      </c>
      <c r="Q278" s="32">
        <v>51551.06</v>
      </c>
      <c r="R278" s="32">
        <v>0</v>
      </c>
      <c r="S278" s="32">
        <v>0</v>
      </c>
      <c r="T278" s="32">
        <v>0</v>
      </c>
      <c r="U278" s="32">
        <v>0</v>
      </c>
      <c r="V278" s="32">
        <v>0</v>
      </c>
      <c r="W278" s="32">
        <v>0</v>
      </c>
      <c r="X278" s="32">
        <v>0</v>
      </c>
      <c r="Y278" s="32">
        <v>0</v>
      </c>
      <c r="Z278" s="32">
        <v>0</v>
      </c>
      <c r="AA278" s="32">
        <v>0</v>
      </c>
      <c r="AB278" s="32">
        <v>0</v>
      </c>
      <c r="AC278" s="32" t="s">
        <v>475</v>
      </c>
      <c r="AD278" s="32"/>
      <c r="AE278" s="32">
        <v>0</v>
      </c>
    </row>
    <row r="279" spans="1:31" x14ac:dyDescent="0.25">
      <c r="A279">
        <v>15905</v>
      </c>
      <c r="B279" t="s">
        <v>83</v>
      </c>
      <c r="C279" t="s">
        <v>902</v>
      </c>
      <c r="D279" s="35">
        <v>177522.26</v>
      </c>
      <c r="E279">
        <v>1246268967</v>
      </c>
      <c r="F279" s="328">
        <v>46196</v>
      </c>
      <c r="H279" t="s">
        <v>173</v>
      </c>
      <c r="I279" t="s">
        <v>174</v>
      </c>
      <c r="J279">
        <v>10973</v>
      </c>
      <c r="K279" s="328">
        <v>46106</v>
      </c>
      <c r="L279">
        <v>1010100</v>
      </c>
      <c r="M279" t="s">
        <v>35</v>
      </c>
      <c r="N279">
        <v>-84</v>
      </c>
      <c r="O279" s="32">
        <v>0</v>
      </c>
      <c r="P279" s="32">
        <v>0</v>
      </c>
      <c r="Q279" s="32">
        <v>177522.26</v>
      </c>
      <c r="R279" s="32">
        <v>0</v>
      </c>
      <c r="S279" s="32">
        <v>0</v>
      </c>
      <c r="T279" s="32">
        <v>0</v>
      </c>
      <c r="U279" s="32">
        <v>0</v>
      </c>
      <c r="V279" s="32">
        <v>0</v>
      </c>
      <c r="W279" s="32">
        <v>0</v>
      </c>
      <c r="X279" s="32">
        <v>0</v>
      </c>
      <c r="Y279" s="32">
        <v>0</v>
      </c>
      <c r="Z279" s="32">
        <v>0</v>
      </c>
      <c r="AA279" s="32">
        <v>0</v>
      </c>
      <c r="AB279" s="32">
        <v>0</v>
      </c>
      <c r="AC279" s="32" t="s">
        <v>475</v>
      </c>
      <c r="AD279" s="32"/>
      <c r="AE279" s="32">
        <v>0</v>
      </c>
    </row>
    <row r="280" spans="1:31" x14ac:dyDescent="0.25">
      <c r="A280">
        <v>16387</v>
      </c>
      <c r="B280" t="s">
        <v>426</v>
      </c>
      <c r="C280" t="s">
        <v>747</v>
      </c>
      <c r="D280" s="35">
        <v>5030.5</v>
      </c>
      <c r="E280">
        <v>1246250305</v>
      </c>
      <c r="F280" s="328">
        <v>46254</v>
      </c>
      <c r="H280" t="s">
        <v>173</v>
      </c>
      <c r="I280" t="s">
        <v>174</v>
      </c>
      <c r="J280">
        <v>10088</v>
      </c>
      <c r="K280" s="328">
        <v>45982</v>
      </c>
      <c r="L280">
        <v>1010100</v>
      </c>
      <c r="M280" t="s">
        <v>35</v>
      </c>
      <c r="N280">
        <v>-142</v>
      </c>
      <c r="O280" s="32">
        <v>0</v>
      </c>
      <c r="P280" s="32">
        <v>0</v>
      </c>
      <c r="Q280" s="32">
        <v>5030.5</v>
      </c>
      <c r="R280" s="32">
        <v>0</v>
      </c>
      <c r="S280" s="32">
        <v>0</v>
      </c>
      <c r="T280" s="32">
        <v>0</v>
      </c>
      <c r="U280" s="32">
        <v>0</v>
      </c>
      <c r="V280" s="32">
        <v>0</v>
      </c>
      <c r="W280" s="32">
        <v>0</v>
      </c>
      <c r="X280" s="32">
        <v>0</v>
      </c>
      <c r="Y280" s="32">
        <v>0</v>
      </c>
      <c r="Z280" s="32">
        <v>0</v>
      </c>
      <c r="AA280" s="32">
        <v>0</v>
      </c>
      <c r="AB280" s="32">
        <v>0</v>
      </c>
      <c r="AC280" s="32" t="s">
        <v>475</v>
      </c>
      <c r="AD280" s="32"/>
      <c r="AE280" s="32">
        <v>0</v>
      </c>
    </row>
    <row r="281" spans="1:31" x14ac:dyDescent="0.25">
      <c r="A281">
        <v>15906</v>
      </c>
      <c r="B281" t="s">
        <v>83</v>
      </c>
      <c r="C281" t="s">
        <v>904</v>
      </c>
      <c r="D281" s="35">
        <v>51551.06</v>
      </c>
      <c r="E281">
        <v>1246268468</v>
      </c>
      <c r="F281" s="328">
        <v>46190</v>
      </c>
      <c r="H281" t="s">
        <v>173</v>
      </c>
      <c r="I281" t="s">
        <v>174</v>
      </c>
      <c r="J281">
        <v>10937</v>
      </c>
      <c r="K281" s="328">
        <v>46100</v>
      </c>
      <c r="L281">
        <v>1010100</v>
      </c>
      <c r="M281" t="s">
        <v>35</v>
      </c>
      <c r="N281">
        <v>-78</v>
      </c>
      <c r="O281" s="32">
        <v>0</v>
      </c>
      <c r="P281" s="32">
        <v>0</v>
      </c>
      <c r="Q281" s="32">
        <v>51551.06</v>
      </c>
      <c r="R281" s="32">
        <v>0</v>
      </c>
      <c r="S281" s="32">
        <v>0</v>
      </c>
      <c r="T281" s="32">
        <v>0</v>
      </c>
      <c r="U281" s="32">
        <v>0</v>
      </c>
      <c r="V281" s="32">
        <v>0</v>
      </c>
      <c r="W281" s="32">
        <v>0</v>
      </c>
      <c r="X281" s="32">
        <v>0</v>
      </c>
      <c r="Y281" s="32">
        <v>0</v>
      </c>
      <c r="Z281" s="32">
        <v>0</v>
      </c>
      <c r="AA281" s="32">
        <v>0</v>
      </c>
      <c r="AB281" s="32">
        <v>0</v>
      </c>
      <c r="AC281" s="32" t="s">
        <v>475</v>
      </c>
      <c r="AD281" s="32"/>
      <c r="AE281" s="32">
        <v>0</v>
      </c>
    </row>
    <row r="282" spans="1:31" x14ac:dyDescent="0.25">
      <c r="A282">
        <v>16099</v>
      </c>
      <c r="B282" t="s">
        <v>500</v>
      </c>
      <c r="C282" t="s">
        <v>858</v>
      </c>
      <c r="D282" s="35">
        <v>429480</v>
      </c>
      <c r="E282">
        <v>1246264672</v>
      </c>
      <c r="F282" s="328">
        <v>46166</v>
      </c>
      <c r="H282" t="s">
        <v>28</v>
      </c>
      <c r="I282" t="s">
        <v>29</v>
      </c>
      <c r="J282">
        <v>2767</v>
      </c>
      <c r="K282" s="328">
        <v>46076</v>
      </c>
      <c r="L282">
        <v>1010100</v>
      </c>
      <c r="M282" t="s">
        <v>35</v>
      </c>
      <c r="N282">
        <v>-54</v>
      </c>
      <c r="O282" s="32">
        <v>0</v>
      </c>
      <c r="P282" s="32">
        <v>0</v>
      </c>
      <c r="Q282" s="32">
        <v>429480</v>
      </c>
      <c r="R282" s="32">
        <v>0</v>
      </c>
      <c r="S282" s="32">
        <v>0</v>
      </c>
      <c r="T282" s="32">
        <v>0</v>
      </c>
      <c r="U282" s="32">
        <v>0</v>
      </c>
      <c r="V282" s="32">
        <v>0</v>
      </c>
      <c r="W282" s="32">
        <v>0</v>
      </c>
      <c r="X282" s="32">
        <v>0</v>
      </c>
      <c r="Y282" s="32">
        <v>0</v>
      </c>
      <c r="Z282" s="32">
        <v>0</v>
      </c>
      <c r="AA282" s="32">
        <v>0</v>
      </c>
      <c r="AB282" s="32">
        <v>0</v>
      </c>
      <c r="AC282" s="32" t="s">
        <v>540</v>
      </c>
      <c r="AD282" s="32"/>
      <c r="AE282" s="32">
        <v>0</v>
      </c>
    </row>
    <row r="283" spans="1:31" x14ac:dyDescent="0.25">
      <c r="A283">
        <v>15904</v>
      </c>
      <c r="B283" t="s">
        <v>83</v>
      </c>
      <c r="C283" t="s">
        <v>906</v>
      </c>
      <c r="D283" s="35">
        <v>38698.71</v>
      </c>
      <c r="E283">
        <v>1246268475</v>
      </c>
      <c r="F283" s="328">
        <v>46190</v>
      </c>
      <c r="H283" t="s">
        <v>173</v>
      </c>
      <c r="I283" t="s">
        <v>174</v>
      </c>
      <c r="J283">
        <v>10939</v>
      </c>
      <c r="K283" s="328">
        <v>46100</v>
      </c>
      <c r="L283">
        <v>1010100</v>
      </c>
      <c r="M283" t="s">
        <v>35</v>
      </c>
      <c r="N283">
        <v>-78</v>
      </c>
      <c r="O283" s="32">
        <v>0</v>
      </c>
      <c r="P283" s="32">
        <v>0</v>
      </c>
      <c r="Q283" s="32">
        <v>38698.71</v>
      </c>
      <c r="R283" s="32">
        <v>0</v>
      </c>
      <c r="S283" s="32">
        <v>0</v>
      </c>
      <c r="T283" s="32">
        <v>0</v>
      </c>
      <c r="U283" s="32">
        <v>0</v>
      </c>
      <c r="V283" s="32">
        <v>0</v>
      </c>
      <c r="W283" s="32">
        <v>0</v>
      </c>
      <c r="X283" s="32">
        <v>0</v>
      </c>
      <c r="Y283" s="32">
        <v>0</v>
      </c>
      <c r="Z283" s="32">
        <v>0</v>
      </c>
      <c r="AA283" s="32">
        <v>0</v>
      </c>
      <c r="AB283" s="32">
        <v>0</v>
      </c>
      <c r="AC283" s="32" t="s">
        <v>475</v>
      </c>
      <c r="AD283" s="32"/>
      <c r="AE283" s="32">
        <v>0</v>
      </c>
    </row>
    <row r="284" spans="1:31" x14ac:dyDescent="0.25">
      <c r="A284">
        <v>15904</v>
      </c>
      <c r="B284" t="s">
        <v>83</v>
      </c>
      <c r="C284" t="s">
        <v>906</v>
      </c>
      <c r="D284" s="35">
        <v>152158.14000000001</v>
      </c>
      <c r="E284">
        <v>1246269114</v>
      </c>
      <c r="F284" s="328">
        <v>46196</v>
      </c>
      <c r="G284" s="329"/>
      <c r="H284" t="s">
        <v>173</v>
      </c>
      <c r="I284" t="s">
        <v>174</v>
      </c>
      <c r="J284">
        <v>10978</v>
      </c>
      <c r="K284" s="328">
        <v>46106</v>
      </c>
      <c r="L284">
        <v>1010100</v>
      </c>
      <c r="M284" t="s">
        <v>35</v>
      </c>
      <c r="N284">
        <v>-84</v>
      </c>
      <c r="O284" s="32">
        <v>0</v>
      </c>
      <c r="P284" s="32">
        <v>0</v>
      </c>
      <c r="Q284" s="32">
        <v>152158.14000000001</v>
      </c>
      <c r="R284" s="32">
        <v>0</v>
      </c>
      <c r="S284" s="32">
        <v>0</v>
      </c>
      <c r="T284" s="32">
        <v>0</v>
      </c>
      <c r="U284" s="32">
        <v>0</v>
      </c>
      <c r="V284" s="32">
        <v>0</v>
      </c>
      <c r="W284" s="32">
        <v>0</v>
      </c>
      <c r="X284" s="32">
        <v>0</v>
      </c>
      <c r="Y284" s="32">
        <v>0</v>
      </c>
      <c r="Z284" s="32">
        <v>0</v>
      </c>
      <c r="AA284" s="32">
        <v>0</v>
      </c>
      <c r="AB284" s="32">
        <v>0</v>
      </c>
      <c r="AC284" s="32" t="s">
        <v>475</v>
      </c>
      <c r="AD284" s="32"/>
      <c r="AE284" s="32">
        <v>0</v>
      </c>
    </row>
    <row r="285" spans="1:31" x14ac:dyDescent="0.25">
      <c r="A285">
        <v>7022</v>
      </c>
      <c r="B285" t="s">
        <v>793</v>
      </c>
      <c r="C285" t="s">
        <v>101</v>
      </c>
      <c r="D285" s="35">
        <v>1800</v>
      </c>
      <c r="E285">
        <v>1246054442</v>
      </c>
      <c r="F285" s="328">
        <v>44897</v>
      </c>
      <c r="H285" t="s">
        <v>28</v>
      </c>
      <c r="I285" t="s">
        <v>29</v>
      </c>
      <c r="J285">
        <v>1246054442</v>
      </c>
      <c r="K285" s="328">
        <v>44882</v>
      </c>
      <c r="L285">
        <v>3041000</v>
      </c>
      <c r="M285" t="s">
        <v>138</v>
      </c>
      <c r="N285">
        <v>1215</v>
      </c>
      <c r="O285" s="32">
        <v>0</v>
      </c>
      <c r="P285" s="32">
        <v>1800</v>
      </c>
      <c r="Q285" s="32">
        <v>0</v>
      </c>
      <c r="R285" s="32">
        <v>0</v>
      </c>
      <c r="S285" s="32">
        <v>0</v>
      </c>
      <c r="T285" s="32">
        <v>0</v>
      </c>
      <c r="U285" s="32">
        <v>1800</v>
      </c>
      <c r="V285" s="32">
        <v>0</v>
      </c>
      <c r="W285" s="32">
        <v>54</v>
      </c>
      <c r="X285" s="32">
        <v>1746</v>
      </c>
      <c r="Y285" s="32">
        <v>1746</v>
      </c>
      <c r="Z285" s="32">
        <v>1800</v>
      </c>
      <c r="AA285" s="32">
        <v>0</v>
      </c>
      <c r="AB285" s="32">
        <v>1800</v>
      </c>
      <c r="AC285" s="32" t="s">
        <v>475</v>
      </c>
      <c r="AD285" s="32"/>
      <c r="AE285" s="32">
        <v>1800</v>
      </c>
    </row>
    <row r="286" spans="1:31" x14ac:dyDescent="0.25">
      <c r="A286">
        <v>13460</v>
      </c>
      <c r="B286" t="s">
        <v>913</v>
      </c>
      <c r="C286" t="s">
        <v>914</v>
      </c>
      <c r="D286" s="35">
        <v>341315.09000000008</v>
      </c>
      <c r="E286">
        <v>1246269887</v>
      </c>
      <c r="F286" s="328">
        <v>46112</v>
      </c>
      <c r="I286" t="s">
        <v>373</v>
      </c>
      <c r="J286">
        <v>31032026</v>
      </c>
      <c r="K286" s="328">
        <v>46112</v>
      </c>
      <c r="L286">
        <v>1020107</v>
      </c>
      <c r="M286" t="s">
        <v>915</v>
      </c>
      <c r="N286">
        <v>0</v>
      </c>
      <c r="O286" s="32">
        <v>0</v>
      </c>
      <c r="P286" s="32">
        <v>0</v>
      </c>
      <c r="Q286" s="32">
        <v>341315.09000000008</v>
      </c>
      <c r="R286" s="32">
        <v>0</v>
      </c>
      <c r="S286" s="32">
        <v>0</v>
      </c>
      <c r="T286" s="32">
        <v>0</v>
      </c>
      <c r="U286" s="32">
        <v>0</v>
      </c>
      <c r="V286" s="32">
        <v>0</v>
      </c>
      <c r="W286" s="32">
        <v>0</v>
      </c>
      <c r="X286" s="32">
        <v>0</v>
      </c>
      <c r="Y286" s="32">
        <v>0</v>
      </c>
      <c r="Z286" s="32">
        <v>0</v>
      </c>
      <c r="AA286" s="32">
        <v>0</v>
      </c>
      <c r="AB286" s="32">
        <v>0</v>
      </c>
      <c r="AC286" s="32" t="s">
        <v>475</v>
      </c>
      <c r="AD286" s="32"/>
      <c r="AE286" s="32">
        <v>0</v>
      </c>
    </row>
    <row r="287" spans="1:31" x14ac:dyDescent="0.25">
      <c r="A287">
        <v>16189</v>
      </c>
      <c r="B287" t="s">
        <v>842</v>
      </c>
      <c r="C287" t="s">
        <v>843</v>
      </c>
      <c r="D287" s="35">
        <v>49440</v>
      </c>
      <c r="E287">
        <v>1246261824</v>
      </c>
      <c r="F287" s="328">
        <v>46087</v>
      </c>
      <c r="I287" t="s">
        <v>373</v>
      </c>
      <c r="J287">
        <v>1246261824</v>
      </c>
      <c r="K287" s="328">
        <v>46055</v>
      </c>
      <c r="L287">
        <v>7240000</v>
      </c>
      <c r="M287" t="s">
        <v>844</v>
      </c>
      <c r="N287">
        <v>25</v>
      </c>
      <c r="O287" s="32">
        <v>0</v>
      </c>
      <c r="P287" s="32">
        <v>0</v>
      </c>
      <c r="Q287" s="32">
        <v>0</v>
      </c>
      <c r="R287" s="32">
        <v>49440</v>
      </c>
      <c r="S287" s="32">
        <v>0</v>
      </c>
      <c r="T287" s="32">
        <v>0</v>
      </c>
      <c r="U287" s="32">
        <v>0</v>
      </c>
      <c r="V287" s="32">
        <v>0</v>
      </c>
      <c r="W287" s="32">
        <v>0</v>
      </c>
      <c r="X287" s="32">
        <v>0</v>
      </c>
      <c r="Y287" s="32">
        <v>0</v>
      </c>
      <c r="Z287" s="32">
        <v>0</v>
      </c>
      <c r="AA287" s="32">
        <v>0</v>
      </c>
      <c r="AB287" s="32">
        <v>0</v>
      </c>
      <c r="AC287" s="32" t="s">
        <v>475</v>
      </c>
      <c r="AD287" s="32"/>
      <c r="AE287" s="32">
        <v>0</v>
      </c>
    </row>
    <row r="288" spans="1:31" x14ac:dyDescent="0.25">
      <c r="A288">
        <v>4222</v>
      </c>
      <c r="B288" t="s">
        <v>907</v>
      </c>
      <c r="C288" t="s">
        <v>31</v>
      </c>
      <c r="D288" s="35">
        <v>58715.6</v>
      </c>
      <c r="E288">
        <v>1246268732</v>
      </c>
      <c r="F288" s="328">
        <v>46122</v>
      </c>
      <c r="I288" t="s">
        <v>373</v>
      </c>
      <c r="J288">
        <v>2836</v>
      </c>
      <c r="K288" s="328">
        <v>46105</v>
      </c>
      <c r="L288">
        <v>1010200</v>
      </c>
      <c r="M288" t="s">
        <v>125</v>
      </c>
      <c r="N288">
        <v>-10</v>
      </c>
      <c r="O288" s="32">
        <v>0</v>
      </c>
      <c r="P288" s="32">
        <v>0</v>
      </c>
      <c r="Q288" s="32">
        <v>58715.6</v>
      </c>
      <c r="R288" s="32">
        <v>0</v>
      </c>
      <c r="S288" s="32">
        <v>0</v>
      </c>
      <c r="T288" s="32">
        <v>0</v>
      </c>
      <c r="U288" s="32">
        <v>0</v>
      </c>
      <c r="V288" s="32">
        <v>0</v>
      </c>
      <c r="W288" s="32">
        <v>0</v>
      </c>
      <c r="X288" s="32">
        <v>0</v>
      </c>
      <c r="Y288" s="32">
        <v>0</v>
      </c>
      <c r="Z288" s="32">
        <v>0</v>
      </c>
      <c r="AA288" s="32">
        <v>0</v>
      </c>
      <c r="AB288" s="32">
        <v>0</v>
      </c>
      <c r="AC288" s="32" t="s">
        <v>475</v>
      </c>
      <c r="AD288" s="32"/>
      <c r="AE288" s="32">
        <v>0</v>
      </c>
    </row>
    <row r="289" spans="1:31" x14ac:dyDescent="0.25">
      <c r="A289">
        <v>2680</v>
      </c>
      <c r="B289" t="s">
        <v>355</v>
      </c>
      <c r="C289" t="s">
        <v>31</v>
      </c>
      <c r="D289" s="35">
        <v>224812.61</v>
      </c>
      <c r="E289">
        <v>1246263810</v>
      </c>
      <c r="F289" s="328">
        <v>46129</v>
      </c>
      <c r="H289" t="s">
        <v>28</v>
      </c>
      <c r="I289" t="s">
        <v>29</v>
      </c>
      <c r="J289">
        <v>2743</v>
      </c>
      <c r="K289" s="328">
        <v>46069</v>
      </c>
      <c r="L289">
        <v>1010200</v>
      </c>
      <c r="M289" t="s">
        <v>125</v>
      </c>
      <c r="N289">
        <v>-17</v>
      </c>
      <c r="O289" s="32">
        <v>0</v>
      </c>
      <c r="P289" s="32">
        <v>0</v>
      </c>
      <c r="Q289" s="32">
        <v>224812.61</v>
      </c>
      <c r="R289" s="32">
        <v>0</v>
      </c>
      <c r="S289" s="32">
        <v>0</v>
      </c>
      <c r="T289" s="32">
        <v>0</v>
      </c>
      <c r="U289" s="32">
        <v>0</v>
      </c>
      <c r="V289" s="32">
        <v>0</v>
      </c>
      <c r="W289" s="32">
        <v>0</v>
      </c>
      <c r="X289" s="32">
        <v>0</v>
      </c>
      <c r="Y289" s="32">
        <v>0</v>
      </c>
      <c r="Z289" s="32">
        <v>0</v>
      </c>
      <c r="AA289" s="32">
        <v>0</v>
      </c>
      <c r="AB289" s="32">
        <v>0</v>
      </c>
      <c r="AC289" s="32" t="s">
        <v>475</v>
      </c>
      <c r="AD289" s="32"/>
      <c r="AE289" s="32">
        <v>0</v>
      </c>
    </row>
    <row r="290" spans="1:31" x14ac:dyDescent="0.25">
      <c r="A290">
        <v>2696</v>
      </c>
      <c r="B290" t="s">
        <v>131</v>
      </c>
      <c r="C290" t="s">
        <v>31</v>
      </c>
      <c r="D290" s="35">
        <v>119098.19</v>
      </c>
      <c r="E290">
        <v>1246265986</v>
      </c>
      <c r="F290" s="328">
        <v>46143</v>
      </c>
      <c r="H290" t="s">
        <v>28</v>
      </c>
      <c r="I290" t="s">
        <v>29</v>
      </c>
      <c r="J290">
        <v>10797</v>
      </c>
      <c r="K290" s="328">
        <v>46083</v>
      </c>
      <c r="L290">
        <v>1010200</v>
      </c>
      <c r="M290" t="s">
        <v>125</v>
      </c>
      <c r="N290">
        <v>-31</v>
      </c>
      <c r="O290" s="32">
        <v>0</v>
      </c>
      <c r="P290" s="32">
        <v>0</v>
      </c>
      <c r="Q290" s="32">
        <v>119098.19</v>
      </c>
      <c r="R290" s="32">
        <v>0</v>
      </c>
      <c r="S290" s="32">
        <v>0</v>
      </c>
      <c r="T290" s="32">
        <v>0</v>
      </c>
      <c r="U290" s="32">
        <v>0</v>
      </c>
      <c r="V290" s="32">
        <v>0</v>
      </c>
      <c r="W290" s="32">
        <v>0</v>
      </c>
      <c r="X290" s="32">
        <v>0</v>
      </c>
      <c r="Y290" s="32">
        <v>0</v>
      </c>
      <c r="Z290" s="32">
        <v>0</v>
      </c>
      <c r="AA290" s="32">
        <v>0</v>
      </c>
      <c r="AB290" s="32">
        <v>0</v>
      </c>
      <c r="AC290" s="32" t="s">
        <v>475</v>
      </c>
      <c r="AD290" s="32"/>
      <c r="AE290" s="32">
        <v>0</v>
      </c>
    </row>
    <row r="291" spans="1:31" x14ac:dyDescent="0.25">
      <c r="A291">
        <v>2696</v>
      </c>
      <c r="B291" t="s">
        <v>131</v>
      </c>
      <c r="C291" t="s">
        <v>31</v>
      </c>
      <c r="D291" s="35">
        <v>94619.53</v>
      </c>
      <c r="E291">
        <v>1246262122</v>
      </c>
      <c r="F291" s="328">
        <v>46116</v>
      </c>
      <c r="H291" t="s">
        <v>28</v>
      </c>
      <c r="I291" t="s">
        <v>29</v>
      </c>
      <c r="J291">
        <v>10630</v>
      </c>
      <c r="K291" s="328">
        <v>46056</v>
      </c>
      <c r="L291">
        <v>1010200</v>
      </c>
      <c r="M291" t="s">
        <v>125</v>
      </c>
      <c r="N291">
        <v>-4</v>
      </c>
      <c r="O291" s="32">
        <v>0</v>
      </c>
      <c r="P291" s="32">
        <v>0</v>
      </c>
      <c r="Q291" s="32">
        <v>94619.53</v>
      </c>
      <c r="R291" s="32">
        <v>0</v>
      </c>
      <c r="S291" s="32">
        <v>0</v>
      </c>
      <c r="T291" s="32">
        <v>0</v>
      </c>
      <c r="U291" s="32">
        <v>0</v>
      </c>
      <c r="V291" s="32">
        <v>0</v>
      </c>
      <c r="W291" s="32">
        <v>0</v>
      </c>
      <c r="X291" s="32">
        <v>0</v>
      </c>
      <c r="Y291" s="32">
        <v>0</v>
      </c>
      <c r="Z291" s="32">
        <v>0</v>
      </c>
      <c r="AA291" s="32">
        <v>0</v>
      </c>
      <c r="AB291" s="32">
        <v>0</v>
      </c>
      <c r="AC291" s="32" t="s">
        <v>475</v>
      </c>
      <c r="AD291" s="32"/>
      <c r="AE291" s="32">
        <v>0</v>
      </c>
    </row>
    <row r="292" spans="1:31" x14ac:dyDescent="0.25">
      <c r="A292">
        <v>2346</v>
      </c>
      <c r="B292" t="s">
        <v>535</v>
      </c>
      <c r="C292" t="s">
        <v>812</v>
      </c>
      <c r="D292" s="35">
        <v>103419.88999999998</v>
      </c>
      <c r="E292">
        <v>1246265843</v>
      </c>
      <c r="F292" s="328">
        <v>46170</v>
      </c>
      <c r="H292" t="s">
        <v>28</v>
      </c>
      <c r="I292" t="s">
        <v>29</v>
      </c>
      <c r="J292">
        <v>2789</v>
      </c>
      <c r="K292" s="328">
        <v>46080</v>
      </c>
      <c r="L292">
        <v>1010200</v>
      </c>
      <c r="M292" t="s">
        <v>125</v>
      </c>
      <c r="N292">
        <v>-58</v>
      </c>
      <c r="O292" s="32">
        <v>0</v>
      </c>
      <c r="P292" s="32">
        <v>0</v>
      </c>
      <c r="Q292" s="32">
        <v>103419.88999999998</v>
      </c>
      <c r="R292" s="32">
        <v>0</v>
      </c>
      <c r="S292" s="32">
        <v>0</v>
      </c>
      <c r="T292" s="32">
        <v>0</v>
      </c>
      <c r="U292" s="32">
        <v>0</v>
      </c>
      <c r="V292" s="32">
        <v>0</v>
      </c>
      <c r="W292" s="32">
        <v>0</v>
      </c>
      <c r="X292" s="32">
        <v>0</v>
      </c>
      <c r="Y292" s="32">
        <v>0</v>
      </c>
      <c r="Z292" s="32">
        <v>0</v>
      </c>
      <c r="AA292" s="32">
        <v>0</v>
      </c>
      <c r="AB292" s="32">
        <v>0</v>
      </c>
      <c r="AC292" s="32" t="s">
        <v>475</v>
      </c>
      <c r="AD292" s="32"/>
      <c r="AE292" s="32">
        <v>0</v>
      </c>
    </row>
    <row r="293" spans="1:31" x14ac:dyDescent="0.25">
      <c r="A293">
        <v>2651</v>
      </c>
      <c r="B293" t="s">
        <v>128</v>
      </c>
      <c r="C293" t="s">
        <v>31</v>
      </c>
      <c r="D293" s="35">
        <v>252226.12</v>
      </c>
      <c r="E293">
        <v>1246223341</v>
      </c>
      <c r="F293" s="328">
        <v>45935</v>
      </c>
      <c r="H293" t="s">
        <v>28</v>
      </c>
      <c r="I293" t="s">
        <v>29</v>
      </c>
      <c r="J293">
        <v>8388</v>
      </c>
      <c r="K293" s="328">
        <v>45845</v>
      </c>
      <c r="L293">
        <v>1010200</v>
      </c>
      <c r="M293" t="s">
        <v>125</v>
      </c>
      <c r="N293">
        <v>177</v>
      </c>
      <c r="O293" s="32">
        <v>0</v>
      </c>
      <c r="P293" s="32">
        <v>7566.7835999999998</v>
      </c>
      <c r="Q293" s="32">
        <v>0</v>
      </c>
      <c r="R293" s="32">
        <v>0</v>
      </c>
      <c r="S293" s="32">
        <v>252226.12</v>
      </c>
      <c r="T293" s="32">
        <v>0</v>
      </c>
      <c r="U293" s="32">
        <v>0</v>
      </c>
      <c r="V293" s="32">
        <v>0</v>
      </c>
      <c r="W293" s="32">
        <v>7566.7835999999998</v>
      </c>
      <c r="X293" s="32">
        <v>0</v>
      </c>
      <c r="Y293" s="32">
        <v>0</v>
      </c>
      <c r="Z293" s="32">
        <v>0</v>
      </c>
      <c r="AA293" s="32">
        <v>0</v>
      </c>
      <c r="AB293" s="32">
        <v>7566.7835999999998</v>
      </c>
      <c r="AC293" s="32" t="s">
        <v>475</v>
      </c>
      <c r="AD293" s="32"/>
      <c r="AE293" s="32">
        <v>0</v>
      </c>
    </row>
    <row r="294" spans="1:31" x14ac:dyDescent="0.25">
      <c r="A294">
        <v>2651</v>
      </c>
      <c r="B294" t="s">
        <v>128</v>
      </c>
      <c r="C294" t="s">
        <v>31</v>
      </c>
      <c r="D294" s="35">
        <v>197281.56999999998</v>
      </c>
      <c r="E294">
        <v>1246213269</v>
      </c>
      <c r="F294" s="328">
        <v>45849</v>
      </c>
      <c r="H294" t="s">
        <v>28</v>
      </c>
      <c r="I294" t="s">
        <v>29</v>
      </c>
      <c r="J294">
        <v>1965</v>
      </c>
      <c r="K294" s="328">
        <v>45789</v>
      </c>
      <c r="L294">
        <v>1010200</v>
      </c>
      <c r="M294" t="s">
        <v>125</v>
      </c>
      <c r="N294">
        <v>263</v>
      </c>
      <c r="O294" s="32">
        <v>0</v>
      </c>
      <c r="P294" s="32">
        <v>5918.4470999999994</v>
      </c>
      <c r="Q294" s="32">
        <v>0</v>
      </c>
      <c r="R294" s="32">
        <v>0</v>
      </c>
      <c r="S294" s="32">
        <v>0</v>
      </c>
      <c r="T294" s="32">
        <v>197281.56999999998</v>
      </c>
      <c r="U294" s="32">
        <v>0</v>
      </c>
      <c r="V294" s="32">
        <v>0</v>
      </c>
      <c r="W294" s="32">
        <v>5918.4470999999994</v>
      </c>
      <c r="X294" s="32">
        <v>0</v>
      </c>
      <c r="Y294" s="32">
        <v>0</v>
      </c>
      <c r="Z294" s="32">
        <v>0</v>
      </c>
      <c r="AA294" s="32">
        <v>0</v>
      </c>
      <c r="AB294" s="32">
        <v>5918.4470999999994</v>
      </c>
      <c r="AC294" s="32" t="s">
        <v>475</v>
      </c>
      <c r="AD294" s="32"/>
      <c r="AE294" s="32">
        <v>0</v>
      </c>
    </row>
    <row r="295" spans="1:31" x14ac:dyDescent="0.25">
      <c r="A295">
        <v>2287</v>
      </c>
      <c r="B295" t="s">
        <v>126</v>
      </c>
      <c r="C295" t="s">
        <v>127</v>
      </c>
      <c r="D295" s="35">
        <v>157607.13</v>
      </c>
      <c r="E295">
        <v>1246268026</v>
      </c>
      <c r="F295" s="328">
        <v>46128</v>
      </c>
      <c r="H295" t="s">
        <v>28</v>
      </c>
      <c r="I295" t="s">
        <v>29</v>
      </c>
      <c r="J295">
        <v>10909</v>
      </c>
      <c r="K295" s="328">
        <v>46098</v>
      </c>
      <c r="L295">
        <v>1010200</v>
      </c>
      <c r="M295" t="s">
        <v>125</v>
      </c>
      <c r="N295">
        <v>-16</v>
      </c>
      <c r="O295" s="32">
        <v>0</v>
      </c>
      <c r="P295" s="32">
        <v>0</v>
      </c>
      <c r="Q295" s="32">
        <v>157607.13</v>
      </c>
      <c r="R295" s="32">
        <v>0</v>
      </c>
      <c r="S295" s="32">
        <v>0</v>
      </c>
      <c r="T295" s="32">
        <v>0</v>
      </c>
      <c r="U295" s="32">
        <v>0</v>
      </c>
      <c r="V295" s="32">
        <v>0</v>
      </c>
      <c r="W295" s="32">
        <v>0</v>
      </c>
      <c r="X295" s="32">
        <v>0</v>
      </c>
      <c r="Y295" s="32">
        <v>0</v>
      </c>
      <c r="Z295" s="32">
        <v>0</v>
      </c>
      <c r="AA295" s="32">
        <v>0</v>
      </c>
      <c r="AB295" s="32">
        <v>0</v>
      </c>
      <c r="AC295" s="32" t="s">
        <v>475</v>
      </c>
      <c r="AD295" s="32"/>
      <c r="AE295" s="32">
        <v>0</v>
      </c>
    </row>
    <row r="296" spans="1:31" x14ac:dyDescent="0.25">
      <c r="A296">
        <v>2655</v>
      </c>
      <c r="B296" t="s">
        <v>360</v>
      </c>
      <c r="C296" t="s">
        <v>31</v>
      </c>
      <c r="D296" s="35">
        <v>40017.64</v>
      </c>
      <c r="E296">
        <v>1246268741</v>
      </c>
      <c r="F296" s="328">
        <v>46165</v>
      </c>
      <c r="H296" t="s">
        <v>28</v>
      </c>
      <c r="I296" t="s">
        <v>29</v>
      </c>
      <c r="J296">
        <v>10964</v>
      </c>
      <c r="K296" s="328">
        <v>46105</v>
      </c>
      <c r="L296">
        <v>1010200</v>
      </c>
      <c r="M296" t="s">
        <v>125</v>
      </c>
      <c r="N296">
        <v>-53</v>
      </c>
      <c r="O296" s="32">
        <v>0</v>
      </c>
      <c r="P296" s="32">
        <v>0</v>
      </c>
      <c r="Q296" s="32">
        <v>40017.64</v>
      </c>
      <c r="R296" s="32">
        <v>0</v>
      </c>
      <c r="S296" s="32">
        <v>0</v>
      </c>
      <c r="T296" s="32">
        <v>0</v>
      </c>
      <c r="U296" s="32">
        <v>0</v>
      </c>
      <c r="V296" s="32">
        <v>0</v>
      </c>
      <c r="W296" s="32">
        <v>0</v>
      </c>
      <c r="X296" s="32">
        <v>0</v>
      </c>
      <c r="Y296" s="32">
        <v>0</v>
      </c>
      <c r="Z296" s="32">
        <v>0</v>
      </c>
      <c r="AA296" s="32">
        <v>0</v>
      </c>
      <c r="AB296" s="32">
        <v>0</v>
      </c>
      <c r="AC296" s="32" t="s">
        <v>475</v>
      </c>
      <c r="AD296" s="32"/>
      <c r="AE296" s="32">
        <v>0</v>
      </c>
    </row>
    <row r="297" spans="1:31" x14ac:dyDescent="0.25">
      <c r="A297">
        <v>2656</v>
      </c>
      <c r="B297" t="s">
        <v>130</v>
      </c>
      <c r="C297" t="s">
        <v>31</v>
      </c>
      <c r="D297" s="35">
        <v>145895</v>
      </c>
      <c r="E297">
        <v>1246267103</v>
      </c>
      <c r="F297" s="328">
        <v>46120</v>
      </c>
      <c r="H297" t="s">
        <v>28</v>
      </c>
      <c r="I297" t="s">
        <v>29</v>
      </c>
      <c r="J297">
        <v>10850</v>
      </c>
      <c r="K297" s="328">
        <v>46090</v>
      </c>
      <c r="L297">
        <v>1010200</v>
      </c>
      <c r="M297" t="s">
        <v>125</v>
      </c>
      <c r="N297">
        <v>-8</v>
      </c>
      <c r="O297" s="32">
        <v>0</v>
      </c>
      <c r="P297" s="32">
        <v>0</v>
      </c>
      <c r="Q297" s="32">
        <v>145895</v>
      </c>
      <c r="R297" s="32">
        <v>0</v>
      </c>
      <c r="S297" s="32">
        <v>0</v>
      </c>
      <c r="T297" s="32">
        <v>0</v>
      </c>
      <c r="U297" s="32">
        <v>0</v>
      </c>
      <c r="V297" s="32">
        <v>0</v>
      </c>
      <c r="W297" s="32">
        <v>0</v>
      </c>
      <c r="X297" s="32">
        <v>0</v>
      </c>
      <c r="Y297" s="32">
        <v>0</v>
      </c>
      <c r="Z297" s="32">
        <v>0</v>
      </c>
      <c r="AA297" s="32">
        <v>0</v>
      </c>
      <c r="AB297" s="32">
        <v>0</v>
      </c>
      <c r="AC297" s="32" t="s">
        <v>475</v>
      </c>
      <c r="AD297" s="32"/>
      <c r="AE297" s="32">
        <v>0</v>
      </c>
    </row>
    <row r="298" spans="1:31" x14ac:dyDescent="0.25">
      <c r="A298">
        <v>6370</v>
      </c>
      <c r="B298" t="s">
        <v>295</v>
      </c>
      <c r="C298" t="s">
        <v>32</v>
      </c>
      <c r="D298" s="35">
        <v>180607.46</v>
      </c>
      <c r="E298">
        <v>1246267940</v>
      </c>
      <c r="F298" s="328">
        <v>46127</v>
      </c>
      <c r="H298" t="s">
        <v>28</v>
      </c>
      <c r="I298" t="s">
        <v>29</v>
      </c>
      <c r="J298">
        <v>10898</v>
      </c>
      <c r="K298" s="328">
        <v>46097</v>
      </c>
      <c r="L298">
        <v>1010200</v>
      </c>
      <c r="M298" t="s">
        <v>125</v>
      </c>
      <c r="N298">
        <v>-15</v>
      </c>
      <c r="O298" s="32">
        <v>0</v>
      </c>
      <c r="P298" s="32">
        <v>0</v>
      </c>
      <c r="Q298" s="32">
        <v>180607.46</v>
      </c>
      <c r="R298" s="32">
        <v>0</v>
      </c>
      <c r="S298" s="32">
        <v>0</v>
      </c>
      <c r="T298" s="32">
        <v>0</v>
      </c>
      <c r="U298" s="32">
        <v>0</v>
      </c>
      <c r="V298" s="32">
        <v>0</v>
      </c>
      <c r="W298" s="32">
        <v>0</v>
      </c>
      <c r="X298" s="32">
        <v>0</v>
      </c>
      <c r="Y298" s="32">
        <v>0</v>
      </c>
      <c r="Z298" s="32">
        <v>0</v>
      </c>
      <c r="AA298" s="32">
        <v>0</v>
      </c>
      <c r="AB298" s="32">
        <v>0</v>
      </c>
      <c r="AC298" s="32" t="s">
        <v>475</v>
      </c>
      <c r="AD298" s="32"/>
      <c r="AE298" s="32">
        <v>0</v>
      </c>
    </row>
    <row r="299" spans="1:31" x14ac:dyDescent="0.25">
      <c r="A299">
        <v>6370</v>
      </c>
      <c r="B299" t="s">
        <v>295</v>
      </c>
      <c r="C299" t="s">
        <v>32</v>
      </c>
      <c r="D299" s="35">
        <v>149433.42000000001</v>
      </c>
      <c r="E299">
        <v>1246265943</v>
      </c>
      <c r="F299" s="328">
        <v>46113</v>
      </c>
      <c r="H299" t="s">
        <v>28</v>
      </c>
      <c r="I299" t="s">
        <v>29</v>
      </c>
      <c r="J299">
        <v>10796</v>
      </c>
      <c r="K299" s="328">
        <v>46083</v>
      </c>
      <c r="L299">
        <v>1010200</v>
      </c>
      <c r="M299" t="s">
        <v>125</v>
      </c>
      <c r="N299">
        <v>-1</v>
      </c>
      <c r="O299" s="32">
        <v>0</v>
      </c>
      <c r="P299" s="32">
        <v>0</v>
      </c>
      <c r="Q299" s="32">
        <v>149433.42000000001</v>
      </c>
      <c r="R299" s="32">
        <v>0</v>
      </c>
      <c r="S299" s="32">
        <v>0</v>
      </c>
      <c r="T299" s="32">
        <v>0</v>
      </c>
      <c r="U299" s="32">
        <v>0</v>
      </c>
      <c r="V299" s="32">
        <v>0</v>
      </c>
      <c r="W299" s="32">
        <v>0</v>
      </c>
      <c r="X299" s="32">
        <v>0</v>
      </c>
      <c r="Y299" s="32">
        <v>0</v>
      </c>
      <c r="Z299" s="32">
        <v>0</v>
      </c>
      <c r="AA299" s="32">
        <v>0</v>
      </c>
      <c r="AB299" s="32">
        <v>0</v>
      </c>
      <c r="AC299" s="32" t="s">
        <v>475</v>
      </c>
      <c r="AD299" s="32"/>
      <c r="AE299" s="32">
        <v>0</v>
      </c>
    </row>
    <row r="300" spans="1:31" x14ac:dyDescent="0.25">
      <c r="A300">
        <v>6370</v>
      </c>
      <c r="B300" t="s">
        <v>295</v>
      </c>
      <c r="C300" t="s">
        <v>32</v>
      </c>
      <c r="D300" s="35">
        <v>180350.34</v>
      </c>
      <c r="E300">
        <v>1246268448</v>
      </c>
      <c r="F300" s="328">
        <v>46130</v>
      </c>
      <c r="H300" t="s">
        <v>28</v>
      </c>
      <c r="I300" t="s">
        <v>29</v>
      </c>
      <c r="J300">
        <v>10933</v>
      </c>
      <c r="K300" s="328">
        <v>46100</v>
      </c>
      <c r="L300">
        <v>1010200</v>
      </c>
      <c r="M300" t="s">
        <v>125</v>
      </c>
      <c r="N300">
        <v>-18</v>
      </c>
      <c r="O300" s="32">
        <v>0</v>
      </c>
      <c r="P300" s="32">
        <v>0</v>
      </c>
      <c r="Q300" s="32">
        <v>180350.34</v>
      </c>
      <c r="R300" s="32">
        <v>0</v>
      </c>
      <c r="S300" s="32">
        <v>0</v>
      </c>
      <c r="T300" s="32">
        <v>0</v>
      </c>
      <c r="U300" s="32">
        <v>0</v>
      </c>
      <c r="V300" s="32">
        <v>0</v>
      </c>
      <c r="W300" s="32">
        <v>0</v>
      </c>
      <c r="X300" s="32">
        <v>0</v>
      </c>
      <c r="Y300" s="32">
        <v>0</v>
      </c>
      <c r="Z300" s="32">
        <v>0</v>
      </c>
      <c r="AA300" s="32">
        <v>0</v>
      </c>
      <c r="AB300" s="32">
        <v>0</v>
      </c>
      <c r="AC300" s="32" t="s">
        <v>475</v>
      </c>
      <c r="AD300" s="32"/>
      <c r="AE300" s="32">
        <v>0</v>
      </c>
    </row>
    <row r="301" spans="1:31" x14ac:dyDescent="0.25">
      <c r="A301">
        <v>9295</v>
      </c>
      <c r="B301" t="s">
        <v>382</v>
      </c>
      <c r="C301" t="s">
        <v>127</v>
      </c>
      <c r="D301" s="35">
        <v>132178.28</v>
      </c>
      <c r="E301">
        <v>1246267425</v>
      </c>
      <c r="F301" s="328">
        <v>46122</v>
      </c>
      <c r="H301" t="s">
        <v>28</v>
      </c>
      <c r="I301" t="s">
        <v>29</v>
      </c>
      <c r="J301">
        <v>10864</v>
      </c>
      <c r="K301" s="328">
        <v>46092</v>
      </c>
      <c r="L301">
        <v>1010200</v>
      </c>
      <c r="M301" t="s">
        <v>125</v>
      </c>
      <c r="N301">
        <v>-10</v>
      </c>
      <c r="O301" s="32">
        <v>0</v>
      </c>
      <c r="P301" s="32">
        <v>0</v>
      </c>
      <c r="Q301" s="32">
        <v>132178.28</v>
      </c>
      <c r="R301" s="32">
        <v>0</v>
      </c>
      <c r="S301" s="32">
        <v>0</v>
      </c>
      <c r="T301" s="32">
        <v>0</v>
      </c>
      <c r="U301" s="32">
        <v>0</v>
      </c>
      <c r="V301" s="32">
        <v>0</v>
      </c>
      <c r="W301" s="32">
        <v>0</v>
      </c>
      <c r="X301" s="32">
        <v>0</v>
      </c>
      <c r="Y301" s="32">
        <v>0</v>
      </c>
      <c r="Z301" s="32">
        <v>0</v>
      </c>
      <c r="AA301" s="32">
        <v>0</v>
      </c>
      <c r="AB301" s="32">
        <v>0</v>
      </c>
      <c r="AC301" s="32" t="s">
        <v>475</v>
      </c>
      <c r="AD301" s="32"/>
      <c r="AE301" s="32">
        <v>0</v>
      </c>
    </row>
    <row r="302" spans="1:31" x14ac:dyDescent="0.25">
      <c r="A302">
        <v>9355</v>
      </c>
      <c r="B302" t="s">
        <v>337</v>
      </c>
      <c r="C302" t="s">
        <v>31</v>
      </c>
      <c r="D302" s="35">
        <v>604265.81999999983</v>
      </c>
      <c r="E302">
        <v>1246264749</v>
      </c>
      <c r="F302" s="328">
        <v>46177</v>
      </c>
      <c r="H302" t="s">
        <v>28</v>
      </c>
      <c r="I302" t="s">
        <v>29</v>
      </c>
      <c r="J302">
        <v>2768</v>
      </c>
      <c r="K302" s="328">
        <v>46077</v>
      </c>
      <c r="L302">
        <v>1010200</v>
      </c>
      <c r="M302" t="s">
        <v>125</v>
      </c>
      <c r="N302">
        <v>-65</v>
      </c>
      <c r="O302" s="32">
        <v>0</v>
      </c>
      <c r="P302" s="32">
        <v>0</v>
      </c>
      <c r="Q302" s="32">
        <v>604265.81999999983</v>
      </c>
      <c r="R302" s="32">
        <v>0</v>
      </c>
      <c r="S302" s="32">
        <v>0</v>
      </c>
      <c r="T302" s="32">
        <v>0</v>
      </c>
      <c r="U302" s="32">
        <v>0</v>
      </c>
      <c r="V302" s="32">
        <v>0</v>
      </c>
      <c r="W302" s="32">
        <v>0</v>
      </c>
      <c r="X302" s="32">
        <v>0</v>
      </c>
      <c r="Y302" s="32">
        <v>0</v>
      </c>
      <c r="Z302" s="32">
        <v>0</v>
      </c>
      <c r="AA302" s="32">
        <v>0</v>
      </c>
      <c r="AB302" s="32">
        <v>0</v>
      </c>
      <c r="AC302" s="32" t="s">
        <v>475</v>
      </c>
      <c r="AD302" s="32"/>
      <c r="AE302" s="32">
        <v>0</v>
      </c>
    </row>
    <row r="303" spans="1:31" x14ac:dyDescent="0.25">
      <c r="A303">
        <v>9355</v>
      </c>
      <c r="B303" t="s">
        <v>337</v>
      </c>
      <c r="C303" t="s">
        <v>31</v>
      </c>
      <c r="D303" s="35">
        <v>1191855.2599999998</v>
      </c>
      <c r="E303">
        <v>1246265046</v>
      </c>
      <c r="F303" s="328">
        <v>46180</v>
      </c>
      <c r="H303" t="s">
        <v>28</v>
      </c>
      <c r="I303" t="s">
        <v>29</v>
      </c>
      <c r="J303">
        <v>10762</v>
      </c>
      <c r="K303" s="328">
        <v>46078</v>
      </c>
      <c r="L303">
        <v>1010200</v>
      </c>
      <c r="M303" t="s">
        <v>125</v>
      </c>
      <c r="N303">
        <v>-68</v>
      </c>
      <c r="O303" s="32">
        <v>0</v>
      </c>
      <c r="P303" s="32">
        <v>0</v>
      </c>
      <c r="Q303" s="32">
        <v>1191855.2599999998</v>
      </c>
      <c r="R303" s="32">
        <v>0</v>
      </c>
      <c r="S303" s="32">
        <v>0</v>
      </c>
      <c r="T303" s="32">
        <v>0</v>
      </c>
      <c r="U303" s="32">
        <v>0</v>
      </c>
      <c r="V303" s="32">
        <v>0</v>
      </c>
      <c r="W303" s="32">
        <v>0</v>
      </c>
      <c r="X303" s="32">
        <v>0</v>
      </c>
      <c r="Y303" s="32">
        <v>0</v>
      </c>
      <c r="Z303" s="32">
        <v>0</v>
      </c>
      <c r="AA303" s="32">
        <v>0</v>
      </c>
      <c r="AB303" s="32">
        <v>0</v>
      </c>
      <c r="AC303" s="32" t="s">
        <v>475</v>
      </c>
      <c r="AD303" s="32"/>
      <c r="AE303" s="32">
        <v>0</v>
      </c>
    </row>
    <row r="304" spans="1:31" x14ac:dyDescent="0.25">
      <c r="A304">
        <v>9355</v>
      </c>
      <c r="B304" t="s">
        <v>337</v>
      </c>
      <c r="C304" t="s">
        <v>31</v>
      </c>
      <c r="D304" s="35">
        <v>292178.84000000003</v>
      </c>
      <c r="E304">
        <v>1246264769</v>
      </c>
      <c r="F304" s="328">
        <v>46180</v>
      </c>
      <c r="H304" t="s">
        <v>28</v>
      </c>
      <c r="I304" t="s">
        <v>29</v>
      </c>
      <c r="J304">
        <v>10753</v>
      </c>
      <c r="K304" s="328">
        <v>46077</v>
      </c>
      <c r="L304">
        <v>1010200</v>
      </c>
      <c r="M304" t="s">
        <v>125</v>
      </c>
      <c r="N304">
        <v>-68</v>
      </c>
      <c r="O304" s="32">
        <v>0</v>
      </c>
      <c r="P304" s="32">
        <v>0</v>
      </c>
      <c r="Q304" s="32">
        <v>292178.84000000003</v>
      </c>
      <c r="R304" s="32">
        <v>0</v>
      </c>
      <c r="S304" s="32">
        <v>0</v>
      </c>
      <c r="T304" s="32">
        <v>0</v>
      </c>
      <c r="U304" s="32">
        <v>0</v>
      </c>
      <c r="V304" s="32">
        <v>0</v>
      </c>
      <c r="W304" s="32">
        <v>0</v>
      </c>
      <c r="X304" s="32">
        <v>0</v>
      </c>
      <c r="Y304" s="32">
        <v>0</v>
      </c>
      <c r="Z304" s="32">
        <v>0</v>
      </c>
      <c r="AA304" s="32">
        <v>0</v>
      </c>
      <c r="AB304" s="32">
        <v>0</v>
      </c>
      <c r="AC304" s="32" t="s">
        <v>475</v>
      </c>
      <c r="AD304" s="32"/>
      <c r="AE304" s="32">
        <v>0</v>
      </c>
    </row>
    <row r="305" spans="1:31" x14ac:dyDescent="0.25">
      <c r="A305">
        <v>9355</v>
      </c>
      <c r="B305" t="s">
        <v>337</v>
      </c>
      <c r="C305" t="s">
        <v>31</v>
      </c>
      <c r="D305" s="35">
        <v>1191855.2599999998</v>
      </c>
      <c r="E305">
        <v>1246265200</v>
      </c>
      <c r="F305" s="328">
        <v>46177</v>
      </c>
      <c r="H305" t="s">
        <v>28</v>
      </c>
      <c r="I305" t="s">
        <v>29</v>
      </c>
      <c r="J305">
        <v>2778</v>
      </c>
      <c r="K305" s="328">
        <v>46078</v>
      </c>
      <c r="L305">
        <v>1010200</v>
      </c>
      <c r="M305" t="s">
        <v>125</v>
      </c>
      <c r="N305">
        <v>-65</v>
      </c>
      <c r="O305" s="32">
        <v>0</v>
      </c>
      <c r="P305" s="32">
        <v>0</v>
      </c>
      <c r="Q305" s="32">
        <v>1191855.2599999998</v>
      </c>
      <c r="R305" s="32">
        <v>0</v>
      </c>
      <c r="S305" s="32">
        <v>0</v>
      </c>
      <c r="T305" s="32">
        <v>0</v>
      </c>
      <c r="U305" s="32">
        <v>0</v>
      </c>
      <c r="V305" s="32">
        <v>0</v>
      </c>
      <c r="W305" s="32">
        <v>0</v>
      </c>
      <c r="X305" s="32">
        <v>0</v>
      </c>
      <c r="Y305" s="32">
        <v>0</v>
      </c>
      <c r="Z305" s="32">
        <v>0</v>
      </c>
      <c r="AA305" s="32">
        <v>0</v>
      </c>
      <c r="AB305" s="32">
        <v>0</v>
      </c>
      <c r="AC305" s="32" t="s">
        <v>475</v>
      </c>
      <c r="AD305" s="32"/>
      <c r="AE305" s="32">
        <v>0</v>
      </c>
    </row>
    <row r="306" spans="1:31" x14ac:dyDescent="0.25">
      <c r="A306">
        <v>11768</v>
      </c>
      <c r="B306" t="s">
        <v>305</v>
      </c>
      <c r="C306" t="s">
        <v>31</v>
      </c>
      <c r="D306" s="35">
        <v>86689.1</v>
      </c>
      <c r="E306">
        <v>1246264534</v>
      </c>
      <c r="F306" s="328">
        <v>46136</v>
      </c>
      <c r="H306" t="s">
        <v>28</v>
      </c>
      <c r="I306" t="s">
        <v>29</v>
      </c>
      <c r="J306">
        <v>10744</v>
      </c>
      <c r="K306" s="328">
        <v>46076</v>
      </c>
      <c r="L306">
        <v>1010200</v>
      </c>
      <c r="M306" t="s">
        <v>125</v>
      </c>
      <c r="N306">
        <v>-24</v>
      </c>
      <c r="O306" s="32">
        <v>0</v>
      </c>
      <c r="P306" s="32">
        <v>0</v>
      </c>
      <c r="Q306" s="32">
        <v>86689.1</v>
      </c>
      <c r="R306" s="32">
        <v>0</v>
      </c>
      <c r="S306" s="32">
        <v>0</v>
      </c>
      <c r="T306" s="32">
        <v>0</v>
      </c>
      <c r="U306" s="32">
        <v>0</v>
      </c>
      <c r="V306" s="32">
        <v>0</v>
      </c>
      <c r="W306" s="32">
        <v>0</v>
      </c>
      <c r="X306" s="32">
        <v>0</v>
      </c>
      <c r="Y306" s="32">
        <v>0</v>
      </c>
      <c r="Z306" s="32">
        <v>0</v>
      </c>
      <c r="AA306" s="32">
        <v>0</v>
      </c>
      <c r="AB306" s="32">
        <v>0</v>
      </c>
      <c r="AC306" s="32" t="s">
        <v>475</v>
      </c>
      <c r="AD306" s="32"/>
      <c r="AE306" s="32">
        <v>0</v>
      </c>
    </row>
    <row r="307" spans="1:31" x14ac:dyDescent="0.25">
      <c r="A307">
        <v>11770</v>
      </c>
      <c r="B307" t="s">
        <v>438</v>
      </c>
      <c r="C307" t="s">
        <v>31</v>
      </c>
      <c r="D307" s="35">
        <v>14548.35</v>
      </c>
      <c r="E307">
        <v>1246263524</v>
      </c>
      <c r="F307" s="328">
        <v>46039</v>
      </c>
      <c r="H307" t="s">
        <v>28</v>
      </c>
      <c r="I307" t="s">
        <v>29</v>
      </c>
      <c r="J307">
        <v>9853</v>
      </c>
      <c r="K307" s="328">
        <v>45959</v>
      </c>
      <c r="L307">
        <v>1010200</v>
      </c>
      <c r="M307" t="s">
        <v>125</v>
      </c>
      <c r="N307">
        <v>73</v>
      </c>
      <c r="O307" s="32">
        <v>0</v>
      </c>
      <c r="P307" s="32">
        <v>0</v>
      </c>
      <c r="Q307" s="32">
        <v>0</v>
      </c>
      <c r="R307" s="32">
        <v>14548.35</v>
      </c>
      <c r="S307" s="32">
        <v>0</v>
      </c>
      <c r="T307" s="32">
        <v>0</v>
      </c>
      <c r="U307" s="32">
        <v>0</v>
      </c>
      <c r="V307" s="32">
        <v>0</v>
      </c>
      <c r="W307" s="32">
        <v>0</v>
      </c>
      <c r="X307" s="32">
        <v>0</v>
      </c>
      <c r="Y307" s="32">
        <v>0</v>
      </c>
      <c r="Z307" s="32">
        <v>0</v>
      </c>
      <c r="AA307" s="32">
        <v>0</v>
      </c>
      <c r="AB307" s="32">
        <v>0</v>
      </c>
      <c r="AC307" s="32" t="s">
        <v>475</v>
      </c>
      <c r="AD307" s="32"/>
      <c r="AE307" s="32">
        <v>0</v>
      </c>
    </row>
    <row r="308" spans="1:31" x14ac:dyDescent="0.25">
      <c r="A308">
        <v>11580</v>
      </c>
      <c r="B308" t="s">
        <v>492</v>
      </c>
      <c r="C308" t="s">
        <v>31</v>
      </c>
      <c r="D308" s="35">
        <v>76480.23</v>
      </c>
      <c r="E308">
        <v>1246268734</v>
      </c>
      <c r="F308" s="328">
        <v>46440</v>
      </c>
      <c r="H308" t="s">
        <v>28</v>
      </c>
      <c r="I308" t="s">
        <v>29</v>
      </c>
      <c r="J308">
        <v>2837</v>
      </c>
      <c r="K308" s="328">
        <v>46105</v>
      </c>
      <c r="L308">
        <v>1010200</v>
      </c>
      <c r="M308" t="s">
        <v>125</v>
      </c>
      <c r="N308">
        <v>-328</v>
      </c>
      <c r="O308" s="32">
        <v>0</v>
      </c>
      <c r="P308" s="32">
        <v>0</v>
      </c>
      <c r="Q308" s="32">
        <v>76480.23</v>
      </c>
      <c r="R308" s="32">
        <v>0</v>
      </c>
      <c r="S308" s="32">
        <v>0</v>
      </c>
      <c r="T308" s="32">
        <v>0</v>
      </c>
      <c r="U308" s="32">
        <v>0</v>
      </c>
      <c r="V308" s="32">
        <v>0</v>
      </c>
      <c r="W308" s="32">
        <v>0</v>
      </c>
      <c r="X308" s="32">
        <v>0</v>
      </c>
      <c r="Y308" s="32">
        <v>0</v>
      </c>
      <c r="Z308" s="32">
        <v>0</v>
      </c>
      <c r="AA308" s="32">
        <v>0</v>
      </c>
      <c r="AB308" s="32">
        <v>0</v>
      </c>
      <c r="AC308" s="32" t="s">
        <v>475</v>
      </c>
      <c r="AD308" s="32"/>
      <c r="AE308" s="32">
        <v>0</v>
      </c>
    </row>
    <row r="309" spans="1:31" x14ac:dyDescent="0.25">
      <c r="A309">
        <v>13330</v>
      </c>
      <c r="B309" t="s">
        <v>679</v>
      </c>
      <c r="C309" t="s">
        <v>680</v>
      </c>
      <c r="D309" s="35">
        <v>527.28</v>
      </c>
      <c r="E309">
        <v>1246238356</v>
      </c>
      <c r="F309" s="328">
        <v>45927</v>
      </c>
      <c r="I309" t="s">
        <v>373</v>
      </c>
      <c r="J309">
        <v>9092</v>
      </c>
      <c r="K309" s="328">
        <v>45897</v>
      </c>
      <c r="L309">
        <v>1010200</v>
      </c>
      <c r="M309" t="s">
        <v>125</v>
      </c>
      <c r="N309">
        <v>185</v>
      </c>
      <c r="O309" s="32">
        <v>0</v>
      </c>
      <c r="P309" s="32">
        <v>15.818399999999999</v>
      </c>
      <c r="Q309" s="32">
        <v>0</v>
      </c>
      <c r="R309" s="32">
        <v>0</v>
      </c>
      <c r="S309" s="32">
        <v>0</v>
      </c>
      <c r="T309" s="32">
        <v>527.28</v>
      </c>
      <c r="U309" s="32">
        <v>0</v>
      </c>
      <c r="V309" s="32">
        <v>0</v>
      </c>
      <c r="W309" s="32">
        <v>15.818399999999999</v>
      </c>
      <c r="X309" s="32">
        <v>0</v>
      </c>
      <c r="Y309" s="32">
        <v>0</v>
      </c>
      <c r="Z309" s="32">
        <v>527.28</v>
      </c>
      <c r="AA309" s="32">
        <v>0</v>
      </c>
      <c r="AB309" s="32">
        <v>15.818399999999999</v>
      </c>
      <c r="AC309" s="32" t="s">
        <v>475</v>
      </c>
      <c r="AD309" s="32"/>
      <c r="AE309" s="32">
        <v>15.818399999999999</v>
      </c>
    </row>
    <row r="310" spans="1:31" x14ac:dyDescent="0.25">
      <c r="A310">
        <v>15543</v>
      </c>
      <c r="B310" t="s">
        <v>853</v>
      </c>
      <c r="C310" t="s">
        <v>854</v>
      </c>
      <c r="D310" s="35">
        <v>45718.46</v>
      </c>
      <c r="E310">
        <v>1246264533</v>
      </c>
      <c r="F310" s="328">
        <v>46181</v>
      </c>
      <c r="I310" t="s">
        <v>373</v>
      </c>
      <c r="J310">
        <v>10745</v>
      </c>
      <c r="K310" s="328">
        <v>46076</v>
      </c>
      <c r="L310">
        <v>1010200</v>
      </c>
      <c r="M310" t="s">
        <v>125</v>
      </c>
      <c r="N310">
        <v>-69</v>
      </c>
      <c r="O310" s="32">
        <v>0</v>
      </c>
      <c r="P310" s="32">
        <v>0</v>
      </c>
      <c r="Q310" s="32">
        <v>45718.46</v>
      </c>
      <c r="R310" s="32">
        <v>0</v>
      </c>
      <c r="S310" s="32">
        <v>0</v>
      </c>
      <c r="T310" s="32">
        <v>0</v>
      </c>
      <c r="U310" s="32">
        <v>0</v>
      </c>
      <c r="V310" s="32">
        <v>0</v>
      </c>
      <c r="W310" s="32">
        <v>0</v>
      </c>
      <c r="X310" s="32">
        <v>0</v>
      </c>
      <c r="Y310" s="32">
        <v>0</v>
      </c>
      <c r="Z310" s="32">
        <v>0</v>
      </c>
      <c r="AA310" s="32">
        <v>0</v>
      </c>
      <c r="AB310" s="32">
        <v>0</v>
      </c>
      <c r="AC310" s="32" t="s">
        <v>475</v>
      </c>
      <c r="AD310" s="32"/>
      <c r="AE310" s="32">
        <v>0</v>
      </c>
    </row>
    <row r="311" spans="1:31" x14ac:dyDescent="0.25">
      <c r="A311">
        <v>7060</v>
      </c>
      <c r="B311" t="s">
        <v>182</v>
      </c>
      <c r="C311" t="s">
        <v>183</v>
      </c>
      <c r="D311" s="35">
        <v>202489.44</v>
      </c>
      <c r="E311">
        <v>1246233024</v>
      </c>
      <c r="F311" s="328">
        <v>46264</v>
      </c>
      <c r="H311" t="s">
        <v>173</v>
      </c>
      <c r="I311" t="s">
        <v>174</v>
      </c>
      <c r="J311">
        <v>9046</v>
      </c>
      <c r="K311" s="328">
        <v>45895</v>
      </c>
      <c r="L311">
        <v>1010100</v>
      </c>
      <c r="M311" t="s">
        <v>35</v>
      </c>
      <c r="N311">
        <v>-152</v>
      </c>
      <c r="O311" s="32">
        <v>0</v>
      </c>
      <c r="P311" s="32">
        <v>0</v>
      </c>
      <c r="Q311" s="32">
        <v>202489.44</v>
      </c>
      <c r="R311" s="32">
        <v>0</v>
      </c>
      <c r="S311" s="32">
        <v>0</v>
      </c>
      <c r="T311" s="32">
        <v>0</v>
      </c>
      <c r="U311" s="32">
        <v>0</v>
      </c>
      <c r="V311" s="32">
        <v>0</v>
      </c>
      <c r="W311" s="32">
        <v>0</v>
      </c>
      <c r="X311" s="32">
        <v>0</v>
      </c>
      <c r="Y311" s="32">
        <v>0</v>
      </c>
      <c r="Z311" s="32">
        <v>0</v>
      </c>
      <c r="AA311" s="32">
        <v>0</v>
      </c>
      <c r="AB311" s="32">
        <v>0</v>
      </c>
      <c r="AC311" s="32" t="s">
        <v>475</v>
      </c>
      <c r="AD311" s="32"/>
      <c r="AE311" s="32">
        <v>0</v>
      </c>
    </row>
    <row r="312" spans="1:31" x14ac:dyDescent="0.25">
      <c r="A312">
        <v>7060</v>
      </c>
      <c r="B312" t="s">
        <v>182</v>
      </c>
      <c r="C312" t="s">
        <v>183</v>
      </c>
      <c r="D312" s="35">
        <v>210926.49999999997</v>
      </c>
      <c r="E312">
        <v>1246232491</v>
      </c>
      <c r="F312" s="328">
        <v>46264</v>
      </c>
      <c r="H312" t="s">
        <v>173</v>
      </c>
      <c r="I312" t="s">
        <v>174</v>
      </c>
      <c r="J312">
        <v>9006</v>
      </c>
      <c r="K312" s="328">
        <v>45891</v>
      </c>
      <c r="L312">
        <v>1010100</v>
      </c>
      <c r="M312" t="s">
        <v>35</v>
      </c>
      <c r="N312">
        <v>-152</v>
      </c>
      <c r="O312" s="32">
        <v>0</v>
      </c>
      <c r="P312" s="32">
        <v>0</v>
      </c>
      <c r="Q312" s="32">
        <v>210926.49999999997</v>
      </c>
      <c r="R312" s="32">
        <v>0</v>
      </c>
      <c r="S312" s="32">
        <v>0</v>
      </c>
      <c r="T312" s="32">
        <v>0</v>
      </c>
      <c r="U312" s="32">
        <v>0</v>
      </c>
      <c r="V312" s="32">
        <v>0</v>
      </c>
      <c r="W312" s="32">
        <v>0</v>
      </c>
      <c r="X312" s="32">
        <v>0</v>
      </c>
      <c r="Y312" s="32">
        <v>0</v>
      </c>
      <c r="Z312" s="32">
        <v>0</v>
      </c>
      <c r="AA312" s="32">
        <v>0</v>
      </c>
      <c r="AB312" s="32">
        <v>0</v>
      </c>
      <c r="AC312" s="32" t="s">
        <v>475</v>
      </c>
      <c r="AD312" s="32"/>
      <c r="AE312" s="32">
        <v>0</v>
      </c>
    </row>
    <row r="313" spans="1:31" x14ac:dyDescent="0.25">
      <c r="A313">
        <v>7060</v>
      </c>
      <c r="B313" t="s">
        <v>182</v>
      </c>
      <c r="C313" t="s">
        <v>183</v>
      </c>
      <c r="D313" s="35">
        <v>130331.92</v>
      </c>
      <c r="E313">
        <v>1246232349</v>
      </c>
      <c r="F313" s="328">
        <v>46144</v>
      </c>
      <c r="H313" t="s">
        <v>173</v>
      </c>
      <c r="I313" t="s">
        <v>174</v>
      </c>
      <c r="J313">
        <v>8975</v>
      </c>
      <c r="K313" s="328">
        <v>45890</v>
      </c>
      <c r="L313">
        <v>1010100</v>
      </c>
      <c r="M313" t="s">
        <v>35</v>
      </c>
      <c r="N313">
        <v>-32</v>
      </c>
      <c r="O313" s="32">
        <v>0</v>
      </c>
      <c r="P313" s="32">
        <v>0</v>
      </c>
      <c r="Q313" s="32">
        <v>130331.92</v>
      </c>
      <c r="R313" s="32">
        <v>0</v>
      </c>
      <c r="S313" s="32">
        <v>0</v>
      </c>
      <c r="T313" s="32">
        <v>0</v>
      </c>
      <c r="U313" s="32">
        <v>0</v>
      </c>
      <c r="V313" s="32">
        <v>0</v>
      </c>
      <c r="W313" s="32">
        <v>0</v>
      </c>
      <c r="X313" s="32">
        <v>0</v>
      </c>
      <c r="Y313" s="32">
        <v>0</v>
      </c>
      <c r="Z313" s="32">
        <v>0</v>
      </c>
      <c r="AA313" s="32">
        <v>0</v>
      </c>
      <c r="AB313" s="32">
        <v>0</v>
      </c>
      <c r="AC313" s="32" t="s">
        <v>475</v>
      </c>
      <c r="AD313" s="32"/>
      <c r="AE313" s="32">
        <v>0</v>
      </c>
    </row>
    <row r="314" spans="1:31" x14ac:dyDescent="0.25">
      <c r="A314">
        <v>7060</v>
      </c>
      <c r="B314" t="s">
        <v>182</v>
      </c>
      <c r="C314" t="s">
        <v>183</v>
      </c>
      <c r="D314" s="35">
        <v>6817.24</v>
      </c>
      <c r="E314">
        <v>1246232336</v>
      </c>
      <c r="F314" s="328">
        <v>46144</v>
      </c>
      <c r="H314" t="s">
        <v>173</v>
      </c>
      <c r="I314" t="s">
        <v>174</v>
      </c>
      <c r="J314">
        <v>8973</v>
      </c>
      <c r="K314" s="328">
        <v>45890</v>
      </c>
      <c r="L314">
        <v>1010100</v>
      </c>
      <c r="M314" t="s">
        <v>35</v>
      </c>
      <c r="N314">
        <v>-32</v>
      </c>
      <c r="O314" s="32">
        <v>0</v>
      </c>
      <c r="P314" s="32">
        <v>0</v>
      </c>
      <c r="Q314" s="32">
        <v>6817.24</v>
      </c>
      <c r="R314" s="32">
        <v>0</v>
      </c>
      <c r="S314" s="32">
        <v>0</v>
      </c>
      <c r="T314" s="32">
        <v>0</v>
      </c>
      <c r="U314" s="32">
        <v>0</v>
      </c>
      <c r="V314" s="32">
        <v>0</v>
      </c>
      <c r="W314" s="32">
        <v>0</v>
      </c>
      <c r="X314" s="32">
        <v>0</v>
      </c>
      <c r="Y314" s="32">
        <v>0</v>
      </c>
      <c r="Z314" s="32">
        <v>0</v>
      </c>
      <c r="AA314" s="32">
        <v>0</v>
      </c>
      <c r="AB314" s="32">
        <v>0</v>
      </c>
      <c r="AC314" s="32" t="s">
        <v>475</v>
      </c>
      <c r="AD314" s="32"/>
      <c r="AE314" s="32">
        <v>0</v>
      </c>
    </row>
    <row r="315" spans="1:31" x14ac:dyDescent="0.25">
      <c r="A315">
        <v>7060</v>
      </c>
      <c r="B315" t="s">
        <v>182</v>
      </c>
      <c r="C315" t="s">
        <v>183</v>
      </c>
      <c r="D315" s="35">
        <v>135891.48000000001</v>
      </c>
      <c r="E315">
        <v>1246233319</v>
      </c>
      <c r="F315" s="328">
        <v>46266</v>
      </c>
      <c r="H315" t="s">
        <v>173</v>
      </c>
      <c r="I315" t="s">
        <v>174</v>
      </c>
      <c r="J315">
        <v>9076</v>
      </c>
      <c r="K315" s="328">
        <v>45896</v>
      </c>
      <c r="L315">
        <v>1010100</v>
      </c>
      <c r="M315" t="s">
        <v>35</v>
      </c>
      <c r="N315">
        <v>-154</v>
      </c>
      <c r="O315" s="32">
        <v>0</v>
      </c>
      <c r="P315" s="32">
        <v>0</v>
      </c>
      <c r="Q315" s="32">
        <v>135891.48000000001</v>
      </c>
      <c r="R315" s="32">
        <v>0</v>
      </c>
      <c r="S315" s="32">
        <v>0</v>
      </c>
      <c r="T315" s="32">
        <v>0</v>
      </c>
      <c r="U315" s="32">
        <v>0</v>
      </c>
      <c r="V315" s="32">
        <v>0</v>
      </c>
      <c r="W315" s="32">
        <v>0</v>
      </c>
      <c r="X315" s="32">
        <v>0</v>
      </c>
      <c r="Y315" s="32">
        <v>0</v>
      </c>
      <c r="Z315" s="32">
        <v>0</v>
      </c>
      <c r="AA315" s="32">
        <v>0</v>
      </c>
      <c r="AB315" s="32">
        <v>0</v>
      </c>
      <c r="AC315" s="32" t="s">
        <v>475</v>
      </c>
      <c r="AD315" s="32"/>
      <c r="AE315" s="32">
        <v>0</v>
      </c>
    </row>
    <row r="316" spans="1:31" x14ac:dyDescent="0.25">
      <c r="A316">
        <v>7060</v>
      </c>
      <c r="B316" t="s">
        <v>182</v>
      </c>
      <c r="C316" t="s">
        <v>183</v>
      </c>
      <c r="D316" s="35">
        <v>137584.20000000001</v>
      </c>
      <c r="E316">
        <v>1246232316</v>
      </c>
      <c r="F316" s="328">
        <v>46144</v>
      </c>
      <c r="H316" t="s">
        <v>173</v>
      </c>
      <c r="I316" t="s">
        <v>174</v>
      </c>
      <c r="J316">
        <v>8971</v>
      </c>
      <c r="K316" s="328">
        <v>45890</v>
      </c>
      <c r="L316">
        <v>1010100</v>
      </c>
      <c r="M316" t="s">
        <v>35</v>
      </c>
      <c r="N316">
        <v>-32</v>
      </c>
      <c r="O316" s="32">
        <v>0</v>
      </c>
      <c r="P316" s="32">
        <v>0</v>
      </c>
      <c r="Q316" s="32">
        <v>137584.20000000001</v>
      </c>
      <c r="R316" s="32">
        <v>0</v>
      </c>
      <c r="S316" s="32">
        <v>0</v>
      </c>
      <c r="T316" s="32">
        <v>0</v>
      </c>
      <c r="U316" s="32">
        <v>0</v>
      </c>
      <c r="V316" s="32">
        <v>0</v>
      </c>
      <c r="W316" s="32">
        <v>0</v>
      </c>
      <c r="X316" s="32">
        <v>0</v>
      </c>
      <c r="Y316" s="32">
        <v>0</v>
      </c>
      <c r="Z316" s="32">
        <v>0</v>
      </c>
      <c r="AA316" s="32">
        <v>0</v>
      </c>
      <c r="AB316" s="32">
        <v>0</v>
      </c>
      <c r="AC316" s="32" t="s">
        <v>475</v>
      </c>
      <c r="AD316" s="32"/>
      <c r="AE316" s="32">
        <v>0</v>
      </c>
    </row>
    <row r="317" spans="1:31" x14ac:dyDescent="0.25">
      <c r="A317">
        <v>7060</v>
      </c>
      <c r="B317" t="s">
        <v>182</v>
      </c>
      <c r="C317" t="s">
        <v>183</v>
      </c>
      <c r="D317" s="35">
        <v>160304.14000000001</v>
      </c>
      <c r="E317">
        <v>1246232724</v>
      </c>
      <c r="F317" s="328">
        <v>46264</v>
      </c>
      <c r="H317" t="s">
        <v>173</v>
      </c>
      <c r="I317" t="s">
        <v>174</v>
      </c>
      <c r="J317">
        <v>9023</v>
      </c>
      <c r="K317" s="328">
        <v>45894</v>
      </c>
      <c r="L317">
        <v>1010100</v>
      </c>
      <c r="M317" t="s">
        <v>35</v>
      </c>
      <c r="N317">
        <v>-152</v>
      </c>
      <c r="O317" s="32">
        <v>0</v>
      </c>
      <c r="P317" s="32">
        <v>0</v>
      </c>
      <c r="Q317" s="32">
        <v>160304.14000000001</v>
      </c>
      <c r="R317" s="32">
        <v>0</v>
      </c>
      <c r="S317" s="32">
        <v>0</v>
      </c>
      <c r="T317" s="32">
        <v>0</v>
      </c>
      <c r="U317" s="32">
        <v>0</v>
      </c>
      <c r="V317" s="32">
        <v>0</v>
      </c>
      <c r="W317" s="32">
        <v>0</v>
      </c>
      <c r="X317" s="32">
        <v>0</v>
      </c>
      <c r="Y317" s="32">
        <v>0</v>
      </c>
      <c r="Z317" s="32">
        <v>0</v>
      </c>
      <c r="AA317" s="32">
        <v>0</v>
      </c>
      <c r="AB317" s="32">
        <v>0</v>
      </c>
      <c r="AC317" s="32" t="s">
        <v>475</v>
      </c>
      <c r="AD317" s="32"/>
      <c r="AE317" s="32">
        <v>0</v>
      </c>
    </row>
    <row r="318" spans="1:31" x14ac:dyDescent="0.25">
      <c r="A318">
        <v>7060</v>
      </c>
      <c r="B318" t="s">
        <v>182</v>
      </c>
      <c r="C318" t="s">
        <v>183</v>
      </c>
      <c r="D318" s="35">
        <v>134992.95999999999</v>
      </c>
      <c r="E318">
        <v>1246233318</v>
      </c>
      <c r="F318" s="328">
        <v>46265</v>
      </c>
      <c r="H318" t="s">
        <v>173</v>
      </c>
      <c r="I318" t="s">
        <v>174</v>
      </c>
      <c r="J318">
        <v>9075</v>
      </c>
      <c r="K318" s="328">
        <v>45896</v>
      </c>
      <c r="L318">
        <v>1010100</v>
      </c>
      <c r="M318" t="s">
        <v>35</v>
      </c>
      <c r="N318">
        <v>-153</v>
      </c>
      <c r="O318" s="32">
        <v>0</v>
      </c>
      <c r="P318" s="32">
        <v>0</v>
      </c>
      <c r="Q318" s="32">
        <v>134992.95999999999</v>
      </c>
      <c r="R318" s="32">
        <v>0</v>
      </c>
      <c r="S318" s="32">
        <v>0</v>
      </c>
      <c r="T318" s="32">
        <v>0</v>
      </c>
      <c r="U318" s="32">
        <v>0</v>
      </c>
      <c r="V318" s="32">
        <v>0</v>
      </c>
      <c r="W318" s="32">
        <v>0</v>
      </c>
      <c r="X318" s="32">
        <v>0</v>
      </c>
      <c r="Y318" s="32">
        <v>0</v>
      </c>
      <c r="Z318" s="32">
        <v>0</v>
      </c>
      <c r="AA318" s="32">
        <v>0</v>
      </c>
      <c r="AB318" s="32">
        <v>0</v>
      </c>
      <c r="AC318" s="32" t="s">
        <v>475</v>
      </c>
      <c r="AD318" s="32"/>
      <c r="AE318" s="32">
        <v>0</v>
      </c>
    </row>
    <row r="319" spans="1:31" x14ac:dyDescent="0.25">
      <c r="A319">
        <v>10413</v>
      </c>
      <c r="B319" t="s">
        <v>296</v>
      </c>
      <c r="C319" t="s">
        <v>848</v>
      </c>
      <c r="D319" s="35">
        <v>74021.399999999994</v>
      </c>
      <c r="E319">
        <v>1246268581</v>
      </c>
      <c r="F319" s="328">
        <v>46127</v>
      </c>
      <c r="H319" t="s">
        <v>28</v>
      </c>
      <c r="I319" t="s">
        <v>29</v>
      </c>
      <c r="J319">
        <v>10950</v>
      </c>
      <c r="K319" s="328">
        <v>46101</v>
      </c>
      <c r="L319">
        <v>1010100</v>
      </c>
      <c r="M319" t="s">
        <v>35</v>
      </c>
      <c r="N319">
        <v>-15</v>
      </c>
      <c r="O319" s="32">
        <v>0</v>
      </c>
      <c r="P319" s="32">
        <v>0</v>
      </c>
      <c r="Q319" s="32">
        <v>74021.399999999994</v>
      </c>
      <c r="R319" s="32">
        <v>0</v>
      </c>
      <c r="S319" s="32">
        <v>0</v>
      </c>
      <c r="T319" s="32">
        <v>0</v>
      </c>
      <c r="U319" s="32">
        <v>0</v>
      </c>
      <c r="V319" s="32">
        <v>0</v>
      </c>
      <c r="W319" s="32">
        <v>0</v>
      </c>
      <c r="X319" s="32">
        <v>0</v>
      </c>
      <c r="Y319" s="32">
        <v>0</v>
      </c>
      <c r="Z319" s="32">
        <v>0</v>
      </c>
      <c r="AA319" s="32">
        <v>0</v>
      </c>
      <c r="AB319" s="32">
        <v>0</v>
      </c>
      <c r="AC319" s="32" t="s">
        <v>475</v>
      </c>
      <c r="AD319" s="32"/>
      <c r="AE319" s="32">
        <v>0</v>
      </c>
    </row>
    <row r="320" spans="1:31" x14ac:dyDescent="0.25">
      <c r="A320">
        <v>13567</v>
      </c>
      <c r="B320" t="s">
        <v>378</v>
      </c>
      <c r="C320" t="s">
        <v>379</v>
      </c>
      <c r="D320" s="35">
        <v>108547.57</v>
      </c>
      <c r="E320">
        <v>1246235061</v>
      </c>
      <c r="F320" s="328">
        <v>46143</v>
      </c>
      <c r="H320" t="s">
        <v>173</v>
      </c>
      <c r="I320" t="s">
        <v>174</v>
      </c>
      <c r="J320">
        <v>9184</v>
      </c>
      <c r="K320" s="328">
        <v>45904</v>
      </c>
      <c r="L320">
        <v>1010100</v>
      </c>
      <c r="M320" t="s">
        <v>35</v>
      </c>
      <c r="N320">
        <v>-31</v>
      </c>
      <c r="O320" s="32">
        <v>0</v>
      </c>
      <c r="P320" s="32">
        <v>0</v>
      </c>
      <c r="Q320" s="32">
        <v>108547.57</v>
      </c>
      <c r="R320" s="32">
        <v>0</v>
      </c>
      <c r="S320" s="32">
        <v>0</v>
      </c>
      <c r="T320" s="32">
        <v>0</v>
      </c>
      <c r="U320" s="32">
        <v>0</v>
      </c>
      <c r="V320" s="32">
        <v>0</v>
      </c>
      <c r="W320" s="32">
        <v>0</v>
      </c>
      <c r="X320" s="32">
        <v>0</v>
      </c>
      <c r="Y320" s="32">
        <v>0</v>
      </c>
      <c r="Z320" s="32">
        <v>0</v>
      </c>
      <c r="AA320" s="32">
        <v>0</v>
      </c>
      <c r="AB320" s="32">
        <v>0</v>
      </c>
      <c r="AC320" s="32" t="s">
        <v>475</v>
      </c>
      <c r="AD320" s="32"/>
      <c r="AE320" s="32">
        <v>0</v>
      </c>
    </row>
    <row r="321" spans="1:31" x14ac:dyDescent="0.25">
      <c r="A321">
        <v>13567</v>
      </c>
      <c r="B321" t="s">
        <v>378</v>
      </c>
      <c r="C321" t="s">
        <v>379</v>
      </c>
      <c r="D321" s="35">
        <v>114260.6</v>
      </c>
      <c r="E321">
        <v>1246235060</v>
      </c>
      <c r="F321" s="328">
        <v>46143</v>
      </c>
      <c r="H321" t="s">
        <v>173</v>
      </c>
      <c r="I321" t="s">
        <v>174</v>
      </c>
      <c r="J321">
        <v>9183</v>
      </c>
      <c r="K321" s="328">
        <v>45904</v>
      </c>
      <c r="L321">
        <v>1010100</v>
      </c>
      <c r="M321" t="s">
        <v>35</v>
      </c>
      <c r="N321">
        <v>-31</v>
      </c>
      <c r="O321" s="32">
        <v>0</v>
      </c>
      <c r="P321" s="32">
        <v>0</v>
      </c>
      <c r="Q321" s="32">
        <v>114260.6</v>
      </c>
      <c r="R321" s="32">
        <v>0</v>
      </c>
      <c r="S321" s="32">
        <v>0</v>
      </c>
      <c r="T321" s="32">
        <v>0</v>
      </c>
      <c r="U321" s="32">
        <v>0</v>
      </c>
      <c r="V321" s="32">
        <v>0</v>
      </c>
      <c r="W321" s="32">
        <v>0</v>
      </c>
      <c r="X321" s="32">
        <v>0</v>
      </c>
      <c r="Y321" s="32">
        <v>0</v>
      </c>
      <c r="Z321" s="32">
        <v>0</v>
      </c>
      <c r="AA321" s="32">
        <v>0</v>
      </c>
      <c r="AB321" s="32">
        <v>0</v>
      </c>
      <c r="AC321" s="32" t="s">
        <v>475</v>
      </c>
      <c r="AD321" s="32"/>
      <c r="AE321" s="32">
        <v>0</v>
      </c>
    </row>
    <row r="322" spans="1:31" x14ac:dyDescent="0.25">
      <c r="A322">
        <v>14948</v>
      </c>
      <c r="B322" t="s">
        <v>380</v>
      </c>
      <c r="C322" t="s">
        <v>381</v>
      </c>
      <c r="D322" s="35">
        <v>184217.94</v>
      </c>
      <c r="E322">
        <v>1246221983</v>
      </c>
      <c r="F322" s="328">
        <v>46138</v>
      </c>
      <c r="H322" t="s">
        <v>173</v>
      </c>
      <c r="I322" t="s">
        <v>174</v>
      </c>
      <c r="J322">
        <v>8306</v>
      </c>
      <c r="K322" s="328">
        <v>45838</v>
      </c>
      <c r="L322">
        <v>1010100</v>
      </c>
      <c r="M322" t="s">
        <v>35</v>
      </c>
      <c r="N322">
        <v>-26</v>
      </c>
      <c r="O322" s="32">
        <v>0</v>
      </c>
      <c r="P322" s="32">
        <v>0</v>
      </c>
      <c r="Q322" s="32">
        <v>184217.94</v>
      </c>
      <c r="R322" s="32">
        <v>0</v>
      </c>
      <c r="S322" s="32">
        <v>0</v>
      </c>
      <c r="T322" s="32">
        <v>0</v>
      </c>
      <c r="U322" s="32">
        <v>0</v>
      </c>
      <c r="V322" s="32">
        <v>0</v>
      </c>
      <c r="W322" s="32">
        <v>0</v>
      </c>
      <c r="X322" s="32">
        <v>0</v>
      </c>
      <c r="Y322" s="32">
        <v>0</v>
      </c>
      <c r="Z322" s="32">
        <v>0</v>
      </c>
      <c r="AA322" s="32">
        <v>0</v>
      </c>
      <c r="AB322" s="32">
        <v>0</v>
      </c>
      <c r="AC322" s="32" t="s">
        <v>475</v>
      </c>
      <c r="AD322" s="32"/>
      <c r="AE322" s="32">
        <v>0</v>
      </c>
    </row>
    <row r="323" spans="1:31" x14ac:dyDescent="0.25">
      <c r="A323">
        <v>14948</v>
      </c>
      <c r="B323" t="s">
        <v>380</v>
      </c>
      <c r="C323" t="s">
        <v>381</v>
      </c>
      <c r="D323" s="35">
        <v>146464.34</v>
      </c>
      <c r="E323">
        <v>1246228211</v>
      </c>
      <c r="F323" s="328">
        <v>46135</v>
      </c>
      <c r="H323" t="s">
        <v>173</v>
      </c>
      <c r="I323" t="s">
        <v>174</v>
      </c>
      <c r="J323">
        <v>8692</v>
      </c>
      <c r="K323" s="328">
        <v>45869</v>
      </c>
      <c r="L323">
        <v>1010100</v>
      </c>
      <c r="M323" t="s">
        <v>35</v>
      </c>
      <c r="N323">
        <v>-23</v>
      </c>
      <c r="O323" s="32">
        <v>0</v>
      </c>
      <c r="P323" s="32">
        <v>0</v>
      </c>
      <c r="Q323" s="32">
        <v>146464.34</v>
      </c>
      <c r="R323" s="32">
        <v>0</v>
      </c>
      <c r="S323" s="32">
        <v>0</v>
      </c>
      <c r="T323" s="32">
        <v>0</v>
      </c>
      <c r="U323" s="32">
        <v>0</v>
      </c>
      <c r="V323" s="32">
        <v>0</v>
      </c>
      <c r="W323" s="32">
        <v>0</v>
      </c>
      <c r="X323" s="32">
        <v>0</v>
      </c>
      <c r="Y323" s="32">
        <v>0</v>
      </c>
      <c r="Z323" s="32">
        <v>0</v>
      </c>
      <c r="AA323" s="32">
        <v>0</v>
      </c>
      <c r="AB323" s="32">
        <v>0</v>
      </c>
      <c r="AC323" s="32" t="s">
        <v>475</v>
      </c>
      <c r="AD323" s="32"/>
      <c r="AE323" s="32">
        <v>0</v>
      </c>
    </row>
    <row r="324" spans="1:31" x14ac:dyDescent="0.25">
      <c r="A324">
        <v>14948</v>
      </c>
      <c r="B324" t="s">
        <v>380</v>
      </c>
      <c r="C324" t="s">
        <v>381</v>
      </c>
      <c r="D324" s="35">
        <v>235730.06</v>
      </c>
      <c r="E324">
        <v>1246228090</v>
      </c>
      <c r="F324" s="328">
        <v>46134</v>
      </c>
      <c r="H324" t="s">
        <v>173</v>
      </c>
      <c r="I324" t="s">
        <v>174</v>
      </c>
      <c r="J324">
        <v>8683</v>
      </c>
      <c r="K324" s="328">
        <v>45868</v>
      </c>
      <c r="L324">
        <v>1010100</v>
      </c>
      <c r="M324" t="s">
        <v>35</v>
      </c>
      <c r="N324">
        <v>-22</v>
      </c>
      <c r="O324" s="32">
        <v>0</v>
      </c>
      <c r="P324" s="32">
        <v>0</v>
      </c>
      <c r="Q324" s="32">
        <v>235730.06</v>
      </c>
      <c r="R324" s="32">
        <v>0</v>
      </c>
      <c r="S324" s="32">
        <v>0</v>
      </c>
      <c r="T324" s="32">
        <v>0</v>
      </c>
      <c r="U324" s="32">
        <v>0</v>
      </c>
      <c r="V324" s="32">
        <v>0</v>
      </c>
      <c r="W324" s="32">
        <v>0</v>
      </c>
      <c r="X324" s="32">
        <v>0</v>
      </c>
      <c r="Y324" s="32">
        <v>0</v>
      </c>
      <c r="Z324" s="32">
        <v>0</v>
      </c>
      <c r="AA324" s="32">
        <v>0</v>
      </c>
      <c r="AB324" s="32">
        <v>0</v>
      </c>
      <c r="AC324" s="32" t="s">
        <v>475</v>
      </c>
      <c r="AD324" s="32"/>
      <c r="AE324" s="32">
        <v>0</v>
      </c>
    </row>
    <row r="325" spans="1:31" x14ac:dyDescent="0.25">
      <c r="A325">
        <v>1891</v>
      </c>
      <c r="B325" t="s">
        <v>739</v>
      </c>
      <c r="C325" t="s">
        <v>740</v>
      </c>
      <c r="D325" s="35">
        <v>303.01</v>
      </c>
      <c r="E325">
        <v>1246250714</v>
      </c>
      <c r="F325" s="328">
        <v>46076</v>
      </c>
      <c r="I325" t="s">
        <v>373</v>
      </c>
      <c r="J325">
        <v>10109</v>
      </c>
      <c r="K325" s="328">
        <v>45986</v>
      </c>
      <c r="L325">
        <v>4011600</v>
      </c>
      <c r="M325" t="s">
        <v>702</v>
      </c>
      <c r="N325">
        <v>36</v>
      </c>
      <c r="O325" s="32">
        <v>0</v>
      </c>
      <c r="P325" s="32">
        <v>0</v>
      </c>
      <c r="Q325" s="32">
        <v>0</v>
      </c>
      <c r="R325" s="32">
        <v>303.01</v>
      </c>
      <c r="S325" s="32">
        <v>0</v>
      </c>
      <c r="T325" s="32">
        <v>0</v>
      </c>
      <c r="U325" s="32">
        <v>0</v>
      </c>
      <c r="V325" s="32">
        <v>0</v>
      </c>
      <c r="W325" s="32">
        <v>0</v>
      </c>
      <c r="X325" s="32">
        <v>0</v>
      </c>
      <c r="Y325" s="32">
        <v>0</v>
      </c>
      <c r="Z325" s="32">
        <v>0</v>
      </c>
      <c r="AA325" s="32">
        <v>0</v>
      </c>
      <c r="AB325" s="32">
        <v>0</v>
      </c>
      <c r="AC325" s="32" t="s">
        <v>475</v>
      </c>
      <c r="AD325" s="32"/>
      <c r="AE325" s="32">
        <v>0</v>
      </c>
    </row>
    <row r="326" spans="1:31" x14ac:dyDescent="0.25">
      <c r="A326">
        <v>9830</v>
      </c>
      <c r="B326" t="s">
        <v>877</v>
      </c>
      <c r="C326" t="s">
        <v>878</v>
      </c>
      <c r="D326" s="35">
        <v>331</v>
      </c>
      <c r="E326">
        <v>1246266366</v>
      </c>
      <c r="F326" s="328">
        <v>46115</v>
      </c>
      <c r="I326" t="s">
        <v>373</v>
      </c>
      <c r="J326">
        <v>10813</v>
      </c>
      <c r="K326" s="328">
        <v>46085</v>
      </c>
      <c r="L326">
        <v>4011600</v>
      </c>
      <c r="M326" t="s">
        <v>702</v>
      </c>
      <c r="N326">
        <v>-3</v>
      </c>
      <c r="O326" s="32">
        <v>0</v>
      </c>
      <c r="P326" s="32">
        <v>0</v>
      </c>
      <c r="Q326" s="32">
        <v>331</v>
      </c>
      <c r="R326" s="32">
        <v>0</v>
      </c>
      <c r="S326" s="32">
        <v>0</v>
      </c>
      <c r="T326" s="32">
        <v>0</v>
      </c>
      <c r="U326" s="32">
        <v>0</v>
      </c>
      <c r="V326" s="32">
        <v>0</v>
      </c>
      <c r="W326" s="32">
        <v>0</v>
      </c>
      <c r="X326" s="32">
        <v>0</v>
      </c>
      <c r="Y326" s="32">
        <v>0</v>
      </c>
      <c r="Z326" s="32">
        <v>0</v>
      </c>
      <c r="AA326" s="32">
        <v>0</v>
      </c>
      <c r="AB326" s="32">
        <v>0</v>
      </c>
      <c r="AC326" s="32" t="s">
        <v>475</v>
      </c>
      <c r="AD326" s="32"/>
      <c r="AE326" s="32">
        <v>0</v>
      </c>
    </row>
    <row r="327" spans="1:31" x14ac:dyDescent="0.25">
      <c r="A327">
        <v>9830</v>
      </c>
      <c r="B327" t="s">
        <v>877</v>
      </c>
      <c r="C327" t="s">
        <v>878</v>
      </c>
      <c r="D327" s="35">
        <v>331</v>
      </c>
      <c r="E327">
        <v>1246266367</v>
      </c>
      <c r="F327" s="328">
        <v>46145</v>
      </c>
      <c r="I327" t="s">
        <v>373</v>
      </c>
      <c r="J327">
        <v>10813</v>
      </c>
      <c r="K327" s="328">
        <v>46085</v>
      </c>
      <c r="L327">
        <v>4011600</v>
      </c>
      <c r="M327" t="s">
        <v>702</v>
      </c>
      <c r="N327">
        <v>-33</v>
      </c>
      <c r="O327" s="32">
        <v>0</v>
      </c>
      <c r="P327" s="32">
        <v>0</v>
      </c>
      <c r="Q327" s="32">
        <v>331</v>
      </c>
      <c r="R327" s="32">
        <v>0</v>
      </c>
      <c r="S327" s="32">
        <v>0</v>
      </c>
      <c r="T327" s="32">
        <v>0</v>
      </c>
      <c r="U327" s="32">
        <v>0</v>
      </c>
      <c r="V327" s="32">
        <v>0</v>
      </c>
      <c r="W327" s="32">
        <v>0</v>
      </c>
      <c r="X327" s="32">
        <v>0</v>
      </c>
      <c r="Y327" s="32">
        <v>0</v>
      </c>
      <c r="Z327" s="32">
        <v>0</v>
      </c>
      <c r="AA327" s="32">
        <v>0</v>
      </c>
      <c r="AB327" s="32">
        <v>0</v>
      </c>
      <c r="AC327" s="32" t="s">
        <v>475</v>
      </c>
      <c r="AD327" s="32"/>
      <c r="AE327" s="32">
        <v>0</v>
      </c>
    </row>
    <row r="328" spans="1:31" x14ac:dyDescent="0.25">
      <c r="A328">
        <v>9830</v>
      </c>
      <c r="B328" t="s">
        <v>877</v>
      </c>
      <c r="C328" t="s">
        <v>878</v>
      </c>
      <c r="D328" s="35">
        <v>331</v>
      </c>
      <c r="E328">
        <v>1246266368</v>
      </c>
      <c r="F328" s="328">
        <v>46175</v>
      </c>
      <c r="I328" t="s">
        <v>373</v>
      </c>
      <c r="J328">
        <v>10813</v>
      </c>
      <c r="K328" s="328">
        <v>46085</v>
      </c>
      <c r="L328">
        <v>4011600</v>
      </c>
      <c r="M328" t="s">
        <v>702</v>
      </c>
      <c r="N328">
        <v>-63</v>
      </c>
      <c r="O328" s="32">
        <v>0</v>
      </c>
      <c r="P328" s="32">
        <v>0</v>
      </c>
      <c r="Q328" s="32">
        <v>331</v>
      </c>
      <c r="R328" s="32">
        <v>0</v>
      </c>
      <c r="S328" s="32">
        <v>0</v>
      </c>
      <c r="T328" s="32">
        <v>0</v>
      </c>
      <c r="U328" s="32">
        <v>0</v>
      </c>
      <c r="V328" s="32">
        <v>0</v>
      </c>
      <c r="W328" s="32">
        <v>0</v>
      </c>
      <c r="X328" s="32">
        <v>0</v>
      </c>
      <c r="Y328" s="32">
        <v>0</v>
      </c>
      <c r="Z328" s="32">
        <v>0</v>
      </c>
      <c r="AA328" s="32">
        <v>0</v>
      </c>
      <c r="AB328" s="32">
        <v>0</v>
      </c>
      <c r="AC328" s="32" t="s">
        <v>475</v>
      </c>
      <c r="AD328" s="32"/>
      <c r="AE328" s="32">
        <v>0</v>
      </c>
    </row>
    <row r="329" spans="1:31" x14ac:dyDescent="0.25">
      <c r="A329">
        <v>11252</v>
      </c>
      <c r="B329" t="s">
        <v>879</v>
      </c>
      <c r="C329" t="s">
        <v>880</v>
      </c>
      <c r="D329" s="35">
        <v>1260</v>
      </c>
      <c r="E329">
        <v>1246266372</v>
      </c>
      <c r="F329" s="328">
        <v>46115</v>
      </c>
      <c r="I329" t="s">
        <v>373</v>
      </c>
      <c r="J329">
        <v>10814</v>
      </c>
      <c r="K329" s="328">
        <v>46085</v>
      </c>
      <c r="L329">
        <v>4011600</v>
      </c>
      <c r="M329" t="s">
        <v>702</v>
      </c>
      <c r="N329">
        <v>-3</v>
      </c>
      <c r="O329" s="32">
        <v>0</v>
      </c>
      <c r="P329" s="32">
        <v>0</v>
      </c>
      <c r="Q329" s="32">
        <v>1260</v>
      </c>
      <c r="R329" s="32">
        <v>0</v>
      </c>
      <c r="S329" s="32">
        <v>0</v>
      </c>
      <c r="T329" s="32">
        <v>0</v>
      </c>
      <c r="U329" s="32">
        <v>0</v>
      </c>
      <c r="V329" s="32">
        <v>0</v>
      </c>
      <c r="W329" s="32">
        <v>0</v>
      </c>
      <c r="X329" s="32">
        <v>0</v>
      </c>
      <c r="Y329" s="32">
        <v>0</v>
      </c>
      <c r="Z329" s="32">
        <v>0</v>
      </c>
      <c r="AA329" s="32">
        <v>0</v>
      </c>
      <c r="AB329" s="32">
        <v>0</v>
      </c>
      <c r="AC329" s="32" t="s">
        <v>475</v>
      </c>
      <c r="AD329" s="32"/>
      <c r="AE329" s="32">
        <v>0</v>
      </c>
    </row>
    <row r="330" spans="1:31" x14ac:dyDescent="0.25">
      <c r="A330">
        <v>13069</v>
      </c>
      <c r="B330" t="s">
        <v>537</v>
      </c>
      <c r="C330" t="s">
        <v>813</v>
      </c>
      <c r="D330" s="35">
        <v>100</v>
      </c>
      <c r="E330">
        <v>1246258365</v>
      </c>
      <c r="F330" s="328">
        <v>46118</v>
      </c>
      <c r="I330" t="s">
        <v>373</v>
      </c>
      <c r="J330">
        <v>10425</v>
      </c>
      <c r="K330" s="328">
        <v>46028</v>
      </c>
      <c r="L330">
        <v>4010300</v>
      </c>
      <c r="M330" t="s">
        <v>142</v>
      </c>
      <c r="N330">
        <v>-6</v>
      </c>
      <c r="O330" s="32">
        <v>0</v>
      </c>
      <c r="P330" s="32">
        <v>0</v>
      </c>
      <c r="Q330" s="32">
        <v>100</v>
      </c>
      <c r="R330" s="32">
        <v>0</v>
      </c>
      <c r="S330" s="32">
        <v>0</v>
      </c>
      <c r="T330" s="32">
        <v>0</v>
      </c>
      <c r="U330" s="32">
        <v>0</v>
      </c>
      <c r="V330" s="32">
        <v>0</v>
      </c>
      <c r="W330" s="32">
        <v>0</v>
      </c>
      <c r="X330" s="32">
        <v>0</v>
      </c>
      <c r="Y330" s="32">
        <v>0</v>
      </c>
      <c r="Z330" s="32">
        <v>0</v>
      </c>
      <c r="AA330" s="32">
        <v>0</v>
      </c>
      <c r="AB330" s="32">
        <v>0</v>
      </c>
      <c r="AC330" s="32" t="s">
        <v>475</v>
      </c>
      <c r="AD330" s="32"/>
      <c r="AE330" s="32">
        <v>0</v>
      </c>
    </row>
    <row r="331" spans="1:31" x14ac:dyDescent="0.25">
      <c r="A331">
        <v>13069</v>
      </c>
      <c r="B331" t="s">
        <v>537</v>
      </c>
      <c r="C331" t="s">
        <v>813</v>
      </c>
      <c r="D331" s="35">
        <v>100</v>
      </c>
      <c r="E331">
        <v>1246258366</v>
      </c>
      <c r="F331" s="328">
        <v>46118</v>
      </c>
      <c r="I331" t="s">
        <v>373</v>
      </c>
      <c r="J331">
        <v>10425</v>
      </c>
      <c r="K331" s="328">
        <v>46028</v>
      </c>
      <c r="L331">
        <v>4010300</v>
      </c>
      <c r="M331" t="s">
        <v>142</v>
      </c>
      <c r="N331">
        <v>-6</v>
      </c>
      <c r="O331" s="32">
        <v>0</v>
      </c>
      <c r="P331" s="32">
        <v>0</v>
      </c>
      <c r="Q331" s="32">
        <v>100</v>
      </c>
      <c r="R331" s="32">
        <v>0</v>
      </c>
      <c r="S331" s="32">
        <v>0</v>
      </c>
      <c r="T331" s="32">
        <v>0</v>
      </c>
      <c r="U331" s="32">
        <v>0</v>
      </c>
      <c r="V331" s="32">
        <v>0</v>
      </c>
      <c r="W331" s="32">
        <v>0</v>
      </c>
      <c r="X331" s="32">
        <v>0</v>
      </c>
      <c r="Y331" s="32">
        <v>0</v>
      </c>
      <c r="Z331" s="32">
        <v>0</v>
      </c>
      <c r="AA331" s="32">
        <v>0</v>
      </c>
      <c r="AB331" s="32">
        <v>0</v>
      </c>
      <c r="AC331" s="32" t="s">
        <v>475</v>
      </c>
      <c r="AD331" s="32"/>
      <c r="AE331" s="32">
        <v>0</v>
      </c>
    </row>
    <row r="332" spans="1:31" x14ac:dyDescent="0.25">
      <c r="A332">
        <v>14094</v>
      </c>
      <c r="B332" t="s">
        <v>265</v>
      </c>
      <c r="C332" t="s">
        <v>266</v>
      </c>
      <c r="D332" s="35">
        <v>100</v>
      </c>
      <c r="E332">
        <v>1246154530</v>
      </c>
      <c r="F332" s="328">
        <v>45474</v>
      </c>
      <c r="I332" t="s">
        <v>373</v>
      </c>
      <c r="J332">
        <v>4088</v>
      </c>
      <c r="K332" s="328">
        <v>45474</v>
      </c>
      <c r="L332">
        <v>4010300</v>
      </c>
      <c r="M332" t="s">
        <v>142</v>
      </c>
      <c r="N332">
        <v>638</v>
      </c>
      <c r="O332" s="32">
        <v>0</v>
      </c>
      <c r="P332" s="32">
        <v>100</v>
      </c>
      <c r="Q332" s="32">
        <v>0</v>
      </c>
      <c r="R332" s="32">
        <v>0</v>
      </c>
      <c r="S332" s="32">
        <v>0</v>
      </c>
      <c r="T332" s="32">
        <v>0</v>
      </c>
      <c r="U332" s="32">
        <v>100</v>
      </c>
      <c r="V332" s="32">
        <v>0</v>
      </c>
      <c r="W332" s="32">
        <v>3</v>
      </c>
      <c r="X332" s="32">
        <v>97</v>
      </c>
      <c r="Y332" s="32">
        <v>97</v>
      </c>
      <c r="Z332" s="32">
        <v>100</v>
      </c>
      <c r="AA332" s="32">
        <v>0</v>
      </c>
      <c r="AB332" s="32">
        <v>100</v>
      </c>
      <c r="AC332" s="32" t="s">
        <v>704</v>
      </c>
      <c r="AD332" s="32"/>
      <c r="AE332" s="32">
        <v>100</v>
      </c>
    </row>
    <row r="333" spans="1:31" x14ac:dyDescent="0.25">
      <c r="A333">
        <v>13873</v>
      </c>
      <c r="B333" t="s">
        <v>309</v>
      </c>
      <c r="C333" t="s">
        <v>310</v>
      </c>
      <c r="D333" s="35">
        <v>50</v>
      </c>
      <c r="E333">
        <v>1246166396</v>
      </c>
      <c r="F333" s="328">
        <v>45525</v>
      </c>
      <c r="I333" t="s">
        <v>373</v>
      </c>
      <c r="J333">
        <v>4854</v>
      </c>
      <c r="K333" s="328">
        <v>45525</v>
      </c>
      <c r="L333">
        <v>4010300</v>
      </c>
      <c r="M333" t="s">
        <v>142</v>
      </c>
      <c r="N333">
        <v>587</v>
      </c>
      <c r="O333" s="32">
        <v>0</v>
      </c>
      <c r="P333" s="32">
        <v>50</v>
      </c>
      <c r="Q333" s="32">
        <v>0</v>
      </c>
      <c r="R333" s="32">
        <v>0</v>
      </c>
      <c r="S333" s="32">
        <v>0</v>
      </c>
      <c r="T333" s="32">
        <v>0</v>
      </c>
      <c r="U333" s="32">
        <v>50</v>
      </c>
      <c r="V333" s="32">
        <v>0</v>
      </c>
      <c r="W333" s="32">
        <v>1.5</v>
      </c>
      <c r="X333" s="32">
        <v>48.5</v>
      </c>
      <c r="Y333" s="32">
        <v>48.5</v>
      </c>
      <c r="Z333" s="32">
        <v>50</v>
      </c>
      <c r="AA333" s="32">
        <v>0</v>
      </c>
      <c r="AB333" s="32">
        <v>50</v>
      </c>
      <c r="AC333" s="32" t="s">
        <v>704</v>
      </c>
      <c r="AD333" s="32"/>
      <c r="AE333" s="32">
        <v>50</v>
      </c>
    </row>
    <row r="334" spans="1:31" x14ac:dyDescent="0.25">
      <c r="A334">
        <v>14179</v>
      </c>
      <c r="B334" t="s">
        <v>815</v>
      </c>
      <c r="C334" t="s">
        <v>816</v>
      </c>
      <c r="D334" s="35">
        <v>385</v>
      </c>
      <c r="E334">
        <v>1246259221</v>
      </c>
      <c r="F334" s="328">
        <v>46125</v>
      </c>
      <c r="I334" t="s">
        <v>373</v>
      </c>
      <c r="J334">
        <v>10469</v>
      </c>
      <c r="K334" s="328">
        <v>46035</v>
      </c>
      <c r="L334">
        <v>4011600</v>
      </c>
      <c r="M334" t="s">
        <v>702</v>
      </c>
      <c r="N334">
        <v>-13</v>
      </c>
      <c r="O334" s="32">
        <v>0</v>
      </c>
      <c r="P334" s="32">
        <v>0</v>
      </c>
      <c r="Q334" s="32">
        <v>385</v>
      </c>
      <c r="R334" s="32">
        <v>0</v>
      </c>
      <c r="S334" s="32">
        <v>0</v>
      </c>
      <c r="T334" s="32">
        <v>0</v>
      </c>
      <c r="U334" s="32">
        <v>0</v>
      </c>
      <c r="V334" s="32">
        <v>0</v>
      </c>
      <c r="W334" s="32">
        <v>0</v>
      </c>
      <c r="X334" s="32">
        <v>0</v>
      </c>
      <c r="Y334" s="32">
        <v>0</v>
      </c>
      <c r="Z334" s="32">
        <v>0</v>
      </c>
      <c r="AA334" s="32">
        <v>0</v>
      </c>
      <c r="AB334" s="32">
        <v>0</v>
      </c>
      <c r="AC334" s="32" t="s">
        <v>475</v>
      </c>
      <c r="AD334" s="32"/>
      <c r="AE334" s="32">
        <v>0</v>
      </c>
    </row>
    <row r="335" spans="1:31" x14ac:dyDescent="0.25">
      <c r="A335">
        <v>14179</v>
      </c>
      <c r="B335" t="s">
        <v>815</v>
      </c>
      <c r="C335" t="s">
        <v>816</v>
      </c>
      <c r="D335" s="35">
        <v>199.16</v>
      </c>
      <c r="E335">
        <v>1246266352</v>
      </c>
      <c r="F335" s="328">
        <v>46112</v>
      </c>
      <c r="I335" t="s">
        <v>373</v>
      </c>
      <c r="J335">
        <v>10469</v>
      </c>
      <c r="K335" s="328">
        <v>46035</v>
      </c>
      <c r="L335">
        <v>4011600</v>
      </c>
      <c r="M335" t="s">
        <v>702</v>
      </c>
      <c r="N335">
        <v>0</v>
      </c>
      <c r="O335" s="32">
        <v>0</v>
      </c>
      <c r="P335" s="32">
        <v>0</v>
      </c>
      <c r="Q335" s="32">
        <v>199.16</v>
      </c>
      <c r="R335" s="32">
        <v>0</v>
      </c>
      <c r="S335" s="32">
        <v>0</v>
      </c>
      <c r="T335" s="32">
        <v>0</v>
      </c>
      <c r="U335" s="32">
        <v>0</v>
      </c>
      <c r="V335" s="32">
        <v>0</v>
      </c>
      <c r="W335" s="32">
        <v>0</v>
      </c>
      <c r="X335" s="32">
        <v>0</v>
      </c>
      <c r="Y335" s="32">
        <v>0</v>
      </c>
      <c r="Z335" s="32">
        <v>0</v>
      </c>
      <c r="AA335" s="32">
        <v>0</v>
      </c>
      <c r="AB335" s="32">
        <v>0</v>
      </c>
      <c r="AC335" s="32" t="s">
        <v>475</v>
      </c>
      <c r="AD335" s="32"/>
      <c r="AE335" s="32">
        <v>0</v>
      </c>
    </row>
    <row r="336" spans="1:31" x14ac:dyDescent="0.25">
      <c r="A336">
        <v>15759</v>
      </c>
      <c r="B336" t="s">
        <v>817</v>
      </c>
      <c r="C336" t="s">
        <v>818</v>
      </c>
      <c r="D336" s="35">
        <v>385</v>
      </c>
      <c r="E336">
        <v>1246259226</v>
      </c>
      <c r="F336" s="328">
        <v>46125</v>
      </c>
      <c r="I336" t="s">
        <v>373</v>
      </c>
      <c r="J336">
        <v>10470</v>
      </c>
      <c r="K336" s="328">
        <v>46035</v>
      </c>
      <c r="L336">
        <v>4011600</v>
      </c>
      <c r="M336" t="s">
        <v>702</v>
      </c>
      <c r="N336">
        <v>-13</v>
      </c>
      <c r="O336" s="32">
        <v>0</v>
      </c>
      <c r="P336" s="32">
        <v>0</v>
      </c>
      <c r="Q336" s="32">
        <v>385</v>
      </c>
      <c r="R336" s="32">
        <v>0</v>
      </c>
      <c r="S336" s="32">
        <v>0</v>
      </c>
      <c r="T336" s="32">
        <v>0</v>
      </c>
      <c r="U336" s="32">
        <v>0</v>
      </c>
      <c r="V336" s="32">
        <v>0</v>
      </c>
      <c r="W336" s="32">
        <v>0</v>
      </c>
      <c r="X336" s="32">
        <v>0</v>
      </c>
      <c r="Y336" s="32">
        <v>0</v>
      </c>
      <c r="Z336" s="32">
        <v>0</v>
      </c>
      <c r="AA336" s="32">
        <v>0</v>
      </c>
      <c r="AB336" s="32">
        <v>0</v>
      </c>
      <c r="AC336" s="32" t="s">
        <v>475</v>
      </c>
      <c r="AD336" s="32"/>
      <c r="AE336" s="32">
        <v>0</v>
      </c>
    </row>
    <row r="337" spans="1:31" x14ac:dyDescent="0.25">
      <c r="A337">
        <v>16032</v>
      </c>
      <c r="B337" t="s">
        <v>855</v>
      </c>
      <c r="C337" t="s">
        <v>856</v>
      </c>
      <c r="D337" s="35">
        <v>583.33000000000004</v>
      </c>
      <c r="E337">
        <v>1246264382</v>
      </c>
      <c r="F337" s="328">
        <v>46133</v>
      </c>
      <c r="I337" t="s">
        <v>373</v>
      </c>
      <c r="J337">
        <v>10732</v>
      </c>
      <c r="K337" s="328">
        <v>46073</v>
      </c>
      <c r="L337">
        <v>4011600</v>
      </c>
      <c r="M337" t="s">
        <v>702</v>
      </c>
      <c r="N337">
        <v>-21</v>
      </c>
      <c r="O337" s="32">
        <v>0</v>
      </c>
      <c r="P337" s="32">
        <v>0</v>
      </c>
      <c r="Q337" s="32">
        <v>583.33000000000004</v>
      </c>
      <c r="R337" s="32">
        <v>0</v>
      </c>
      <c r="S337" s="32">
        <v>0</v>
      </c>
      <c r="T337" s="32">
        <v>0</v>
      </c>
      <c r="U337" s="32">
        <v>0</v>
      </c>
      <c r="V337" s="32">
        <v>0</v>
      </c>
      <c r="W337" s="32">
        <v>0</v>
      </c>
      <c r="X337" s="32">
        <v>0</v>
      </c>
      <c r="Y337" s="32">
        <v>0</v>
      </c>
      <c r="Z337" s="32">
        <v>0</v>
      </c>
      <c r="AA337" s="32">
        <v>0</v>
      </c>
      <c r="AB337" s="32">
        <v>0</v>
      </c>
      <c r="AC337" s="32" t="s">
        <v>475</v>
      </c>
      <c r="AD337" s="32"/>
      <c r="AE337" s="32">
        <v>0</v>
      </c>
    </row>
    <row r="338" spans="1:31" x14ac:dyDescent="0.25">
      <c r="A338">
        <v>16032</v>
      </c>
      <c r="B338" t="s">
        <v>855</v>
      </c>
      <c r="C338" t="s">
        <v>856</v>
      </c>
      <c r="D338" s="35">
        <v>583.34</v>
      </c>
      <c r="E338">
        <v>1246264383</v>
      </c>
      <c r="F338" s="328">
        <v>46163</v>
      </c>
      <c r="I338" t="s">
        <v>373</v>
      </c>
      <c r="J338">
        <v>10732</v>
      </c>
      <c r="K338" s="328">
        <v>46073</v>
      </c>
      <c r="L338">
        <v>4011600</v>
      </c>
      <c r="M338" t="s">
        <v>702</v>
      </c>
      <c r="N338">
        <v>-51</v>
      </c>
      <c r="O338" s="32">
        <v>0</v>
      </c>
      <c r="P338" s="32">
        <v>0</v>
      </c>
      <c r="Q338" s="32">
        <v>583.34</v>
      </c>
      <c r="R338" s="32">
        <v>0</v>
      </c>
      <c r="S338" s="32">
        <v>0</v>
      </c>
      <c r="T338" s="32">
        <v>0</v>
      </c>
      <c r="U338" s="32">
        <v>0</v>
      </c>
      <c r="V338" s="32">
        <v>0</v>
      </c>
      <c r="W338" s="32">
        <v>0</v>
      </c>
      <c r="X338" s="32">
        <v>0</v>
      </c>
      <c r="Y338" s="32">
        <v>0</v>
      </c>
      <c r="Z338" s="32">
        <v>0</v>
      </c>
      <c r="AA338" s="32">
        <v>0</v>
      </c>
      <c r="AB338" s="32">
        <v>0</v>
      </c>
      <c r="AC338" s="32" t="s">
        <v>475</v>
      </c>
      <c r="AD338" s="32"/>
      <c r="AE338" s="32">
        <v>0</v>
      </c>
    </row>
    <row r="339" spans="1:31" x14ac:dyDescent="0.25">
      <c r="A339">
        <v>16802</v>
      </c>
      <c r="B339" t="s">
        <v>795</v>
      </c>
      <c r="C339" t="s">
        <v>796</v>
      </c>
      <c r="D339" s="35">
        <v>1750</v>
      </c>
      <c r="E339">
        <v>1246254799</v>
      </c>
      <c r="F339" s="328">
        <v>46099</v>
      </c>
      <c r="I339" t="s">
        <v>373</v>
      </c>
      <c r="J339">
        <v>10318</v>
      </c>
      <c r="K339" s="328">
        <v>46009</v>
      </c>
      <c r="L339">
        <v>4010300</v>
      </c>
      <c r="M339" t="s">
        <v>142</v>
      </c>
      <c r="N339">
        <v>13</v>
      </c>
      <c r="O339" s="32">
        <v>0</v>
      </c>
      <c r="P339" s="32">
        <v>0</v>
      </c>
      <c r="Q339" s="32">
        <v>0</v>
      </c>
      <c r="R339" s="32">
        <v>1750</v>
      </c>
      <c r="S339" s="32">
        <v>0</v>
      </c>
      <c r="T339" s="32">
        <v>0</v>
      </c>
      <c r="U339" s="32">
        <v>0</v>
      </c>
      <c r="V339" s="32">
        <v>0</v>
      </c>
      <c r="W339" s="32">
        <v>0</v>
      </c>
      <c r="X339" s="32">
        <v>0</v>
      </c>
      <c r="Y339" s="32">
        <v>0</v>
      </c>
      <c r="Z339" s="32">
        <v>0</v>
      </c>
      <c r="AA339" s="32">
        <v>0</v>
      </c>
      <c r="AB339" s="32">
        <v>0</v>
      </c>
      <c r="AC339" s="32" t="s">
        <v>475</v>
      </c>
      <c r="AD339" s="32"/>
      <c r="AE339" s="32">
        <v>0</v>
      </c>
    </row>
    <row r="340" spans="1:31" x14ac:dyDescent="0.25">
      <c r="A340">
        <v>14106</v>
      </c>
      <c r="B340" t="s">
        <v>383</v>
      </c>
      <c r="C340" t="s">
        <v>384</v>
      </c>
      <c r="D340" s="35">
        <v>300</v>
      </c>
      <c r="E340">
        <v>1246182736</v>
      </c>
      <c r="F340" s="328">
        <v>45625</v>
      </c>
      <c r="I340" t="s">
        <v>373</v>
      </c>
      <c r="J340">
        <v>6092</v>
      </c>
      <c r="K340" s="328">
        <v>45610</v>
      </c>
      <c r="L340">
        <v>1020400</v>
      </c>
      <c r="M340" t="s">
        <v>144</v>
      </c>
      <c r="N340">
        <v>487</v>
      </c>
      <c r="O340" s="32">
        <v>0</v>
      </c>
      <c r="P340" s="32">
        <v>300</v>
      </c>
      <c r="Q340" s="32">
        <v>0</v>
      </c>
      <c r="R340" s="32">
        <v>0</v>
      </c>
      <c r="S340" s="32">
        <v>0</v>
      </c>
      <c r="T340" s="32">
        <v>0</v>
      </c>
      <c r="U340" s="32">
        <v>300</v>
      </c>
      <c r="V340" s="32">
        <v>0</v>
      </c>
      <c r="W340" s="32">
        <v>9</v>
      </c>
      <c r="X340" s="32">
        <v>291</v>
      </c>
      <c r="Y340" s="32">
        <v>291</v>
      </c>
      <c r="Z340" s="32">
        <v>300</v>
      </c>
      <c r="AA340" s="32">
        <v>0</v>
      </c>
      <c r="AB340" s="32">
        <v>300</v>
      </c>
      <c r="AC340" s="32" t="s">
        <v>540</v>
      </c>
      <c r="AD340" s="32"/>
      <c r="AE340" s="32">
        <v>300</v>
      </c>
    </row>
    <row r="341" spans="1:31" x14ac:dyDescent="0.25">
      <c r="A341">
        <v>14552</v>
      </c>
      <c r="B341" t="s">
        <v>335</v>
      </c>
      <c r="C341" t="s">
        <v>336</v>
      </c>
      <c r="D341" s="35">
        <v>91336</v>
      </c>
      <c r="E341">
        <v>1246259067</v>
      </c>
      <c r="F341" s="328">
        <v>46141</v>
      </c>
      <c r="H341" t="s">
        <v>173</v>
      </c>
      <c r="I341" t="s">
        <v>174</v>
      </c>
      <c r="J341">
        <v>8636</v>
      </c>
      <c r="K341" s="328">
        <v>45866</v>
      </c>
      <c r="L341">
        <v>1010100</v>
      </c>
      <c r="M341" t="s">
        <v>35</v>
      </c>
      <c r="N341">
        <v>-29</v>
      </c>
      <c r="O341" s="32">
        <v>0</v>
      </c>
      <c r="P341" s="32">
        <v>0</v>
      </c>
      <c r="Q341" s="32">
        <v>91336</v>
      </c>
      <c r="R341" s="32">
        <v>0</v>
      </c>
      <c r="S341" s="32">
        <v>0</v>
      </c>
      <c r="T341" s="32">
        <v>0</v>
      </c>
      <c r="U341" s="32">
        <v>0</v>
      </c>
      <c r="V341" s="32">
        <v>0</v>
      </c>
      <c r="W341" s="32">
        <v>0</v>
      </c>
      <c r="X341" s="32">
        <v>0</v>
      </c>
      <c r="Y341" s="32">
        <v>0</v>
      </c>
      <c r="Z341" s="32">
        <v>0</v>
      </c>
      <c r="AA341" s="32">
        <v>0</v>
      </c>
      <c r="AB341" s="32">
        <v>0</v>
      </c>
      <c r="AC341" s="32" t="s">
        <v>475</v>
      </c>
      <c r="AD341" s="32"/>
      <c r="AE341" s="32">
        <v>0</v>
      </c>
    </row>
    <row r="342" spans="1:31" x14ac:dyDescent="0.25">
      <c r="A342">
        <v>14552</v>
      </c>
      <c r="B342" t="s">
        <v>335</v>
      </c>
      <c r="C342" t="s">
        <v>336</v>
      </c>
      <c r="D342" s="35">
        <v>85316</v>
      </c>
      <c r="E342">
        <v>1246259061</v>
      </c>
      <c r="F342" s="328">
        <v>46142</v>
      </c>
      <c r="H342" t="s">
        <v>173</v>
      </c>
      <c r="I342" t="s">
        <v>174</v>
      </c>
      <c r="J342">
        <v>8620</v>
      </c>
      <c r="K342" s="328">
        <v>45863</v>
      </c>
      <c r="L342">
        <v>1010100</v>
      </c>
      <c r="M342" t="s">
        <v>35</v>
      </c>
      <c r="N342">
        <v>-30</v>
      </c>
      <c r="O342" s="32">
        <v>0</v>
      </c>
      <c r="P342" s="32">
        <v>0</v>
      </c>
      <c r="Q342" s="32">
        <v>85316</v>
      </c>
      <c r="R342" s="32">
        <v>0</v>
      </c>
      <c r="S342" s="32">
        <v>0</v>
      </c>
      <c r="T342" s="32">
        <v>0</v>
      </c>
      <c r="U342" s="32">
        <v>0</v>
      </c>
      <c r="V342" s="32">
        <v>0</v>
      </c>
      <c r="W342" s="32">
        <v>0</v>
      </c>
      <c r="X342" s="32">
        <v>0</v>
      </c>
      <c r="Y342" s="32">
        <v>0</v>
      </c>
      <c r="Z342" s="32">
        <v>0</v>
      </c>
      <c r="AA342" s="32">
        <v>0</v>
      </c>
      <c r="AB342" s="32">
        <v>0</v>
      </c>
      <c r="AC342" s="32" t="s">
        <v>475</v>
      </c>
      <c r="AD342" s="32"/>
      <c r="AE342" s="32">
        <v>0</v>
      </c>
    </row>
    <row r="343" spans="1:31" x14ac:dyDescent="0.25">
      <c r="A343">
        <v>707</v>
      </c>
      <c r="B343" t="s">
        <v>53</v>
      </c>
      <c r="C343" t="s">
        <v>54</v>
      </c>
      <c r="D343" s="35">
        <v>40320</v>
      </c>
      <c r="E343">
        <v>1246146706</v>
      </c>
      <c r="F343" s="328">
        <v>45461</v>
      </c>
      <c r="H343" t="s">
        <v>28</v>
      </c>
      <c r="I343" t="s">
        <v>29</v>
      </c>
      <c r="J343">
        <v>3619</v>
      </c>
      <c r="K343" s="328">
        <v>45433</v>
      </c>
      <c r="L343">
        <v>1010100</v>
      </c>
      <c r="M343" t="s">
        <v>35</v>
      </c>
      <c r="N343">
        <v>651</v>
      </c>
      <c r="O343" s="32">
        <v>0</v>
      </c>
      <c r="P343" s="32">
        <v>40320</v>
      </c>
      <c r="Q343" s="32">
        <v>0</v>
      </c>
      <c r="R343" s="32">
        <v>0</v>
      </c>
      <c r="S343" s="32">
        <v>0</v>
      </c>
      <c r="T343" s="32">
        <v>0</v>
      </c>
      <c r="U343" s="32">
        <v>40320</v>
      </c>
      <c r="V343" s="32">
        <v>0</v>
      </c>
      <c r="W343" s="32">
        <v>1209.5999999999999</v>
      </c>
      <c r="X343" s="32">
        <v>39110.400000000001</v>
      </c>
      <c r="Y343" s="32">
        <v>39110.400000000001</v>
      </c>
      <c r="Z343" s="32">
        <v>40320</v>
      </c>
      <c r="AA343" s="32">
        <v>0</v>
      </c>
      <c r="AB343" s="32">
        <v>40320</v>
      </c>
      <c r="AC343" s="32" t="s">
        <v>541</v>
      </c>
      <c r="AD343" s="32"/>
      <c r="AE343" s="32">
        <v>40320</v>
      </c>
    </row>
    <row r="344" spans="1:31" x14ac:dyDescent="0.25">
      <c r="A344">
        <v>707</v>
      </c>
      <c r="B344" t="s">
        <v>53</v>
      </c>
      <c r="C344" t="s">
        <v>54</v>
      </c>
      <c r="D344" s="35">
        <v>14640</v>
      </c>
      <c r="E344">
        <v>1246145696</v>
      </c>
      <c r="F344" s="328">
        <v>45454</v>
      </c>
      <c r="H344" t="s">
        <v>28</v>
      </c>
      <c r="I344" t="s">
        <v>29</v>
      </c>
      <c r="J344">
        <v>3538</v>
      </c>
      <c r="K344" s="328">
        <v>45426</v>
      </c>
      <c r="L344">
        <v>1010100</v>
      </c>
      <c r="M344" t="s">
        <v>35</v>
      </c>
      <c r="N344">
        <v>658</v>
      </c>
      <c r="O344" s="32">
        <v>0</v>
      </c>
      <c r="P344" s="32">
        <v>14640</v>
      </c>
      <c r="Q344" s="32">
        <v>0</v>
      </c>
      <c r="R344" s="32">
        <v>0</v>
      </c>
      <c r="S344" s="32">
        <v>0</v>
      </c>
      <c r="T344" s="32">
        <v>0</v>
      </c>
      <c r="U344" s="32">
        <v>14640</v>
      </c>
      <c r="V344" s="32">
        <v>0</v>
      </c>
      <c r="W344" s="32">
        <v>439.2</v>
      </c>
      <c r="X344" s="32">
        <v>14200.8</v>
      </c>
      <c r="Y344" s="32">
        <v>14200.8</v>
      </c>
      <c r="Z344" s="32">
        <v>14640</v>
      </c>
      <c r="AA344" s="32">
        <v>0</v>
      </c>
      <c r="AB344" s="32">
        <v>14640</v>
      </c>
      <c r="AC344" s="32" t="s">
        <v>541</v>
      </c>
      <c r="AD344" s="32"/>
      <c r="AE344" s="32">
        <v>14640</v>
      </c>
    </row>
    <row r="345" spans="1:31" x14ac:dyDescent="0.25">
      <c r="A345">
        <v>707</v>
      </c>
      <c r="B345" t="s">
        <v>53</v>
      </c>
      <c r="C345" t="s">
        <v>54</v>
      </c>
      <c r="D345" s="35">
        <v>43920</v>
      </c>
      <c r="E345">
        <v>1246148035</v>
      </c>
      <c r="F345" s="328">
        <v>45469</v>
      </c>
      <c r="H345" t="s">
        <v>28</v>
      </c>
      <c r="I345" t="s">
        <v>29</v>
      </c>
      <c r="J345">
        <v>3722</v>
      </c>
      <c r="K345" s="328">
        <v>45441</v>
      </c>
      <c r="L345">
        <v>1010100</v>
      </c>
      <c r="M345" t="s">
        <v>35</v>
      </c>
      <c r="N345">
        <v>643</v>
      </c>
      <c r="O345" s="32">
        <v>0</v>
      </c>
      <c r="P345" s="32">
        <v>43920</v>
      </c>
      <c r="Q345" s="32">
        <v>0</v>
      </c>
      <c r="R345" s="32">
        <v>0</v>
      </c>
      <c r="S345" s="32">
        <v>0</v>
      </c>
      <c r="T345" s="32">
        <v>0</v>
      </c>
      <c r="U345" s="32">
        <v>43920</v>
      </c>
      <c r="V345" s="32">
        <v>0</v>
      </c>
      <c r="W345" s="32">
        <v>1317.6</v>
      </c>
      <c r="X345" s="32">
        <v>42602.400000000001</v>
      </c>
      <c r="Y345" s="32">
        <v>42602.400000000001</v>
      </c>
      <c r="Z345" s="32">
        <v>43920</v>
      </c>
      <c r="AA345" s="32">
        <v>0</v>
      </c>
      <c r="AB345" s="32">
        <v>43920</v>
      </c>
      <c r="AC345" s="32" t="s">
        <v>541</v>
      </c>
      <c r="AD345" s="32"/>
      <c r="AE345" s="32">
        <v>43920</v>
      </c>
    </row>
    <row r="346" spans="1:31" x14ac:dyDescent="0.25">
      <c r="A346">
        <v>707</v>
      </c>
      <c r="B346" t="s">
        <v>53</v>
      </c>
      <c r="C346" t="s">
        <v>54</v>
      </c>
      <c r="D346" s="35">
        <v>36600</v>
      </c>
      <c r="E346">
        <v>1246146938</v>
      </c>
      <c r="F346" s="328">
        <v>45462</v>
      </c>
      <c r="H346" t="s">
        <v>28</v>
      </c>
      <c r="I346" t="s">
        <v>29</v>
      </c>
      <c r="J346">
        <v>3637</v>
      </c>
      <c r="K346" s="328">
        <v>45434</v>
      </c>
      <c r="L346">
        <v>1010100</v>
      </c>
      <c r="M346" t="s">
        <v>35</v>
      </c>
      <c r="N346">
        <v>650</v>
      </c>
      <c r="O346" s="32">
        <v>0</v>
      </c>
      <c r="P346" s="32">
        <v>36600</v>
      </c>
      <c r="Q346" s="32">
        <v>0</v>
      </c>
      <c r="R346" s="32">
        <v>0</v>
      </c>
      <c r="S346" s="32">
        <v>0</v>
      </c>
      <c r="T346" s="32">
        <v>0</v>
      </c>
      <c r="U346" s="32">
        <v>36600</v>
      </c>
      <c r="V346" s="32">
        <v>0</v>
      </c>
      <c r="W346" s="32">
        <v>1098</v>
      </c>
      <c r="X346" s="32">
        <v>35502</v>
      </c>
      <c r="Y346" s="32">
        <v>35502</v>
      </c>
      <c r="Z346" s="32">
        <v>36600</v>
      </c>
      <c r="AA346" s="32">
        <v>0</v>
      </c>
      <c r="AB346" s="32">
        <v>36600</v>
      </c>
      <c r="AC346" s="32" t="s">
        <v>541</v>
      </c>
      <c r="AD346" s="32"/>
      <c r="AE346" s="32">
        <v>36600</v>
      </c>
    </row>
    <row r="347" spans="1:31" x14ac:dyDescent="0.25">
      <c r="A347">
        <v>707</v>
      </c>
      <c r="B347" t="s">
        <v>53</v>
      </c>
      <c r="C347" t="s">
        <v>54</v>
      </c>
      <c r="D347" s="35">
        <v>33600</v>
      </c>
      <c r="E347">
        <v>1246148036</v>
      </c>
      <c r="F347" s="328">
        <v>45469</v>
      </c>
      <c r="H347" t="s">
        <v>28</v>
      </c>
      <c r="I347" t="s">
        <v>29</v>
      </c>
      <c r="J347">
        <v>3723</v>
      </c>
      <c r="K347" s="328">
        <v>45441</v>
      </c>
      <c r="L347">
        <v>1010100</v>
      </c>
      <c r="M347" t="s">
        <v>35</v>
      </c>
      <c r="N347">
        <v>643</v>
      </c>
      <c r="O347" s="32">
        <v>0</v>
      </c>
      <c r="P347" s="32">
        <v>33600</v>
      </c>
      <c r="Q347" s="32">
        <v>0</v>
      </c>
      <c r="R347" s="32">
        <v>0</v>
      </c>
      <c r="S347" s="32">
        <v>0</v>
      </c>
      <c r="T347" s="32">
        <v>0</v>
      </c>
      <c r="U347" s="32">
        <v>33600</v>
      </c>
      <c r="V347" s="32">
        <v>0</v>
      </c>
      <c r="W347" s="32">
        <v>1008</v>
      </c>
      <c r="X347" s="32">
        <v>32592</v>
      </c>
      <c r="Y347" s="32">
        <v>32592</v>
      </c>
      <c r="Z347" s="32">
        <v>33600</v>
      </c>
      <c r="AA347" s="32">
        <v>0</v>
      </c>
      <c r="AB347" s="32">
        <v>33600</v>
      </c>
      <c r="AC347" s="32" t="s">
        <v>541</v>
      </c>
      <c r="AD347" s="32"/>
      <c r="AE347" s="32">
        <v>33600</v>
      </c>
    </row>
    <row r="348" spans="1:31" x14ac:dyDescent="0.25">
      <c r="A348">
        <v>707</v>
      </c>
      <c r="B348" t="s">
        <v>53</v>
      </c>
      <c r="C348" t="s">
        <v>54</v>
      </c>
      <c r="D348" s="35">
        <v>16800</v>
      </c>
      <c r="E348">
        <v>1246141445</v>
      </c>
      <c r="F348" s="328">
        <v>45433</v>
      </c>
      <c r="H348" t="s">
        <v>28</v>
      </c>
      <c r="I348" t="s">
        <v>29</v>
      </c>
      <c r="J348">
        <v>3345</v>
      </c>
      <c r="K348" s="328">
        <v>45405</v>
      </c>
      <c r="L348">
        <v>1010100</v>
      </c>
      <c r="M348" t="s">
        <v>35</v>
      </c>
      <c r="N348">
        <v>679</v>
      </c>
      <c r="O348" s="32">
        <v>0</v>
      </c>
      <c r="P348" s="32">
        <v>16800</v>
      </c>
      <c r="Q348" s="32">
        <v>0</v>
      </c>
      <c r="R348" s="32">
        <v>0</v>
      </c>
      <c r="S348" s="32">
        <v>0</v>
      </c>
      <c r="T348" s="32">
        <v>0</v>
      </c>
      <c r="U348" s="32">
        <v>16800</v>
      </c>
      <c r="V348" s="32">
        <v>0</v>
      </c>
      <c r="W348" s="32">
        <v>504</v>
      </c>
      <c r="X348" s="32">
        <v>16296</v>
      </c>
      <c r="Y348" s="32">
        <v>16296</v>
      </c>
      <c r="Z348" s="32">
        <v>16800</v>
      </c>
      <c r="AA348" s="32">
        <v>0</v>
      </c>
      <c r="AB348" s="32">
        <v>16800</v>
      </c>
      <c r="AC348" s="32" t="s">
        <v>541</v>
      </c>
      <c r="AD348" s="32"/>
      <c r="AE348" s="32">
        <v>16800</v>
      </c>
    </row>
    <row r="349" spans="1:31" x14ac:dyDescent="0.25">
      <c r="A349">
        <v>707</v>
      </c>
      <c r="B349" t="s">
        <v>53</v>
      </c>
      <c r="C349" t="s">
        <v>54</v>
      </c>
      <c r="D349" s="35">
        <v>40353.599999999999</v>
      </c>
      <c r="E349">
        <v>1246143397</v>
      </c>
      <c r="F349" s="328">
        <v>45443</v>
      </c>
      <c r="H349" t="s">
        <v>28</v>
      </c>
      <c r="I349" t="s">
        <v>29</v>
      </c>
      <c r="J349">
        <v>3448</v>
      </c>
      <c r="K349" s="328">
        <v>45415</v>
      </c>
      <c r="L349">
        <v>1010100</v>
      </c>
      <c r="M349" t="s">
        <v>35</v>
      </c>
      <c r="N349">
        <v>669</v>
      </c>
      <c r="O349" s="32">
        <v>0</v>
      </c>
      <c r="P349" s="32">
        <v>40353.599999999999</v>
      </c>
      <c r="Q349" s="32">
        <v>0</v>
      </c>
      <c r="R349" s="32">
        <v>0</v>
      </c>
      <c r="S349" s="32">
        <v>0</v>
      </c>
      <c r="T349" s="32">
        <v>0</v>
      </c>
      <c r="U349" s="32">
        <v>40353.599999999999</v>
      </c>
      <c r="V349" s="32">
        <v>0</v>
      </c>
      <c r="W349" s="32">
        <v>1210.6079999999999</v>
      </c>
      <c r="X349" s="32">
        <v>39142.991999999998</v>
      </c>
      <c r="Y349" s="32">
        <v>39142.991999999998</v>
      </c>
      <c r="Z349" s="32">
        <v>40353.599999999999</v>
      </c>
      <c r="AA349" s="32">
        <v>0</v>
      </c>
      <c r="AB349" s="32">
        <v>40353.599999999999</v>
      </c>
      <c r="AC349" s="32" t="s">
        <v>541</v>
      </c>
      <c r="AD349" s="32"/>
      <c r="AE349" s="32">
        <v>40353.599999999999</v>
      </c>
    </row>
    <row r="350" spans="1:31" x14ac:dyDescent="0.25">
      <c r="A350">
        <v>139</v>
      </c>
      <c r="B350" t="s">
        <v>40</v>
      </c>
      <c r="C350" t="s">
        <v>748</v>
      </c>
      <c r="D350" s="35">
        <v>391080</v>
      </c>
      <c r="E350">
        <v>1246268022</v>
      </c>
      <c r="F350" s="328">
        <v>46126</v>
      </c>
      <c r="H350" t="s">
        <v>28</v>
      </c>
      <c r="I350" t="s">
        <v>29</v>
      </c>
      <c r="J350">
        <v>2819</v>
      </c>
      <c r="K350" s="328">
        <v>46098</v>
      </c>
      <c r="L350">
        <v>1010100</v>
      </c>
      <c r="M350" t="s">
        <v>35</v>
      </c>
      <c r="N350">
        <v>-14</v>
      </c>
      <c r="O350" s="32">
        <v>0</v>
      </c>
      <c r="P350" s="32">
        <v>0</v>
      </c>
      <c r="Q350" s="32">
        <v>391080</v>
      </c>
      <c r="R350" s="32">
        <v>0</v>
      </c>
      <c r="S350" s="32">
        <v>0</v>
      </c>
      <c r="T350" s="32">
        <v>0</v>
      </c>
      <c r="U350" s="32">
        <v>0</v>
      </c>
      <c r="V350" s="32">
        <v>0</v>
      </c>
      <c r="W350" s="32">
        <v>0</v>
      </c>
      <c r="X350" s="32">
        <v>0</v>
      </c>
      <c r="Y350" s="32">
        <v>0</v>
      </c>
      <c r="Z350" s="32">
        <v>0</v>
      </c>
      <c r="AA350" s="32">
        <v>0</v>
      </c>
      <c r="AB350" s="32">
        <v>0</v>
      </c>
      <c r="AC350" s="32" t="s">
        <v>475</v>
      </c>
      <c r="AD350" s="32"/>
      <c r="AE350" s="32">
        <v>0</v>
      </c>
    </row>
    <row r="351" spans="1:31" x14ac:dyDescent="0.25">
      <c r="A351">
        <v>1462</v>
      </c>
      <c r="B351" t="s">
        <v>65</v>
      </c>
      <c r="C351" t="s">
        <v>66</v>
      </c>
      <c r="D351" s="35">
        <v>37608.400000000001</v>
      </c>
      <c r="E351">
        <v>1246266894</v>
      </c>
      <c r="F351" s="328">
        <v>46147</v>
      </c>
      <c r="H351" t="s">
        <v>28</v>
      </c>
      <c r="I351" t="s">
        <v>29</v>
      </c>
      <c r="J351">
        <v>10834</v>
      </c>
      <c r="K351" s="328">
        <v>46087</v>
      </c>
      <c r="L351">
        <v>1010100</v>
      </c>
      <c r="M351" t="s">
        <v>35</v>
      </c>
      <c r="N351">
        <v>-35</v>
      </c>
      <c r="O351" s="32">
        <v>0</v>
      </c>
      <c r="P351" s="32">
        <v>0</v>
      </c>
      <c r="Q351" s="32">
        <v>37608.400000000001</v>
      </c>
      <c r="R351" s="32">
        <v>0</v>
      </c>
      <c r="S351" s="32">
        <v>0</v>
      </c>
      <c r="T351" s="32">
        <v>0</v>
      </c>
      <c r="U351" s="32">
        <v>0</v>
      </c>
      <c r="V351" s="32">
        <v>0</v>
      </c>
      <c r="W351" s="32">
        <v>0</v>
      </c>
      <c r="X351" s="32">
        <v>0</v>
      </c>
      <c r="Y351" s="32">
        <v>0</v>
      </c>
      <c r="Z351" s="32">
        <v>0</v>
      </c>
      <c r="AA351" s="32">
        <v>0</v>
      </c>
      <c r="AB351" s="32">
        <v>0</v>
      </c>
      <c r="AC351" s="32" t="s">
        <v>475</v>
      </c>
      <c r="AD351" s="32"/>
      <c r="AE351" s="32">
        <v>0</v>
      </c>
    </row>
    <row r="352" spans="1:31" x14ac:dyDescent="0.25">
      <c r="A352">
        <v>1462</v>
      </c>
      <c r="B352" t="s">
        <v>65</v>
      </c>
      <c r="C352" t="s">
        <v>66</v>
      </c>
      <c r="D352" s="35">
        <v>37608.400000000001</v>
      </c>
      <c r="E352">
        <v>1246266895</v>
      </c>
      <c r="F352" s="328">
        <v>46157</v>
      </c>
      <c r="H352" t="s">
        <v>28</v>
      </c>
      <c r="I352" t="s">
        <v>29</v>
      </c>
      <c r="J352">
        <v>10834</v>
      </c>
      <c r="K352" s="328">
        <v>46087</v>
      </c>
      <c r="L352">
        <v>1010100</v>
      </c>
      <c r="M352" t="s">
        <v>35</v>
      </c>
      <c r="N352">
        <v>-45</v>
      </c>
      <c r="O352" s="32">
        <v>0</v>
      </c>
      <c r="P352" s="32">
        <v>0</v>
      </c>
      <c r="Q352" s="32">
        <v>37608.400000000001</v>
      </c>
      <c r="R352" s="32">
        <v>0</v>
      </c>
      <c r="S352" s="32">
        <v>0</v>
      </c>
      <c r="T352" s="32">
        <v>0</v>
      </c>
      <c r="U352" s="32">
        <v>0</v>
      </c>
      <c r="V352" s="32">
        <v>0</v>
      </c>
      <c r="W352" s="32">
        <v>0</v>
      </c>
      <c r="X352" s="32">
        <v>0</v>
      </c>
      <c r="Y352" s="32">
        <v>0</v>
      </c>
      <c r="Z352" s="32">
        <v>0</v>
      </c>
      <c r="AA352" s="32">
        <v>0</v>
      </c>
      <c r="AB352" s="32">
        <v>0</v>
      </c>
      <c r="AC352" s="32" t="s">
        <v>475</v>
      </c>
      <c r="AD352" s="32"/>
      <c r="AE352" s="32">
        <v>0</v>
      </c>
    </row>
    <row r="353" spans="1:31" x14ac:dyDescent="0.25">
      <c r="A353">
        <v>1462</v>
      </c>
      <c r="B353" t="s">
        <v>65</v>
      </c>
      <c r="C353" t="s">
        <v>66</v>
      </c>
      <c r="D353" s="35">
        <v>37491.5</v>
      </c>
      <c r="E353">
        <v>1246262008</v>
      </c>
      <c r="F353" s="328">
        <v>46115</v>
      </c>
      <c r="H353" t="s">
        <v>28</v>
      </c>
      <c r="I353" t="s">
        <v>29</v>
      </c>
      <c r="J353">
        <v>10624</v>
      </c>
      <c r="K353" s="328">
        <v>46055</v>
      </c>
      <c r="L353">
        <v>1010100</v>
      </c>
      <c r="M353" t="s">
        <v>35</v>
      </c>
      <c r="N353">
        <v>-3</v>
      </c>
      <c r="O353" s="32">
        <v>0</v>
      </c>
      <c r="P353" s="32">
        <v>0</v>
      </c>
      <c r="Q353" s="32">
        <v>37491.5</v>
      </c>
      <c r="R353" s="32">
        <v>0</v>
      </c>
      <c r="S353" s="32">
        <v>0</v>
      </c>
      <c r="T353" s="32">
        <v>0</v>
      </c>
      <c r="U353" s="32">
        <v>0</v>
      </c>
      <c r="V353" s="32">
        <v>0</v>
      </c>
      <c r="W353" s="32">
        <v>0</v>
      </c>
      <c r="X353" s="32">
        <v>0</v>
      </c>
      <c r="Y353" s="32">
        <v>0</v>
      </c>
      <c r="Z353" s="32">
        <v>0</v>
      </c>
      <c r="AA353" s="32">
        <v>0</v>
      </c>
      <c r="AB353" s="32">
        <v>0</v>
      </c>
      <c r="AC353" s="32" t="s">
        <v>475</v>
      </c>
      <c r="AD353" s="32"/>
      <c r="AE353" s="32">
        <v>0</v>
      </c>
    </row>
    <row r="354" spans="1:31" x14ac:dyDescent="0.25">
      <c r="A354">
        <v>1462</v>
      </c>
      <c r="B354" t="s">
        <v>65</v>
      </c>
      <c r="C354" t="s">
        <v>66</v>
      </c>
      <c r="D354" s="35">
        <v>37491.5</v>
      </c>
      <c r="E354">
        <v>1246262009</v>
      </c>
      <c r="F354" s="328">
        <v>46125</v>
      </c>
      <c r="H354" t="s">
        <v>28</v>
      </c>
      <c r="I354" t="s">
        <v>29</v>
      </c>
      <c r="J354">
        <v>10624</v>
      </c>
      <c r="K354" s="328">
        <v>46055</v>
      </c>
      <c r="L354">
        <v>1010100</v>
      </c>
      <c r="M354" t="s">
        <v>35</v>
      </c>
      <c r="N354">
        <v>-13</v>
      </c>
      <c r="O354" s="32">
        <v>0</v>
      </c>
      <c r="P354" s="32">
        <v>0</v>
      </c>
      <c r="Q354" s="32">
        <v>37491.5</v>
      </c>
      <c r="R354" s="32">
        <v>0</v>
      </c>
      <c r="S354" s="32">
        <v>0</v>
      </c>
      <c r="T354" s="32">
        <v>0</v>
      </c>
      <c r="U354" s="32">
        <v>0</v>
      </c>
      <c r="V354" s="32">
        <v>0</v>
      </c>
      <c r="W354" s="32">
        <v>0</v>
      </c>
      <c r="X354" s="32">
        <v>0</v>
      </c>
      <c r="Y354" s="32">
        <v>0</v>
      </c>
      <c r="Z354" s="32">
        <v>0</v>
      </c>
      <c r="AA354" s="32">
        <v>0</v>
      </c>
      <c r="AB354" s="32">
        <v>0</v>
      </c>
      <c r="AC354" s="32" t="s">
        <v>475</v>
      </c>
      <c r="AD354" s="32"/>
      <c r="AE354" s="32">
        <v>0</v>
      </c>
    </row>
    <row r="355" spans="1:31" x14ac:dyDescent="0.25">
      <c r="A355">
        <v>2011</v>
      </c>
      <c r="B355" t="s">
        <v>726</v>
      </c>
      <c r="C355" t="s">
        <v>549</v>
      </c>
      <c r="D355" s="35">
        <v>80919</v>
      </c>
      <c r="E355">
        <v>1246267143</v>
      </c>
      <c r="F355" s="328">
        <v>46119</v>
      </c>
      <c r="H355" t="s">
        <v>28</v>
      </c>
      <c r="I355" t="s">
        <v>29</v>
      </c>
      <c r="J355">
        <v>10852</v>
      </c>
      <c r="K355" s="328">
        <v>46091</v>
      </c>
      <c r="L355">
        <v>1010100</v>
      </c>
      <c r="M355" t="s">
        <v>35</v>
      </c>
      <c r="N355">
        <v>-7</v>
      </c>
      <c r="O355" s="32">
        <v>0</v>
      </c>
      <c r="P355" s="32">
        <v>0</v>
      </c>
      <c r="Q355" s="32">
        <v>80919</v>
      </c>
      <c r="R355" s="32">
        <v>0</v>
      </c>
      <c r="S355" s="32">
        <v>0</v>
      </c>
      <c r="T355" s="32">
        <v>0</v>
      </c>
      <c r="U355" s="32">
        <v>0</v>
      </c>
      <c r="V355" s="32">
        <v>0</v>
      </c>
      <c r="W355" s="32">
        <v>0</v>
      </c>
      <c r="X355" s="32">
        <v>0</v>
      </c>
      <c r="Y355" s="32">
        <v>0</v>
      </c>
      <c r="Z355" s="32">
        <v>0</v>
      </c>
      <c r="AA355" s="32">
        <v>0</v>
      </c>
      <c r="AB355" s="32">
        <v>0</v>
      </c>
      <c r="AC355" s="32" t="s">
        <v>475</v>
      </c>
      <c r="AD355" s="32"/>
      <c r="AE355" s="32">
        <v>0</v>
      </c>
    </row>
    <row r="356" spans="1:31" x14ac:dyDescent="0.25">
      <c r="A356">
        <v>2011</v>
      </c>
      <c r="B356" t="s">
        <v>726</v>
      </c>
      <c r="C356" t="s">
        <v>549</v>
      </c>
      <c r="D356" s="35">
        <v>80460</v>
      </c>
      <c r="E356">
        <v>1246268490</v>
      </c>
      <c r="F356" s="328">
        <v>46129</v>
      </c>
      <c r="H356" t="s">
        <v>28</v>
      </c>
      <c r="I356" t="s">
        <v>29</v>
      </c>
      <c r="J356">
        <v>10940</v>
      </c>
      <c r="K356" s="328">
        <v>46101</v>
      </c>
      <c r="L356">
        <v>1010100</v>
      </c>
      <c r="M356" t="s">
        <v>35</v>
      </c>
      <c r="N356">
        <v>-17</v>
      </c>
      <c r="O356" s="32">
        <v>0</v>
      </c>
      <c r="P356" s="32">
        <v>0</v>
      </c>
      <c r="Q356" s="32">
        <v>80460</v>
      </c>
      <c r="R356" s="32">
        <v>0</v>
      </c>
      <c r="S356" s="32">
        <v>0</v>
      </c>
      <c r="T356" s="32">
        <v>0</v>
      </c>
      <c r="U356" s="32">
        <v>0</v>
      </c>
      <c r="V356" s="32">
        <v>0</v>
      </c>
      <c r="W356" s="32">
        <v>0</v>
      </c>
      <c r="X356" s="32">
        <v>0</v>
      </c>
      <c r="Y356" s="32">
        <v>0</v>
      </c>
      <c r="Z356" s="32">
        <v>0</v>
      </c>
      <c r="AA356" s="32">
        <v>0</v>
      </c>
      <c r="AB356" s="32">
        <v>0</v>
      </c>
      <c r="AC356" s="32" t="s">
        <v>475</v>
      </c>
      <c r="AD356" s="32"/>
      <c r="AE356" s="32">
        <v>0</v>
      </c>
    </row>
    <row r="357" spans="1:31" x14ac:dyDescent="0.25">
      <c r="A357">
        <v>505</v>
      </c>
      <c r="B357" t="s">
        <v>50</v>
      </c>
      <c r="C357" t="s">
        <v>814</v>
      </c>
      <c r="D357" s="35">
        <v>42240</v>
      </c>
      <c r="E357">
        <v>1246268415</v>
      </c>
      <c r="F357" s="328">
        <v>46128</v>
      </c>
      <c r="H357" t="s">
        <v>28</v>
      </c>
      <c r="I357" t="s">
        <v>29</v>
      </c>
      <c r="J357">
        <v>10930</v>
      </c>
      <c r="K357" s="328">
        <v>46100</v>
      </c>
      <c r="L357">
        <v>1010100</v>
      </c>
      <c r="M357" t="s">
        <v>35</v>
      </c>
      <c r="N357">
        <v>-16</v>
      </c>
      <c r="O357" s="32">
        <v>0</v>
      </c>
      <c r="P357" s="32">
        <v>0</v>
      </c>
      <c r="Q357" s="32">
        <v>42240</v>
      </c>
      <c r="R357" s="32">
        <v>0</v>
      </c>
      <c r="S357" s="32">
        <v>0</v>
      </c>
      <c r="T357" s="32">
        <v>0</v>
      </c>
      <c r="U357" s="32">
        <v>0</v>
      </c>
      <c r="V357" s="32">
        <v>0</v>
      </c>
      <c r="W357" s="32">
        <v>0</v>
      </c>
      <c r="X357" s="32">
        <v>0</v>
      </c>
      <c r="Y357" s="32">
        <v>0</v>
      </c>
      <c r="Z357" s="32">
        <v>0</v>
      </c>
      <c r="AA357" s="32">
        <v>0</v>
      </c>
      <c r="AB357" s="32">
        <v>0</v>
      </c>
      <c r="AC357" s="32" t="s">
        <v>475</v>
      </c>
      <c r="AD357" s="32"/>
      <c r="AE357" s="32">
        <v>0</v>
      </c>
    </row>
    <row r="358" spans="1:31" x14ac:dyDescent="0.25">
      <c r="A358">
        <v>3142</v>
      </c>
      <c r="B358" t="s">
        <v>89</v>
      </c>
      <c r="C358" t="s">
        <v>881</v>
      </c>
      <c r="D358" s="35">
        <v>83198.7</v>
      </c>
      <c r="E358">
        <v>1246266915</v>
      </c>
      <c r="F358" s="328">
        <v>46115</v>
      </c>
      <c r="H358" t="s">
        <v>28</v>
      </c>
      <c r="I358" t="s">
        <v>29</v>
      </c>
      <c r="J358">
        <v>10836</v>
      </c>
      <c r="K358" s="328">
        <v>46087</v>
      </c>
      <c r="L358">
        <v>1010100</v>
      </c>
      <c r="M358" t="s">
        <v>35</v>
      </c>
      <c r="N358">
        <v>-3</v>
      </c>
      <c r="O358" s="32">
        <v>0</v>
      </c>
      <c r="P358" s="32">
        <v>0</v>
      </c>
      <c r="Q358" s="32">
        <v>83198.7</v>
      </c>
      <c r="R358" s="32">
        <v>0</v>
      </c>
      <c r="S358" s="32">
        <v>0</v>
      </c>
      <c r="T358" s="32">
        <v>0</v>
      </c>
      <c r="U358" s="32">
        <v>0</v>
      </c>
      <c r="V358" s="32">
        <v>0</v>
      </c>
      <c r="W358" s="32">
        <v>0</v>
      </c>
      <c r="X358" s="32">
        <v>0</v>
      </c>
      <c r="Y358" s="32">
        <v>0</v>
      </c>
      <c r="Z358" s="32">
        <v>0</v>
      </c>
      <c r="AA358" s="32">
        <v>0</v>
      </c>
      <c r="AB358" s="32">
        <v>0</v>
      </c>
      <c r="AC358" s="32" t="s">
        <v>475</v>
      </c>
      <c r="AD358" s="32"/>
      <c r="AE358" s="32">
        <v>0</v>
      </c>
    </row>
    <row r="359" spans="1:31" x14ac:dyDescent="0.25">
      <c r="A359">
        <v>2900</v>
      </c>
      <c r="B359" t="s">
        <v>550</v>
      </c>
      <c r="C359" t="s">
        <v>886</v>
      </c>
      <c r="D359" s="35">
        <v>17017.16</v>
      </c>
      <c r="E359">
        <v>1246267966</v>
      </c>
      <c r="F359" s="328">
        <v>46137</v>
      </c>
      <c r="H359" t="s">
        <v>28</v>
      </c>
      <c r="I359" t="s">
        <v>29</v>
      </c>
      <c r="J359">
        <v>10901</v>
      </c>
      <c r="K359" s="328">
        <v>46097</v>
      </c>
      <c r="L359">
        <v>1010100</v>
      </c>
      <c r="M359" t="s">
        <v>35</v>
      </c>
      <c r="N359">
        <v>-25</v>
      </c>
      <c r="O359" s="32">
        <v>0</v>
      </c>
      <c r="P359" s="32">
        <v>0</v>
      </c>
      <c r="Q359" s="32">
        <v>17017.16</v>
      </c>
      <c r="R359" s="32">
        <v>0</v>
      </c>
      <c r="S359" s="32">
        <v>0</v>
      </c>
      <c r="T359" s="32">
        <v>0</v>
      </c>
      <c r="U359" s="32">
        <v>0</v>
      </c>
      <c r="V359" s="32">
        <v>0</v>
      </c>
      <c r="W359" s="32">
        <v>0</v>
      </c>
      <c r="X359" s="32">
        <v>0</v>
      </c>
      <c r="Y359" s="32">
        <v>0</v>
      </c>
      <c r="Z359" s="32">
        <v>0</v>
      </c>
      <c r="AA359" s="32">
        <v>0</v>
      </c>
      <c r="AB359" s="32">
        <v>0</v>
      </c>
      <c r="AC359" s="32" t="s">
        <v>475</v>
      </c>
      <c r="AD359" s="32"/>
      <c r="AE359" s="32">
        <v>0</v>
      </c>
    </row>
    <row r="360" spans="1:31" x14ac:dyDescent="0.25">
      <c r="A360">
        <v>2900</v>
      </c>
      <c r="B360" t="s">
        <v>550</v>
      </c>
      <c r="C360" t="s">
        <v>886</v>
      </c>
      <c r="D360" s="35">
        <v>17017.16</v>
      </c>
      <c r="E360">
        <v>1246267967</v>
      </c>
      <c r="F360" s="328">
        <v>46157</v>
      </c>
      <c r="H360" t="s">
        <v>28</v>
      </c>
      <c r="I360" t="s">
        <v>29</v>
      </c>
      <c r="J360">
        <v>10901</v>
      </c>
      <c r="K360" s="328">
        <v>46097</v>
      </c>
      <c r="L360">
        <v>1010100</v>
      </c>
      <c r="M360" t="s">
        <v>35</v>
      </c>
      <c r="N360">
        <v>-45</v>
      </c>
      <c r="O360" s="32">
        <v>0</v>
      </c>
      <c r="P360" s="32">
        <v>0</v>
      </c>
      <c r="Q360" s="32">
        <v>17017.16</v>
      </c>
      <c r="R360" s="32">
        <v>0</v>
      </c>
      <c r="S360" s="32">
        <v>0</v>
      </c>
      <c r="T360" s="32">
        <v>0</v>
      </c>
      <c r="U360" s="32">
        <v>0</v>
      </c>
      <c r="V360" s="32">
        <v>0</v>
      </c>
      <c r="W360" s="32">
        <v>0</v>
      </c>
      <c r="X360" s="32">
        <v>0</v>
      </c>
      <c r="Y360" s="32">
        <v>0</v>
      </c>
      <c r="Z360" s="32">
        <v>0</v>
      </c>
      <c r="AA360" s="32">
        <v>0</v>
      </c>
      <c r="AB360" s="32">
        <v>0</v>
      </c>
      <c r="AC360" s="32" t="s">
        <v>475</v>
      </c>
      <c r="AD360" s="32"/>
      <c r="AE360" s="32">
        <v>0</v>
      </c>
    </row>
    <row r="361" spans="1:31" x14ac:dyDescent="0.25">
      <c r="A361">
        <v>2900</v>
      </c>
      <c r="B361" t="s">
        <v>550</v>
      </c>
      <c r="C361" t="s">
        <v>886</v>
      </c>
      <c r="D361" s="35">
        <v>17017.16</v>
      </c>
      <c r="E361">
        <v>1246267968</v>
      </c>
      <c r="F361" s="328">
        <v>46187</v>
      </c>
      <c r="H361" t="s">
        <v>28</v>
      </c>
      <c r="I361" t="s">
        <v>29</v>
      </c>
      <c r="J361">
        <v>10901</v>
      </c>
      <c r="K361" s="328">
        <v>46097</v>
      </c>
      <c r="L361">
        <v>1010100</v>
      </c>
      <c r="M361" t="s">
        <v>35</v>
      </c>
      <c r="N361">
        <v>-75</v>
      </c>
      <c r="O361" s="32">
        <v>0</v>
      </c>
      <c r="P361" s="32">
        <v>0</v>
      </c>
      <c r="Q361" s="32">
        <v>17017.16</v>
      </c>
      <c r="R361" s="32">
        <v>0</v>
      </c>
      <c r="S361" s="32">
        <v>0</v>
      </c>
      <c r="T361" s="32">
        <v>0</v>
      </c>
      <c r="U361" s="32">
        <v>0</v>
      </c>
      <c r="V361" s="32">
        <v>0</v>
      </c>
      <c r="W361" s="32">
        <v>0</v>
      </c>
      <c r="X361" s="32">
        <v>0</v>
      </c>
      <c r="Y361" s="32">
        <v>0</v>
      </c>
      <c r="Z361" s="32">
        <v>0</v>
      </c>
      <c r="AA361" s="32">
        <v>0</v>
      </c>
      <c r="AB361" s="32">
        <v>0</v>
      </c>
      <c r="AC361" s="32" t="s">
        <v>475</v>
      </c>
      <c r="AD361" s="32"/>
      <c r="AE361" s="32">
        <v>0</v>
      </c>
    </row>
    <row r="362" spans="1:31" x14ac:dyDescent="0.25">
      <c r="A362">
        <v>2900</v>
      </c>
      <c r="B362" t="s">
        <v>550</v>
      </c>
      <c r="C362" t="s">
        <v>886</v>
      </c>
      <c r="D362" s="35">
        <v>32495.81</v>
      </c>
      <c r="E362">
        <v>1246267971</v>
      </c>
      <c r="F362" s="328">
        <v>46137</v>
      </c>
      <c r="H362" t="s">
        <v>28</v>
      </c>
      <c r="I362" t="s">
        <v>29</v>
      </c>
      <c r="J362">
        <v>10902</v>
      </c>
      <c r="K362" s="328">
        <v>46097</v>
      </c>
      <c r="L362">
        <v>1010100</v>
      </c>
      <c r="M362" t="s">
        <v>35</v>
      </c>
      <c r="N362">
        <v>-25</v>
      </c>
      <c r="O362" s="32">
        <v>0</v>
      </c>
      <c r="P362" s="32">
        <v>0</v>
      </c>
      <c r="Q362" s="32">
        <v>32495.81</v>
      </c>
      <c r="R362" s="32">
        <v>0</v>
      </c>
      <c r="S362" s="32">
        <v>0</v>
      </c>
      <c r="T362" s="32">
        <v>0</v>
      </c>
      <c r="U362" s="32">
        <v>0</v>
      </c>
      <c r="V362" s="32">
        <v>0</v>
      </c>
      <c r="W362" s="32">
        <v>0</v>
      </c>
      <c r="X362" s="32">
        <v>0</v>
      </c>
      <c r="Y362" s="32">
        <v>0</v>
      </c>
      <c r="Z362" s="32">
        <v>0</v>
      </c>
      <c r="AA362" s="32">
        <v>0</v>
      </c>
      <c r="AB362" s="32">
        <v>0</v>
      </c>
      <c r="AC362" s="32" t="s">
        <v>475</v>
      </c>
      <c r="AD362" s="32"/>
      <c r="AE362" s="32">
        <v>0</v>
      </c>
    </row>
    <row r="363" spans="1:31" x14ac:dyDescent="0.25">
      <c r="A363">
        <v>2900</v>
      </c>
      <c r="B363" t="s">
        <v>550</v>
      </c>
      <c r="C363" t="s">
        <v>886</v>
      </c>
      <c r="D363" s="35">
        <v>32495.81</v>
      </c>
      <c r="E363">
        <v>1246267972</v>
      </c>
      <c r="F363" s="328">
        <v>46157</v>
      </c>
      <c r="H363" t="s">
        <v>28</v>
      </c>
      <c r="I363" t="s">
        <v>29</v>
      </c>
      <c r="J363">
        <v>10902</v>
      </c>
      <c r="K363" s="328">
        <v>46097</v>
      </c>
      <c r="L363">
        <v>1010100</v>
      </c>
      <c r="M363" t="s">
        <v>35</v>
      </c>
      <c r="N363">
        <v>-45</v>
      </c>
      <c r="O363" s="32">
        <v>0</v>
      </c>
      <c r="P363" s="32">
        <v>0</v>
      </c>
      <c r="Q363" s="32">
        <v>32495.81</v>
      </c>
      <c r="R363" s="32">
        <v>0</v>
      </c>
      <c r="S363" s="32">
        <v>0</v>
      </c>
      <c r="T363" s="32">
        <v>0</v>
      </c>
      <c r="U363" s="32">
        <v>0</v>
      </c>
      <c r="V363" s="32">
        <v>0</v>
      </c>
      <c r="W363" s="32">
        <v>0</v>
      </c>
      <c r="X363" s="32">
        <v>0</v>
      </c>
      <c r="Y363" s="32">
        <v>0</v>
      </c>
      <c r="Z363" s="32">
        <v>0</v>
      </c>
      <c r="AA363" s="32">
        <v>0</v>
      </c>
      <c r="AB363" s="32">
        <v>0</v>
      </c>
      <c r="AC363" s="32" t="s">
        <v>475</v>
      </c>
      <c r="AD363" s="32"/>
      <c r="AE363" s="32">
        <v>0</v>
      </c>
    </row>
    <row r="364" spans="1:31" x14ac:dyDescent="0.25">
      <c r="A364">
        <v>2900</v>
      </c>
      <c r="B364" t="s">
        <v>550</v>
      </c>
      <c r="C364" t="s">
        <v>886</v>
      </c>
      <c r="D364" s="35">
        <v>32495.82</v>
      </c>
      <c r="E364">
        <v>1246267973</v>
      </c>
      <c r="F364" s="328">
        <v>46187</v>
      </c>
      <c r="H364" t="s">
        <v>28</v>
      </c>
      <c r="I364" t="s">
        <v>29</v>
      </c>
      <c r="J364">
        <v>10902</v>
      </c>
      <c r="K364" s="328">
        <v>46097</v>
      </c>
      <c r="L364">
        <v>1010100</v>
      </c>
      <c r="M364" t="s">
        <v>35</v>
      </c>
      <c r="N364">
        <v>-75</v>
      </c>
      <c r="O364" s="32">
        <v>0</v>
      </c>
      <c r="P364" s="32">
        <v>0</v>
      </c>
      <c r="Q364" s="32">
        <v>32495.82</v>
      </c>
      <c r="R364" s="32">
        <v>0</v>
      </c>
      <c r="S364" s="32">
        <v>0</v>
      </c>
      <c r="T364" s="32">
        <v>0</v>
      </c>
      <c r="U364" s="32">
        <v>0</v>
      </c>
      <c r="V364" s="32">
        <v>0</v>
      </c>
      <c r="W364" s="32">
        <v>0</v>
      </c>
      <c r="X364" s="32">
        <v>0</v>
      </c>
      <c r="Y364" s="32">
        <v>0</v>
      </c>
      <c r="Z364" s="32">
        <v>0</v>
      </c>
      <c r="AA364" s="32">
        <v>0</v>
      </c>
      <c r="AB364" s="32">
        <v>0</v>
      </c>
      <c r="AC364" s="32" t="s">
        <v>475</v>
      </c>
      <c r="AD364" s="32"/>
      <c r="AE364" s="32">
        <v>0</v>
      </c>
    </row>
    <row r="365" spans="1:31" x14ac:dyDescent="0.25">
      <c r="A365">
        <v>2622</v>
      </c>
      <c r="B365" t="s">
        <v>83</v>
      </c>
      <c r="C365" t="s">
        <v>565</v>
      </c>
      <c r="D365" s="35">
        <v>410856.52</v>
      </c>
      <c r="E365">
        <v>1246268936</v>
      </c>
      <c r="F365" s="328">
        <v>46196</v>
      </c>
      <c r="H365" t="s">
        <v>28</v>
      </c>
      <c r="I365" t="s">
        <v>29</v>
      </c>
      <c r="J365">
        <v>2842</v>
      </c>
      <c r="K365" s="328">
        <v>46106</v>
      </c>
      <c r="L365">
        <v>1010100</v>
      </c>
      <c r="M365" t="s">
        <v>35</v>
      </c>
      <c r="N365">
        <v>-84</v>
      </c>
      <c r="O365" s="32">
        <v>0</v>
      </c>
      <c r="P365" s="32">
        <v>0</v>
      </c>
      <c r="Q365" s="32">
        <v>410856.52</v>
      </c>
      <c r="R365" s="32">
        <v>0</v>
      </c>
      <c r="S365" s="32">
        <v>0</v>
      </c>
      <c r="T365" s="32">
        <v>0</v>
      </c>
      <c r="U365" s="32">
        <v>0</v>
      </c>
      <c r="V365" s="32">
        <v>0</v>
      </c>
      <c r="W365" s="32">
        <v>0</v>
      </c>
      <c r="X365" s="32">
        <v>0</v>
      </c>
      <c r="Y365" s="32">
        <v>0</v>
      </c>
      <c r="Z365" s="32">
        <v>0</v>
      </c>
      <c r="AA365" s="32">
        <v>0</v>
      </c>
      <c r="AB365" s="32">
        <v>0</v>
      </c>
      <c r="AC365" s="32" t="s">
        <v>475</v>
      </c>
      <c r="AD365" s="32"/>
      <c r="AE365" s="32">
        <v>0</v>
      </c>
    </row>
    <row r="366" spans="1:31" x14ac:dyDescent="0.25">
      <c r="A366">
        <v>2622</v>
      </c>
      <c r="B366" t="s">
        <v>83</v>
      </c>
      <c r="C366" t="s">
        <v>565</v>
      </c>
      <c r="D366" s="35">
        <v>420160.61</v>
      </c>
      <c r="E366">
        <v>1246260238</v>
      </c>
      <c r="F366" s="328">
        <v>46133</v>
      </c>
      <c r="H366" t="s">
        <v>28</v>
      </c>
      <c r="I366" t="s">
        <v>29</v>
      </c>
      <c r="J366">
        <v>2688</v>
      </c>
      <c r="K366" s="328">
        <v>46043</v>
      </c>
      <c r="L366">
        <v>1010100</v>
      </c>
      <c r="M366" t="s">
        <v>35</v>
      </c>
      <c r="N366">
        <v>-21</v>
      </c>
      <c r="O366" s="32">
        <v>0</v>
      </c>
      <c r="P366" s="32">
        <v>0</v>
      </c>
      <c r="Q366" s="32">
        <v>420160.61</v>
      </c>
      <c r="R366" s="32">
        <v>0</v>
      </c>
      <c r="S366" s="32">
        <v>0</v>
      </c>
      <c r="T366" s="32">
        <v>0</v>
      </c>
      <c r="U366" s="32">
        <v>0</v>
      </c>
      <c r="V366" s="32">
        <v>0</v>
      </c>
      <c r="W366" s="32">
        <v>0</v>
      </c>
      <c r="X366" s="32">
        <v>0</v>
      </c>
      <c r="Y366" s="32">
        <v>0</v>
      </c>
      <c r="Z366" s="32">
        <v>0</v>
      </c>
      <c r="AA366" s="32">
        <v>0</v>
      </c>
      <c r="AB366" s="32">
        <v>0</v>
      </c>
      <c r="AC366" s="32" t="s">
        <v>475</v>
      </c>
      <c r="AD366" s="32"/>
      <c r="AE366" s="32">
        <v>0</v>
      </c>
    </row>
    <row r="367" spans="1:31" x14ac:dyDescent="0.25">
      <c r="A367">
        <v>2975</v>
      </c>
      <c r="B367" t="s">
        <v>488</v>
      </c>
      <c r="C367" t="s">
        <v>86</v>
      </c>
      <c r="D367" s="35">
        <v>58920</v>
      </c>
      <c r="E367">
        <v>1246269447</v>
      </c>
      <c r="F367" s="328">
        <v>46136</v>
      </c>
      <c r="H367" t="s">
        <v>28</v>
      </c>
      <c r="I367" t="s">
        <v>29</v>
      </c>
      <c r="J367">
        <v>2851</v>
      </c>
      <c r="K367" s="328">
        <v>46108</v>
      </c>
      <c r="L367">
        <v>1010100</v>
      </c>
      <c r="M367" t="s">
        <v>35</v>
      </c>
      <c r="N367">
        <v>-24</v>
      </c>
      <c r="O367" s="32">
        <v>0</v>
      </c>
      <c r="P367" s="32">
        <v>0</v>
      </c>
      <c r="Q367" s="32">
        <v>58920</v>
      </c>
      <c r="R367" s="32">
        <v>0</v>
      </c>
      <c r="S367" s="32">
        <v>0</v>
      </c>
      <c r="T367" s="32">
        <v>0</v>
      </c>
      <c r="U367" s="32">
        <v>0</v>
      </c>
      <c r="V367" s="32">
        <v>0</v>
      </c>
      <c r="W367" s="32">
        <v>0</v>
      </c>
      <c r="X367" s="32">
        <v>0</v>
      </c>
      <c r="Y367" s="32">
        <v>0</v>
      </c>
      <c r="Z367" s="32">
        <v>0</v>
      </c>
      <c r="AA367" s="32">
        <v>0</v>
      </c>
      <c r="AB367" s="32">
        <v>0</v>
      </c>
      <c r="AC367" s="32" t="s">
        <v>475</v>
      </c>
      <c r="AD367" s="32"/>
      <c r="AE367" s="32">
        <v>0</v>
      </c>
    </row>
    <row r="368" spans="1:31" x14ac:dyDescent="0.25">
      <c r="A368">
        <v>2975</v>
      </c>
      <c r="B368" t="s">
        <v>488</v>
      </c>
      <c r="C368" t="s">
        <v>86</v>
      </c>
      <c r="D368" s="35">
        <v>78164.100000000006</v>
      </c>
      <c r="E368">
        <v>1246267719</v>
      </c>
      <c r="F368" s="328">
        <v>46122</v>
      </c>
      <c r="H368" t="s">
        <v>28</v>
      </c>
      <c r="I368" t="s">
        <v>29</v>
      </c>
      <c r="J368">
        <v>10878</v>
      </c>
      <c r="K368" s="328">
        <v>46094</v>
      </c>
      <c r="L368">
        <v>1010100</v>
      </c>
      <c r="M368" t="s">
        <v>35</v>
      </c>
      <c r="N368">
        <v>-10</v>
      </c>
      <c r="O368" s="32">
        <v>0</v>
      </c>
      <c r="P368" s="32">
        <v>0</v>
      </c>
      <c r="Q368" s="32">
        <v>78164.100000000006</v>
      </c>
      <c r="R368" s="32">
        <v>0</v>
      </c>
      <c r="S368" s="32">
        <v>0</v>
      </c>
      <c r="T368" s="32">
        <v>0</v>
      </c>
      <c r="U368" s="32">
        <v>0</v>
      </c>
      <c r="V368" s="32">
        <v>0</v>
      </c>
      <c r="W368" s="32">
        <v>0</v>
      </c>
      <c r="X368" s="32">
        <v>0</v>
      </c>
      <c r="Y368" s="32">
        <v>0</v>
      </c>
      <c r="Z368" s="32">
        <v>0</v>
      </c>
      <c r="AA368" s="32">
        <v>0</v>
      </c>
      <c r="AB368" s="32">
        <v>0</v>
      </c>
      <c r="AC368" s="32" t="s">
        <v>475</v>
      </c>
      <c r="AD368" s="32"/>
      <c r="AE368" s="32">
        <v>0</v>
      </c>
    </row>
    <row r="369" spans="1:31" x14ac:dyDescent="0.25">
      <c r="A369">
        <v>6132</v>
      </c>
      <c r="B369" t="s">
        <v>177</v>
      </c>
      <c r="C369" t="s">
        <v>178</v>
      </c>
      <c r="D369" s="35">
        <v>131993.79999999999</v>
      </c>
      <c r="E369">
        <v>1246090615</v>
      </c>
      <c r="F369" s="328">
        <v>45471</v>
      </c>
      <c r="H369" t="s">
        <v>173</v>
      </c>
      <c r="I369" t="s">
        <v>174</v>
      </c>
      <c r="J369">
        <v>33</v>
      </c>
      <c r="K369" s="328">
        <v>45111</v>
      </c>
      <c r="L369">
        <v>1010100</v>
      </c>
      <c r="M369" t="s">
        <v>35</v>
      </c>
      <c r="N369">
        <v>641</v>
      </c>
      <c r="O369" s="32">
        <v>0</v>
      </c>
      <c r="P369" s="32">
        <v>0</v>
      </c>
      <c r="Q369" s="32">
        <v>0</v>
      </c>
      <c r="R369" s="32">
        <v>0</v>
      </c>
      <c r="S369" s="32">
        <v>0</v>
      </c>
      <c r="T369" s="32">
        <v>0</v>
      </c>
      <c r="U369" s="32">
        <v>131993.79999999999</v>
      </c>
      <c r="V369" s="32">
        <v>0</v>
      </c>
      <c r="W369" s="32">
        <v>3959.8139999999994</v>
      </c>
      <c r="X369" s="32">
        <v>128033.98599999999</v>
      </c>
      <c r="Y369" s="32">
        <v>128033.98599999999</v>
      </c>
      <c r="Z369" s="32">
        <v>131993.79999999999</v>
      </c>
      <c r="AA369" s="32">
        <v>-131993.79999999999</v>
      </c>
      <c r="AB369" s="32">
        <v>0</v>
      </c>
      <c r="AC369" s="32" t="s">
        <v>542</v>
      </c>
      <c r="AD369" s="32"/>
      <c r="AE369" s="32">
        <v>0</v>
      </c>
    </row>
    <row r="370" spans="1:31" x14ac:dyDescent="0.25">
      <c r="A370">
        <v>6132</v>
      </c>
      <c r="B370" t="s">
        <v>177</v>
      </c>
      <c r="C370" t="s">
        <v>178</v>
      </c>
      <c r="D370" s="35">
        <v>178370</v>
      </c>
      <c r="E370">
        <v>1246091907</v>
      </c>
      <c r="F370" s="328">
        <v>45437</v>
      </c>
      <c r="H370" t="s">
        <v>173</v>
      </c>
      <c r="I370" t="s">
        <v>174</v>
      </c>
      <c r="J370">
        <v>129</v>
      </c>
      <c r="K370" s="328">
        <v>45119</v>
      </c>
      <c r="L370">
        <v>1010100</v>
      </c>
      <c r="M370" t="s">
        <v>35</v>
      </c>
      <c r="N370">
        <v>675</v>
      </c>
      <c r="O370" s="32">
        <v>0</v>
      </c>
      <c r="P370" s="32">
        <v>0</v>
      </c>
      <c r="Q370" s="32">
        <v>0</v>
      </c>
      <c r="R370" s="32">
        <v>0</v>
      </c>
      <c r="S370" s="32">
        <v>0</v>
      </c>
      <c r="T370" s="32">
        <v>0</v>
      </c>
      <c r="U370" s="32">
        <v>178370</v>
      </c>
      <c r="V370" s="32">
        <v>0</v>
      </c>
      <c r="W370" s="32">
        <v>5351.0999999999995</v>
      </c>
      <c r="X370" s="32">
        <v>173018.9</v>
      </c>
      <c r="Y370" s="32">
        <v>173018.9</v>
      </c>
      <c r="Z370" s="32">
        <v>178370</v>
      </c>
      <c r="AA370" s="32">
        <v>-178370</v>
      </c>
      <c r="AB370" s="32">
        <v>0</v>
      </c>
      <c r="AC370" s="32" t="s">
        <v>542</v>
      </c>
      <c r="AD370" s="32"/>
      <c r="AE370" s="32">
        <v>0</v>
      </c>
    </row>
    <row r="371" spans="1:31" x14ac:dyDescent="0.25">
      <c r="A371">
        <v>6132</v>
      </c>
      <c r="B371" t="s">
        <v>177</v>
      </c>
      <c r="C371" t="s">
        <v>178</v>
      </c>
      <c r="D371" s="35">
        <v>178370</v>
      </c>
      <c r="E371">
        <v>1246090579</v>
      </c>
      <c r="F371" s="328">
        <v>45470</v>
      </c>
      <c r="H371" t="s">
        <v>173</v>
      </c>
      <c r="I371" t="s">
        <v>174</v>
      </c>
      <c r="J371">
        <v>28</v>
      </c>
      <c r="K371" s="328">
        <v>45110</v>
      </c>
      <c r="L371">
        <v>1010100</v>
      </c>
      <c r="M371" t="s">
        <v>35</v>
      </c>
      <c r="N371">
        <v>642</v>
      </c>
      <c r="O371" s="32">
        <v>0</v>
      </c>
      <c r="P371" s="32">
        <v>0</v>
      </c>
      <c r="Q371" s="32">
        <v>0</v>
      </c>
      <c r="R371" s="32">
        <v>0</v>
      </c>
      <c r="S371" s="32">
        <v>0</v>
      </c>
      <c r="T371" s="32">
        <v>0</v>
      </c>
      <c r="U371" s="32">
        <v>178370</v>
      </c>
      <c r="V371" s="32">
        <v>0</v>
      </c>
      <c r="W371" s="32">
        <v>5351.0999999999995</v>
      </c>
      <c r="X371" s="32">
        <v>173018.9</v>
      </c>
      <c r="Y371" s="32">
        <v>173018.9</v>
      </c>
      <c r="Z371" s="32">
        <v>178370</v>
      </c>
      <c r="AA371" s="32">
        <v>-178370</v>
      </c>
      <c r="AB371" s="32">
        <v>0</v>
      </c>
      <c r="AC371" s="32" t="s">
        <v>542</v>
      </c>
      <c r="AD371" s="32"/>
      <c r="AE371" s="32">
        <v>0</v>
      </c>
    </row>
    <row r="372" spans="1:31" x14ac:dyDescent="0.25">
      <c r="A372">
        <v>6132</v>
      </c>
      <c r="B372" t="s">
        <v>177</v>
      </c>
      <c r="C372" t="s">
        <v>178</v>
      </c>
      <c r="D372" s="35">
        <v>142696</v>
      </c>
      <c r="E372">
        <v>1246091833</v>
      </c>
      <c r="F372" s="328">
        <v>45436</v>
      </c>
      <c r="H372" t="s">
        <v>173</v>
      </c>
      <c r="I372" t="s">
        <v>174</v>
      </c>
      <c r="J372">
        <v>116</v>
      </c>
      <c r="K372" s="328">
        <v>45118</v>
      </c>
      <c r="L372">
        <v>1010100</v>
      </c>
      <c r="M372" t="s">
        <v>35</v>
      </c>
      <c r="N372">
        <v>676</v>
      </c>
      <c r="O372" s="32">
        <v>0</v>
      </c>
      <c r="P372" s="32">
        <v>0</v>
      </c>
      <c r="Q372" s="32">
        <v>0</v>
      </c>
      <c r="R372" s="32">
        <v>0</v>
      </c>
      <c r="S372" s="32">
        <v>0</v>
      </c>
      <c r="T372" s="32">
        <v>0</v>
      </c>
      <c r="U372" s="32">
        <v>142696</v>
      </c>
      <c r="V372" s="32">
        <v>0</v>
      </c>
      <c r="W372" s="32">
        <v>4280.88</v>
      </c>
      <c r="X372" s="32">
        <v>138415.12</v>
      </c>
      <c r="Y372" s="32">
        <v>138415.12</v>
      </c>
      <c r="Z372" s="32">
        <v>142696</v>
      </c>
      <c r="AA372" s="32">
        <v>-142696</v>
      </c>
      <c r="AB372" s="32">
        <v>0</v>
      </c>
      <c r="AC372" s="32" t="s">
        <v>542</v>
      </c>
      <c r="AD372" s="32"/>
      <c r="AE372" s="32">
        <v>0</v>
      </c>
    </row>
    <row r="373" spans="1:31" x14ac:dyDescent="0.25">
      <c r="A373">
        <v>6132</v>
      </c>
      <c r="B373" t="s">
        <v>177</v>
      </c>
      <c r="C373" t="s">
        <v>178</v>
      </c>
      <c r="D373" s="35">
        <v>60766.2</v>
      </c>
      <c r="E373">
        <v>1246095119</v>
      </c>
      <c r="F373" s="328">
        <v>45447</v>
      </c>
      <c r="H373" t="s">
        <v>173</v>
      </c>
      <c r="I373" t="s">
        <v>174</v>
      </c>
      <c r="J373">
        <v>93</v>
      </c>
      <c r="K373" s="328">
        <v>45138</v>
      </c>
      <c r="L373">
        <v>1010100</v>
      </c>
      <c r="M373" t="s">
        <v>35</v>
      </c>
      <c r="N373">
        <v>665</v>
      </c>
      <c r="O373" s="32">
        <v>0</v>
      </c>
      <c r="P373" s="32">
        <v>0</v>
      </c>
      <c r="Q373" s="32">
        <v>0</v>
      </c>
      <c r="R373" s="32">
        <v>0</v>
      </c>
      <c r="S373" s="32">
        <v>0</v>
      </c>
      <c r="T373" s="32">
        <v>0</v>
      </c>
      <c r="U373" s="32">
        <v>60766.2</v>
      </c>
      <c r="V373" s="32">
        <v>0</v>
      </c>
      <c r="W373" s="32">
        <v>1822.9859999999999</v>
      </c>
      <c r="X373" s="32">
        <v>58943.213999999993</v>
      </c>
      <c r="Y373" s="32">
        <v>58943.213999999993</v>
      </c>
      <c r="Z373" s="32">
        <v>60766.2</v>
      </c>
      <c r="AA373" s="32">
        <v>-60766.2</v>
      </c>
      <c r="AB373" s="32">
        <v>0</v>
      </c>
      <c r="AC373" s="32" t="s">
        <v>542</v>
      </c>
      <c r="AD373" s="32"/>
      <c r="AE373" s="32">
        <v>0</v>
      </c>
    </row>
    <row r="374" spans="1:31" x14ac:dyDescent="0.25">
      <c r="A374">
        <v>6132</v>
      </c>
      <c r="B374" t="s">
        <v>177</v>
      </c>
      <c r="C374" t="s">
        <v>178</v>
      </c>
      <c r="D374" s="35">
        <v>178260</v>
      </c>
      <c r="E374">
        <v>1246091832</v>
      </c>
      <c r="F374" s="328">
        <v>45436</v>
      </c>
      <c r="H374" t="s">
        <v>173</v>
      </c>
      <c r="I374" t="s">
        <v>174</v>
      </c>
      <c r="J374">
        <v>115</v>
      </c>
      <c r="K374" s="328">
        <v>45118</v>
      </c>
      <c r="L374">
        <v>1010100</v>
      </c>
      <c r="M374" t="s">
        <v>35</v>
      </c>
      <c r="N374">
        <v>676</v>
      </c>
      <c r="O374" s="32">
        <v>0</v>
      </c>
      <c r="P374" s="32">
        <v>0</v>
      </c>
      <c r="Q374" s="32">
        <v>0</v>
      </c>
      <c r="R374" s="32">
        <v>0</v>
      </c>
      <c r="S374" s="32">
        <v>0</v>
      </c>
      <c r="T374" s="32">
        <v>0</v>
      </c>
      <c r="U374" s="32">
        <v>178260</v>
      </c>
      <c r="V374" s="32">
        <v>0</v>
      </c>
      <c r="W374" s="32">
        <v>5347.8</v>
      </c>
      <c r="X374" s="32">
        <v>172912.19999999998</v>
      </c>
      <c r="Y374" s="32">
        <v>172912.19999999998</v>
      </c>
      <c r="Z374" s="32">
        <v>178260</v>
      </c>
      <c r="AA374" s="32">
        <v>-178260</v>
      </c>
      <c r="AB374" s="32">
        <v>0</v>
      </c>
      <c r="AC374" s="32" t="s">
        <v>542</v>
      </c>
      <c r="AD374" s="32"/>
      <c r="AE374" s="32">
        <v>0</v>
      </c>
    </row>
    <row r="375" spans="1:31" x14ac:dyDescent="0.25">
      <c r="A375">
        <v>6132</v>
      </c>
      <c r="B375" t="s">
        <v>177</v>
      </c>
      <c r="C375" t="s">
        <v>178</v>
      </c>
      <c r="D375" s="35">
        <v>151915.50000000003</v>
      </c>
      <c r="E375">
        <v>1246095049</v>
      </c>
      <c r="F375" s="328">
        <v>45447</v>
      </c>
      <c r="H375" t="s">
        <v>173</v>
      </c>
      <c r="I375" t="s">
        <v>174</v>
      </c>
      <c r="J375">
        <v>92</v>
      </c>
      <c r="K375" s="328">
        <v>45138</v>
      </c>
      <c r="L375">
        <v>1010100</v>
      </c>
      <c r="M375" t="s">
        <v>35</v>
      </c>
      <c r="N375">
        <v>665</v>
      </c>
      <c r="O375" s="32">
        <v>0</v>
      </c>
      <c r="P375" s="32">
        <v>0</v>
      </c>
      <c r="Q375" s="32">
        <v>0</v>
      </c>
      <c r="R375" s="32">
        <v>0</v>
      </c>
      <c r="S375" s="32">
        <v>0</v>
      </c>
      <c r="T375" s="32">
        <v>0</v>
      </c>
      <c r="U375" s="32">
        <v>151915.50000000003</v>
      </c>
      <c r="V375" s="32">
        <v>0</v>
      </c>
      <c r="W375" s="32">
        <v>4557.4650000000011</v>
      </c>
      <c r="X375" s="32">
        <v>147358.03500000003</v>
      </c>
      <c r="Y375" s="32">
        <v>147358.03500000003</v>
      </c>
      <c r="Z375" s="32">
        <v>151915.50000000003</v>
      </c>
      <c r="AA375" s="32">
        <v>-151915.50000000003</v>
      </c>
      <c r="AB375" s="32">
        <v>0</v>
      </c>
      <c r="AC375" s="32" t="s">
        <v>542</v>
      </c>
      <c r="AD375" s="32"/>
      <c r="AE375" s="32">
        <v>0</v>
      </c>
    </row>
    <row r="376" spans="1:31" x14ac:dyDescent="0.25">
      <c r="A376">
        <v>6132</v>
      </c>
      <c r="B376" t="s">
        <v>177</v>
      </c>
      <c r="C376" t="s">
        <v>178</v>
      </c>
      <c r="D376" s="35">
        <v>91149.3</v>
      </c>
      <c r="E376">
        <v>1246095124</v>
      </c>
      <c r="F376" s="328">
        <v>45447</v>
      </c>
      <c r="H376" t="s">
        <v>173</v>
      </c>
      <c r="I376" t="s">
        <v>174</v>
      </c>
      <c r="J376">
        <v>94</v>
      </c>
      <c r="K376" s="328">
        <v>45138</v>
      </c>
      <c r="L376">
        <v>1010100</v>
      </c>
      <c r="M376" t="s">
        <v>35</v>
      </c>
      <c r="N376">
        <v>665</v>
      </c>
      <c r="O376" s="32">
        <v>0</v>
      </c>
      <c r="P376" s="32">
        <v>0</v>
      </c>
      <c r="Q376" s="32">
        <v>0</v>
      </c>
      <c r="R376" s="32">
        <v>0</v>
      </c>
      <c r="S376" s="32">
        <v>0</v>
      </c>
      <c r="T376" s="32">
        <v>0</v>
      </c>
      <c r="U376" s="32">
        <v>91149.3</v>
      </c>
      <c r="V376" s="32">
        <v>0</v>
      </c>
      <c r="W376" s="32">
        <v>2734.4789999999998</v>
      </c>
      <c r="X376" s="32">
        <v>88414.820999999996</v>
      </c>
      <c r="Y376" s="32">
        <v>88414.820999999996</v>
      </c>
      <c r="Z376" s="32">
        <v>91149.3</v>
      </c>
      <c r="AA376" s="32">
        <v>-91149.3</v>
      </c>
      <c r="AB376" s="32">
        <v>0</v>
      </c>
      <c r="AC376" s="32" t="s">
        <v>542</v>
      </c>
      <c r="AD376" s="32"/>
      <c r="AE376" s="32">
        <v>0</v>
      </c>
    </row>
    <row r="377" spans="1:31" x14ac:dyDescent="0.25">
      <c r="A377">
        <v>6132</v>
      </c>
      <c r="B377" t="s">
        <v>177</v>
      </c>
      <c r="C377" t="s">
        <v>178</v>
      </c>
      <c r="D377" s="35">
        <v>85223.34</v>
      </c>
      <c r="E377">
        <v>1246097799</v>
      </c>
      <c r="F377" s="328">
        <v>45442</v>
      </c>
      <c r="H377" t="s">
        <v>173</v>
      </c>
      <c r="I377" t="s">
        <v>174</v>
      </c>
      <c r="J377">
        <v>678</v>
      </c>
      <c r="K377" s="328">
        <v>45152</v>
      </c>
      <c r="L377">
        <v>1010100</v>
      </c>
      <c r="M377" t="s">
        <v>35</v>
      </c>
      <c r="N377">
        <v>670</v>
      </c>
      <c r="O377" s="32">
        <v>0</v>
      </c>
      <c r="P377" s="32">
        <v>0</v>
      </c>
      <c r="Q377" s="32">
        <v>0</v>
      </c>
      <c r="R377" s="32">
        <v>0</v>
      </c>
      <c r="S377" s="32">
        <v>0</v>
      </c>
      <c r="T377" s="32">
        <v>0</v>
      </c>
      <c r="U377" s="32">
        <v>85223.34</v>
      </c>
      <c r="V377" s="32">
        <v>0</v>
      </c>
      <c r="W377" s="32">
        <v>2556.7001999999998</v>
      </c>
      <c r="X377" s="32">
        <v>82666.63979999999</v>
      </c>
      <c r="Y377" s="32">
        <v>82666.63979999999</v>
      </c>
      <c r="Z377" s="32">
        <v>85223.34</v>
      </c>
      <c r="AA377" s="32">
        <v>-85223.34</v>
      </c>
      <c r="AB377" s="32">
        <v>0</v>
      </c>
      <c r="AC377" s="32" t="s">
        <v>542</v>
      </c>
      <c r="AD377" s="32"/>
      <c r="AE377" s="32">
        <v>0</v>
      </c>
    </row>
    <row r="378" spans="1:31" x14ac:dyDescent="0.25">
      <c r="A378">
        <v>6132</v>
      </c>
      <c r="B378" t="s">
        <v>177</v>
      </c>
      <c r="C378" t="s">
        <v>178</v>
      </c>
      <c r="D378" s="35">
        <v>84323.41</v>
      </c>
      <c r="E378">
        <v>1246121990</v>
      </c>
      <c r="F378" s="328">
        <v>45557</v>
      </c>
      <c r="H378" t="s">
        <v>173</v>
      </c>
      <c r="I378" t="s">
        <v>174</v>
      </c>
      <c r="J378">
        <v>2361</v>
      </c>
      <c r="K378" s="328">
        <v>45289</v>
      </c>
      <c r="L378">
        <v>1010100</v>
      </c>
      <c r="M378" t="s">
        <v>35</v>
      </c>
      <c r="N378">
        <v>555</v>
      </c>
      <c r="O378" s="32">
        <v>0</v>
      </c>
      <c r="P378" s="32">
        <v>0</v>
      </c>
      <c r="Q378" s="32">
        <v>0</v>
      </c>
      <c r="R378" s="32">
        <v>0</v>
      </c>
      <c r="S378" s="32">
        <v>0</v>
      </c>
      <c r="T378" s="32">
        <v>0</v>
      </c>
      <c r="U378" s="32">
        <v>84323.41</v>
      </c>
      <c r="V378" s="32">
        <v>0</v>
      </c>
      <c r="W378" s="32">
        <v>2529.7022999999999</v>
      </c>
      <c r="X378" s="32">
        <v>81793.707699999999</v>
      </c>
      <c r="Y378" s="32">
        <v>81793.707699999999</v>
      </c>
      <c r="Z378" s="32">
        <v>84323.41</v>
      </c>
      <c r="AA378" s="32">
        <v>-84323.41</v>
      </c>
      <c r="AB378" s="32">
        <v>0</v>
      </c>
      <c r="AC378" s="32" t="s">
        <v>542</v>
      </c>
      <c r="AD378" s="32"/>
      <c r="AE378" s="32">
        <v>0</v>
      </c>
    </row>
    <row r="379" spans="1:31" x14ac:dyDescent="0.25">
      <c r="A379">
        <v>6132</v>
      </c>
      <c r="B379" t="s">
        <v>177</v>
      </c>
      <c r="C379" t="s">
        <v>178</v>
      </c>
      <c r="D379" s="35">
        <v>63251.12</v>
      </c>
      <c r="E379">
        <v>1246128996</v>
      </c>
      <c r="F379" s="328">
        <v>45571</v>
      </c>
      <c r="H379" t="s">
        <v>173</v>
      </c>
      <c r="I379" t="s">
        <v>174</v>
      </c>
      <c r="J379">
        <v>2766</v>
      </c>
      <c r="K379" s="328">
        <v>45331</v>
      </c>
      <c r="L379">
        <v>1010100</v>
      </c>
      <c r="M379" t="s">
        <v>35</v>
      </c>
      <c r="N379">
        <v>541</v>
      </c>
      <c r="O379" s="32">
        <v>0</v>
      </c>
      <c r="P379" s="32">
        <v>0</v>
      </c>
      <c r="Q379" s="32">
        <v>0</v>
      </c>
      <c r="R379" s="32">
        <v>0</v>
      </c>
      <c r="S379" s="32">
        <v>0</v>
      </c>
      <c r="T379" s="32">
        <v>0</v>
      </c>
      <c r="U379" s="32">
        <v>63251.12</v>
      </c>
      <c r="V379" s="32">
        <v>0</v>
      </c>
      <c r="W379" s="32">
        <v>1897.5336</v>
      </c>
      <c r="X379" s="32">
        <v>61353.5864</v>
      </c>
      <c r="Y379" s="32">
        <v>61353.5864</v>
      </c>
      <c r="Z379" s="32">
        <v>63251.12</v>
      </c>
      <c r="AA379" s="32">
        <v>-63251.12</v>
      </c>
      <c r="AB379" s="32">
        <v>0</v>
      </c>
      <c r="AC379" s="32" t="s">
        <v>542</v>
      </c>
      <c r="AD379" s="32"/>
      <c r="AE379" s="32">
        <v>0</v>
      </c>
    </row>
    <row r="380" spans="1:31" x14ac:dyDescent="0.25">
      <c r="A380">
        <v>6132</v>
      </c>
      <c r="B380" t="s">
        <v>177</v>
      </c>
      <c r="C380" t="s">
        <v>178</v>
      </c>
      <c r="D380" s="35">
        <v>52062</v>
      </c>
      <c r="E380">
        <v>1246115169</v>
      </c>
      <c r="F380" s="328">
        <v>45466</v>
      </c>
      <c r="H380" t="s">
        <v>173</v>
      </c>
      <c r="I380" t="s">
        <v>174</v>
      </c>
      <c r="J380">
        <v>1974</v>
      </c>
      <c r="K380" s="328">
        <v>45244</v>
      </c>
      <c r="L380">
        <v>1010100</v>
      </c>
      <c r="M380" t="s">
        <v>35</v>
      </c>
      <c r="N380">
        <v>646</v>
      </c>
      <c r="O380" s="32">
        <v>0</v>
      </c>
      <c r="P380" s="32">
        <v>0</v>
      </c>
      <c r="Q380" s="32">
        <v>0</v>
      </c>
      <c r="R380" s="32">
        <v>0</v>
      </c>
      <c r="S380" s="32">
        <v>0</v>
      </c>
      <c r="T380" s="32">
        <v>0</v>
      </c>
      <c r="U380" s="32">
        <v>52062</v>
      </c>
      <c r="V380" s="32">
        <v>0</v>
      </c>
      <c r="W380" s="32">
        <v>1561.86</v>
      </c>
      <c r="X380" s="32">
        <v>50500.14</v>
      </c>
      <c r="Y380" s="32">
        <v>50500.14</v>
      </c>
      <c r="Z380" s="32">
        <v>52062</v>
      </c>
      <c r="AA380" s="32">
        <v>-52062</v>
      </c>
      <c r="AB380" s="32">
        <v>0</v>
      </c>
      <c r="AC380" s="32" t="s">
        <v>542</v>
      </c>
      <c r="AD380" s="32"/>
      <c r="AE380" s="32">
        <v>0</v>
      </c>
    </row>
    <row r="381" spans="1:31" x14ac:dyDescent="0.25">
      <c r="A381">
        <v>6132</v>
      </c>
      <c r="B381" t="s">
        <v>177</v>
      </c>
      <c r="C381" t="s">
        <v>178</v>
      </c>
      <c r="D381" s="35">
        <v>32002.66</v>
      </c>
      <c r="E381">
        <v>1246120211</v>
      </c>
      <c r="F381" s="328">
        <v>45518</v>
      </c>
      <c r="H381" t="s">
        <v>173</v>
      </c>
      <c r="I381" t="s">
        <v>174</v>
      </c>
      <c r="J381">
        <v>2284</v>
      </c>
      <c r="K381" s="328">
        <v>45278</v>
      </c>
      <c r="L381">
        <v>1010100</v>
      </c>
      <c r="M381" t="s">
        <v>35</v>
      </c>
      <c r="N381">
        <v>594</v>
      </c>
      <c r="O381" s="32">
        <v>0</v>
      </c>
      <c r="P381" s="32">
        <v>0</v>
      </c>
      <c r="Q381" s="32">
        <v>0</v>
      </c>
      <c r="R381" s="32">
        <v>0</v>
      </c>
      <c r="S381" s="32">
        <v>0</v>
      </c>
      <c r="T381" s="32">
        <v>0</v>
      </c>
      <c r="U381" s="32">
        <v>32002.66</v>
      </c>
      <c r="V381" s="32">
        <v>0</v>
      </c>
      <c r="W381" s="32">
        <v>960.07979999999998</v>
      </c>
      <c r="X381" s="32">
        <v>31042.5802</v>
      </c>
      <c r="Y381" s="32">
        <v>31042.5802</v>
      </c>
      <c r="Z381" s="32">
        <v>32002.66</v>
      </c>
      <c r="AA381" s="32">
        <v>-32002.66</v>
      </c>
      <c r="AB381" s="32">
        <v>0</v>
      </c>
      <c r="AC381" s="32" t="s">
        <v>542</v>
      </c>
      <c r="AD381" s="32"/>
      <c r="AE381" s="32">
        <v>0</v>
      </c>
    </row>
    <row r="382" spans="1:31" x14ac:dyDescent="0.25">
      <c r="A382">
        <v>6132</v>
      </c>
      <c r="B382" t="s">
        <v>177</v>
      </c>
      <c r="C382" t="s">
        <v>178</v>
      </c>
      <c r="D382" s="35">
        <v>112435.2</v>
      </c>
      <c r="E382">
        <v>1246116054</v>
      </c>
      <c r="F382" s="328">
        <v>45491</v>
      </c>
      <c r="H382" t="s">
        <v>173</v>
      </c>
      <c r="I382" t="s">
        <v>174</v>
      </c>
      <c r="J382">
        <v>2046</v>
      </c>
      <c r="K382" s="328">
        <v>45251</v>
      </c>
      <c r="L382">
        <v>1010100</v>
      </c>
      <c r="M382" t="s">
        <v>35</v>
      </c>
      <c r="N382">
        <v>621</v>
      </c>
      <c r="O382" s="32">
        <v>0</v>
      </c>
      <c r="P382" s="32">
        <v>0</v>
      </c>
      <c r="Q382" s="32">
        <v>0</v>
      </c>
      <c r="R382" s="32">
        <v>0</v>
      </c>
      <c r="S382" s="32">
        <v>0</v>
      </c>
      <c r="T382" s="32">
        <v>0</v>
      </c>
      <c r="U382" s="32">
        <v>112435.2</v>
      </c>
      <c r="V382" s="32">
        <v>0</v>
      </c>
      <c r="W382" s="32">
        <v>3373.0559999999996</v>
      </c>
      <c r="X382" s="32">
        <v>109062.144</v>
      </c>
      <c r="Y382" s="32">
        <v>109062.144</v>
      </c>
      <c r="Z382" s="32">
        <v>112435.2</v>
      </c>
      <c r="AA382" s="32">
        <v>-112435.2</v>
      </c>
      <c r="AB382" s="32">
        <v>0</v>
      </c>
      <c r="AC382" s="32" t="s">
        <v>542</v>
      </c>
      <c r="AD382" s="32"/>
      <c r="AE382" s="32">
        <v>0</v>
      </c>
    </row>
    <row r="383" spans="1:31" x14ac:dyDescent="0.25">
      <c r="A383">
        <v>6132</v>
      </c>
      <c r="B383" t="s">
        <v>177</v>
      </c>
      <c r="C383" t="s">
        <v>178</v>
      </c>
      <c r="D383" s="35">
        <v>29450.6</v>
      </c>
      <c r="E383">
        <v>1246128801</v>
      </c>
      <c r="F383" s="328">
        <v>45605</v>
      </c>
      <c r="H383" t="s">
        <v>173</v>
      </c>
      <c r="I383" t="s">
        <v>174</v>
      </c>
      <c r="J383">
        <v>2746</v>
      </c>
      <c r="K383" s="328">
        <v>45330</v>
      </c>
      <c r="L383">
        <v>1010100</v>
      </c>
      <c r="M383" t="s">
        <v>35</v>
      </c>
      <c r="N383">
        <v>507</v>
      </c>
      <c r="O383" s="32">
        <v>0</v>
      </c>
      <c r="P383" s="32">
        <v>0</v>
      </c>
      <c r="Q383" s="32">
        <v>0</v>
      </c>
      <c r="R383" s="32">
        <v>0</v>
      </c>
      <c r="S383" s="32">
        <v>0</v>
      </c>
      <c r="T383" s="32">
        <v>0</v>
      </c>
      <c r="U383" s="32">
        <v>29450.6</v>
      </c>
      <c r="V383" s="32">
        <v>0</v>
      </c>
      <c r="W383" s="32">
        <v>883.51799999999992</v>
      </c>
      <c r="X383" s="32">
        <v>28567.081999999999</v>
      </c>
      <c r="Y383" s="32">
        <v>28567.081999999999</v>
      </c>
      <c r="Z383" s="32">
        <v>29450.6</v>
      </c>
      <c r="AA383" s="32">
        <v>-29450.6</v>
      </c>
      <c r="AB383" s="32">
        <v>0</v>
      </c>
      <c r="AC383" s="32" t="s">
        <v>542</v>
      </c>
      <c r="AD383" s="32"/>
      <c r="AE383" s="32">
        <v>0</v>
      </c>
    </row>
    <row r="384" spans="1:31" x14ac:dyDescent="0.25">
      <c r="A384">
        <v>6132</v>
      </c>
      <c r="B384" t="s">
        <v>177</v>
      </c>
      <c r="C384" t="s">
        <v>178</v>
      </c>
      <c r="D384" s="35">
        <v>87840</v>
      </c>
      <c r="E384">
        <v>1246113431</v>
      </c>
      <c r="F384" s="328">
        <v>45476</v>
      </c>
      <c r="H384" t="s">
        <v>173</v>
      </c>
      <c r="I384" t="s">
        <v>174</v>
      </c>
      <c r="J384">
        <v>1852</v>
      </c>
      <c r="K384" s="328">
        <v>45236</v>
      </c>
      <c r="L384">
        <v>1010100</v>
      </c>
      <c r="M384" t="s">
        <v>35</v>
      </c>
      <c r="N384">
        <v>636</v>
      </c>
      <c r="O384" s="32">
        <v>0</v>
      </c>
      <c r="P384" s="32">
        <v>0</v>
      </c>
      <c r="Q384" s="32">
        <v>0</v>
      </c>
      <c r="R384" s="32">
        <v>0</v>
      </c>
      <c r="S384" s="32">
        <v>0</v>
      </c>
      <c r="T384" s="32">
        <v>0</v>
      </c>
      <c r="U384" s="32">
        <v>87840</v>
      </c>
      <c r="V384" s="32">
        <v>0</v>
      </c>
      <c r="W384" s="32">
        <v>2635.2</v>
      </c>
      <c r="X384" s="32">
        <v>85204.800000000003</v>
      </c>
      <c r="Y384" s="32">
        <v>85204.800000000003</v>
      </c>
      <c r="Z384" s="32">
        <v>87840</v>
      </c>
      <c r="AA384" s="32">
        <v>-87840</v>
      </c>
      <c r="AB384" s="32">
        <v>0</v>
      </c>
      <c r="AC384" s="32" t="s">
        <v>542</v>
      </c>
      <c r="AD384" s="32"/>
      <c r="AE384" s="32">
        <v>0</v>
      </c>
    </row>
    <row r="385" spans="1:31" x14ac:dyDescent="0.25">
      <c r="A385">
        <v>6132</v>
      </c>
      <c r="B385" t="s">
        <v>177</v>
      </c>
      <c r="C385" t="s">
        <v>178</v>
      </c>
      <c r="D385" s="35">
        <v>27201.1</v>
      </c>
      <c r="E385">
        <v>1246124199</v>
      </c>
      <c r="F385" s="328">
        <v>45557</v>
      </c>
      <c r="H385" t="s">
        <v>173</v>
      </c>
      <c r="I385" t="s">
        <v>174</v>
      </c>
      <c r="J385">
        <v>2454</v>
      </c>
      <c r="K385" s="328">
        <v>45301</v>
      </c>
      <c r="L385">
        <v>1010100</v>
      </c>
      <c r="M385" t="s">
        <v>35</v>
      </c>
      <c r="N385">
        <v>555</v>
      </c>
      <c r="O385" s="32">
        <v>0</v>
      </c>
      <c r="P385" s="32">
        <v>0</v>
      </c>
      <c r="Q385" s="32">
        <v>0</v>
      </c>
      <c r="R385" s="32">
        <v>0</v>
      </c>
      <c r="S385" s="32">
        <v>0</v>
      </c>
      <c r="T385" s="32">
        <v>0</v>
      </c>
      <c r="U385" s="32">
        <v>27201.1</v>
      </c>
      <c r="V385" s="32">
        <v>0</v>
      </c>
      <c r="W385" s="32">
        <v>816.0329999999999</v>
      </c>
      <c r="X385" s="32">
        <v>26385.066999999999</v>
      </c>
      <c r="Y385" s="32">
        <v>26385.066999999999</v>
      </c>
      <c r="Z385" s="32">
        <v>27201.1</v>
      </c>
      <c r="AA385" s="32">
        <v>-27201.1</v>
      </c>
      <c r="AB385" s="32">
        <v>0</v>
      </c>
      <c r="AC385" s="32" t="s">
        <v>542</v>
      </c>
      <c r="AD385" s="32"/>
      <c r="AE385" s="32">
        <v>0</v>
      </c>
    </row>
    <row r="386" spans="1:31" x14ac:dyDescent="0.25">
      <c r="A386">
        <v>6132</v>
      </c>
      <c r="B386" t="s">
        <v>177</v>
      </c>
      <c r="C386" t="s">
        <v>178</v>
      </c>
      <c r="D386" s="35">
        <v>86529.600000000006</v>
      </c>
      <c r="E386">
        <v>1246116354</v>
      </c>
      <c r="F386" s="328">
        <v>45475</v>
      </c>
      <c r="H386" t="s">
        <v>173</v>
      </c>
      <c r="I386" t="s">
        <v>174</v>
      </c>
      <c r="J386">
        <v>2068</v>
      </c>
      <c r="K386" s="328">
        <v>45253</v>
      </c>
      <c r="L386">
        <v>1010100</v>
      </c>
      <c r="M386" t="s">
        <v>35</v>
      </c>
      <c r="N386">
        <v>637</v>
      </c>
      <c r="O386" s="32">
        <v>0</v>
      </c>
      <c r="P386" s="32">
        <v>0</v>
      </c>
      <c r="Q386" s="32">
        <v>0</v>
      </c>
      <c r="R386" s="32">
        <v>0</v>
      </c>
      <c r="S386" s="32">
        <v>0</v>
      </c>
      <c r="T386" s="32">
        <v>0</v>
      </c>
      <c r="U386" s="32">
        <v>86529.600000000006</v>
      </c>
      <c r="V386" s="32">
        <v>0</v>
      </c>
      <c r="W386" s="32">
        <v>2595.8879999999999</v>
      </c>
      <c r="X386" s="32">
        <v>83933.712</v>
      </c>
      <c r="Y386" s="32">
        <v>83933.712</v>
      </c>
      <c r="Z386" s="32">
        <v>86529.600000000006</v>
      </c>
      <c r="AA386" s="32">
        <v>-86529.600000000006</v>
      </c>
      <c r="AB386" s="32">
        <v>0</v>
      </c>
      <c r="AC386" s="32" t="s">
        <v>542</v>
      </c>
      <c r="AD386" s="32"/>
      <c r="AE386" s="32">
        <v>0</v>
      </c>
    </row>
    <row r="387" spans="1:31" x14ac:dyDescent="0.25">
      <c r="A387">
        <v>6132</v>
      </c>
      <c r="B387" t="s">
        <v>177</v>
      </c>
      <c r="C387" t="s">
        <v>178</v>
      </c>
      <c r="D387" s="35">
        <v>171010</v>
      </c>
      <c r="E387">
        <v>1246117256</v>
      </c>
      <c r="F387" s="328">
        <v>45474</v>
      </c>
      <c r="H387" t="s">
        <v>173</v>
      </c>
      <c r="I387" t="s">
        <v>174</v>
      </c>
      <c r="J387">
        <v>2130</v>
      </c>
      <c r="K387" s="328">
        <v>45260</v>
      </c>
      <c r="L387">
        <v>1010100</v>
      </c>
      <c r="M387" t="s">
        <v>35</v>
      </c>
      <c r="N387">
        <v>638</v>
      </c>
      <c r="O387" s="32">
        <v>0</v>
      </c>
      <c r="P387" s="32">
        <v>0</v>
      </c>
      <c r="Q387" s="32">
        <v>0</v>
      </c>
      <c r="R387" s="32">
        <v>0</v>
      </c>
      <c r="S387" s="32">
        <v>0</v>
      </c>
      <c r="T387" s="32">
        <v>0</v>
      </c>
      <c r="U387" s="32">
        <v>171010</v>
      </c>
      <c r="V387" s="32">
        <v>0</v>
      </c>
      <c r="W387" s="32">
        <v>5130.3</v>
      </c>
      <c r="X387" s="32">
        <v>165879.69999999998</v>
      </c>
      <c r="Y387" s="32">
        <v>165879.69999999998</v>
      </c>
      <c r="Z387" s="32">
        <v>171010</v>
      </c>
      <c r="AA387" s="32">
        <v>-171010</v>
      </c>
      <c r="AB387" s="32">
        <v>0</v>
      </c>
      <c r="AC387" s="32" t="s">
        <v>542</v>
      </c>
      <c r="AD387" s="32"/>
      <c r="AE387" s="32">
        <v>0</v>
      </c>
    </row>
    <row r="388" spans="1:31" x14ac:dyDescent="0.25">
      <c r="A388">
        <v>6132</v>
      </c>
      <c r="B388" t="s">
        <v>177</v>
      </c>
      <c r="C388" t="s">
        <v>178</v>
      </c>
      <c r="D388" s="35">
        <v>94461</v>
      </c>
      <c r="E388">
        <v>1246125716</v>
      </c>
      <c r="F388" s="328">
        <v>45578</v>
      </c>
      <c r="H388" t="s">
        <v>173</v>
      </c>
      <c r="I388" t="s">
        <v>174</v>
      </c>
      <c r="J388">
        <v>2541</v>
      </c>
      <c r="K388" s="328">
        <v>45310</v>
      </c>
      <c r="L388">
        <v>1010100</v>
      </c>
      <c r="M388" t="s">
        <v>35</v>
      </c>
      <c r="N388">
        <v>534</v>
      </c>
      <c r="O388" s="32">
        <v>0</v>
      </c>
      <c r="P388" s="32">
        <v>0</v>
      </c>
      <c r="Q388" s="32">
        <v>0</v>
      </c>
      <c r="R388" s="32">
        <v>0</v>
      </c>
      <c r="S388" s="32">
        <v>0</v>
      </c>
      <c r="T388" s="32">
        <v>0</v>
      </c>
      <c r="U388" s="32">
        <v>94461</v>
      </c>
      <c r="V388" s="32">
        <v>0</v>
      </c>
      <c r="W388" s="32">
        <v>2833.83</v>
      </c>
      <c r="X388" s="32">
        <v>91627.17</v>
      </c>
      <c r="Y388" s="32">
        <v>91627.17</v>
      </c>
      <c r="Z388" s="32">
        <v>94461</v>
      </c>
      <c r="AA388" s="32">
        <v>-94461</v>
      </c>
      <c r="AB388" s="32">
        <v>0</v>
      </c>
      <c r="AC388" s="32" t="s">
        <v>542</v>
      </c>
      <c r="AD388" s="32"/>
      <c r="AE388" s="32">
        <v>0</v>
      </c>
    </row>
    <row r="389" spans="1:31" x14ac:dyDescent="0.25">
      <c r="A389">
        <v>6132</v>
      </c>
      <c r="B389" t="s">
        <v>177</v>
      </c>
      <c r="C389" t="s">
        <v>178</v>
      </c>
      <c r="D389" s="35">
        <v>67967</v>
      </c>
      <c r="E389">
        <v>1246128327</v>
      </c>
      <c r="F389" s="328">
        <v>45567</v>
      </c>
      <c r="H389" t="s">
        <v>173</v>
      </c>
      <c r="I389" t="s">
        <v>174</v>
      </c>
      <c r="J389">
        <v>2712</v>
      </c>
      <c r="K389" s="328">
        <v>45327</v>
      </c>
      <c r="L389">
        <v>1010100</v>
      </c>
      <c r="M389" t="s">
        <v>35</v>
      </c>
      <c r="N389">
        <v>545</v>
      </c>
      <c r="O389" s="32">
        <v>0</v>
      </c>
      <c r="P389" s="32">
        <v>0</v>
      </c>
      <c r="Q389" s="32">
        <v>0</v>
      </c>
      <c r="R389" s="32">
        <v>0</v>
      </c>
      <c r="S389" s="32">
        <v>0</v>
      </c>
      <c r="T389" s="32">
        <v>0</v>
      </c>
      <c r="U389" s="32">
        <v>67967</v>
      </c>
      <c r="V389" s="32">
        <v>0</v>
      </c>
      <c r="W389" s="32">
        <v>2039.01</v>
      </c>
      <c r="X389" s="32">
        <v>65927.990000000005</v>
      </c>
      <c r="Y389" s="32">
        <v>65927.990000000005</v>
      </c>
      <c r="Z389" s="32">
        <v>67967</v>
      </c>
      <c r="AA389" s="32">
        <v>-67967</v>
      </c>
      <c r="AB389" s="32">
        <v>0</v>
      </c>
      <c r="AC389" s="32" t="s">
        <v>542</v>
      </c>
      <c r="AD389" s="32"/>
      <c r="AE389" s="32">
        <v>0</v>
      </c>
    </row>
    <row r="390" spans="1:31" x14ac:dyDescent="0.25">
      <c r="A390">
        <v>6132</v>
      </c>
      <c r="B390" t="s">
        <v>177</v>
      </c>
      <c r="C390" t="s">
        <v>178</v>
      </c>
      <c r="D390" s="35">
        <v>77852.5</v>
      </c>
      <c r="E390">
        <v>1246128328</v>
      </c>
      <c r="F390" s="328">
        <v>45567</v>
      </c>
      <c r="H390" t="s">
        <v>173</v>
      </c>
      <c r="I390" t="s">
        <v>174</v>
      </c>
      <c r="J390">
        <v>2713</v>
      </c>
      <c r="K390" s="328">
        <v>45327</v>
      </c>
      <c r="L390">
        <v>1010100</v>
      </c>
      <c r="M390" t="s">
        <v>35</v>
      </c>
      <c r="N390">
        <v>545</v>
      </c>
      <c r="O390" s="32">
        <v>0</v>
      </c>
      <c r="P390" s="32">
        <v>0</v>
      </c>
      <c r="Q390" s="32">
        <v>0</v>
      </c>
      <c r="R390" s="32">
        <v>0</v>
      </c>
      <c r="S390" s="32">
        <v>0</v>
      </c>
      <c r="T390" s="32">
        <v>0</v>
      </c>
      <c r="U390" s="32">
        <v>77852.5</v>
      </c>
      <c r="V390" s="32">
        <v>0</v>
      </c>
      <c r="W390" s="32">
        <v>2335.5749999999998</v>
      </c>
      <c r="X390" s="32">
        <v>75516.925000000003</v>
      </c>
      <c r="Y390" s="32">
        <v>75516.925000000003</v>
      </c>
      <c r="Z390" s="32">
        <v>77852.5</v>
      </c>
      <c r="AA390" s="32">
        <v>-77852.5</v>
      </c>
      <c r="AB390" s="32">
        <v>0</v>
      </c>
      <c r="AC390" s="32" t="s">
        <v>542</v>
      </c>
      <c r="AD390" s="32"/>
      <c r="AE390" s="32">
        <v>0</v>
      </c>
    </row>
    <row r="391" spans="1:31" x14ac:dyDescent="0.25">
      <c r="A391">
        <v>6132</v>
      </c>
      <c r="B391" t="s">
        <v>177</v>
      </c>
      <c r="C391" t="s">
        <v>178</v>
      </c>
      <c r="D391" s="35">
        <v>41610.269999999997</v>
      </c>
      <c r="E391">
        <v>1246128682</v>
      </c>
      <c r="F391" s="328">
        <v>45604</v>
      </c>
      <c r="H391" t="s">
        <v>173</v>
      </c>
      <c r="I391" t="s">
        <v>174</v>
      </c>
      <c r="J391">
        <v>2737</v>
      </c>
      <c r="K391" s="328">
        <v>45329</v>
      </c>
      <c r="L391">
        <v>1010100</v>
      </c>
      <c r="M391" t="s">
        <v>35</v>
      </c>
      <c r="N391">
        <v>508</v>
      </c>
      <c r="O391" s="32">
        <v>0</v>
      </c>
      <c r="P391" s="32">
        <v>0</v>
      </c>
      <c r="Q391" s="32">
        <v>0</v>
      </c>
      <c r="R391" s="32">
        <v>0</v>
      </c>
      <c r="S391" s="32">
        <v>0</v>
      </c>
      <c r="T391" s="32">
        <v>0</v>
      </c>
      <c r="U391" s="32">
        <v>41610.269999999997</v>
      </c>
      <c r="V391" s="32">
        <v>0</v>
      </c>
      <c r="W391" s="32">
        <v>1248.3081</v>
      </c>
      <c r="X391" s="32">
        <v>40361.961899999995</v>
      </c>
      <c r="Y391" s="32">
        <v>40361.961899999995</v>
      </c>
      <c r="Z391" s="32">
        <v>41610.269999999997</v>
      </c>
      <c r="AA391" s="32">
        <v>-41610.269999999997</v>
      </c>
      <c r="AB391" s="32">
        <v>0</v>
      </c>
      <c r="AC391" s="32" t="s">
        <v>542</v>
      </c>
      <c r="AD391" s="32"/>
      <c r="AE391" s="32">
        <v>0</v>
      </c>
    </row>
    <row r="392" spans="1:31" x14ac:dyDescent="0.25">
      <c r="A392">
        <v>6132</v>
      </c>
      <c r="B392" t="s">
        <v>177</v>
      </c>
      <c r="C392" t="s">
        <v>178</v>
      </c>
      <c r="D392" s="35">
        <v>107254.39999999999</v>
      </c>
      <c r="E392">
        <v>1246126442</v>
      </c>
      <c r="F392" s="328">
        <v>45565</v>
      </c>
      <c r="H392" t="s">
        <v>173</v>
      </c>
      <c r="I392" t="s">
        <v>174</v>
      </c>
      <c r="J392">
        <v>2587</v>
      </c>
      <c r="K392" s="328">
        <v>45315</v>
      </c>
      <c r="L392">
        <v>1010100</v>
      </c>
      <c r="M392" t="s">
        <v>35</v>
      </c>
      <c r="N392">
        <v>547</v>
      </c>
      <c r="O392" s="32">
        <v>0</v>
      </c>
      <c r="P392" s="32">
        <v>0</v>
      </c>
      <c r="Q392" s="32">
        <v>0</v>
      </c>
      <c r="R392" s="32">
        <v>0</v>
      </c>
      <c r="S392" s="32">
        <v>0</v>
      </c>
      <c r="T392" s="32">
        <v>0</v>
      </c>
      <c r="U392" s="32">
        <v>107254.39999999999</v>
      </c>
      <c r="V392" s="32">
        <v>0</v>
      </c>
      <c r="W392" s="32">
        <v>3217.6319999999996</v>
      </c>
      <c r="X392" s="32">
        <v>104036.768</v>
      </c>
      <c r="Y392" s="32">
        <v>104036.768</v>
      </c>
      <c r="Z392" s="32">
        <v>107254.39999999999</v>
      </c>
      <c r="AA392" s="32">
        <v>-107254.39999999999</v>
      </c>
      <c r="AB392" s="32">
        <v>0</v>
      </c>
      <c r="AC392" s="32" t="s">
        <v>542</v>
      </c>
      <c r="AD392" s="32"/>
      <c r="AE392" s="32">
        <v>0</v>
      </c>
    </row>
    <row r="393" spans="1:31" x14ac:dyDescent="0.25">
      <c r="A393">
        <v>6132</v>
      </c>
      <c r="B393" t="s">
        <v>177</v>
      </c>
      <c r="C393" t="s">
        <v>178</v>
      </c>
      <c r="D393" s="35">
        <v>56218.2</v>
      </c>
      <c r="E393">
        <v>1246128800</v>
      </c>
      <c r="F393" s="328">
        <v>45605</v>
      </c>
      <c r="H393" t="s">
        <v>173</v>
      </c>
      <c r="I393" t="s">
        <v>174</v>
      </c>
      <c r="J393">
        <v>2745</v>
      </c>
      <c r="K393" s="328">
        <v>45330</v>
      </c>
      <c r="L393">
        <v>1010100</v>
      </c>
      <c r="M393" t="s">
        <v>35</v>
      </c>
      <c r="N393">
        <v>507</v>
      </c>
      <c r="O393" s="32">
        <v>0</v>
      </c>
      <c r="P393" s="32">
        <v>0</v>
      </c>
      <c r="Q393" s="32">
        <v>0</v>
      </c>
      <c r="R393" s="32">
        <v>0</v>
      </c>
      <c r="S393" s="32">
        <v>0</v>
      </c>
      <c r="T393" s="32">
        <v>0</v>
      </c>
      <c r="U393" s="32">
        <v>56218.2</v>
      </c>
      <c r="V393" s="32">
        <v>0</v>
      </c>
      <c r="W393" s="32">
        <v>1686.5459999999998</v>
      </c>
      <c r="X393" s="32">
        <v>54531.653999999995</v>
      </c>
      <c r="Y393" s="32">
        <v>54531.653999999995</v>
      </c>
      <c r="Z393" s="32">
        <v>56218.2</v>
      </c>
      <c r="AA393" s="32">
        <v>-56218.2</v>
      </c>
      <c r="AB393" s="32">
        <v>0</v>
      </c>
      <c r="AC393" s="32" t="s">
        <v>542</v>
      </c>
      <c r="AD393" s="32"/>
      <c r="AE393" s="32">
        <v>0</v>
      </c>
    </row>
    <row r="394" spans="1:31" x14ac:dyDescent="0.25">
      <c r="A394">
        <v>6132</v>
      </c>
      <c r="B394" t="s">
        <v>177</v>
      </c>
      <c r="C394" t="s">
        <v>178</v>
      </c>
      <c r="D394" s="35">
        <v>24480.99</v>
      </c>
      <c r="E394">
        <v>1246127802</v>
      </c>
      <c r="F394" s="328">
        <v>45603</v>
      </c>
      <c r="H394" t="s">
        <v>173</v>
      </c>
      <c r="I394" t="s">
        <v>174</v>
      </c>
      <c r="J394">
        <v>2674</v>
      </c>
      <c r="K394" s="328">
        <v>45323</v>
      </c>
      <c r="L394">
        <v>1010100</v>
      </c>
      <c r="M394" t="s">
        <v>35</v>
      </c>
      <c r="N394">
        <v>509</v>
      </c>
      <c r="O394" s="32">
        <v>0</v>
      </c>
      <c r="P394" s="32">
        <v>0</v>
      </c>
      <c r="Q394" s="32">
        <v>0</v>
      </c>
      <c r="R394" s="32">
        <v>0</v>
      </c>
      <c r="S394" s="32">
        <v>0</v>
      </c>
      <c r="T394" s="32">
        <v>0</v>
      </c>
      <c r="U394" s="32">
        <v>24480.99</v>
      </c>
      <c r="V394" s="32">
        <v>0</v>
      </c>
      <c r="W394" s="32">
        <v>734.42970000000003</v>
      </c>
      <c r="X394" s="32">
        <v>23746.560300000001</v>
      </c>
      <c r="Y394" s="32">
        <v>23746.560300000001</v>
      </c>
      <c r="Z394" s="32">
        <v>24480.99</v>
      </c>
      <c r="AA394" s="32">
        <v>-24480.99</v>
      </c>
      <c r="AB394" s="32">
        <v>0</v>
      </c>
      <c r="AC394" s="32" t="s">
        <v>542</v>
      </c>
      <c r="AD394" s="32"/>
      <c r="AE394" s="32">
        <v>0</v>
      </c>
    </row>
    <row r="395" spans="1:31" x14ac:dyDescent="0.25">
      <c r="A395">
        <v>6132</v>
      </c>
      <c r="B395" t="s">
        <v>177</v>
      </c>
      <c r="C395" t="s">
        <v>178</v>
      </c>
      <c r="D395" s="35">
        <v>87043.520000000004</v>
      </c>
      <c r="E395">
        <v>1246120531</v>
      </c>
      <c r="F395" s="328">
        <v>45559</v>
      </c>
      <c r="H395" t="s">
        <v>173</v>
      </c>
      <c r="I395" t="s">
        <v>174</v>
      </c>
      <c r="J395">
        <v>2295</v>
      </c>
      <c r="K395" s="328">
        <v>45279</v>
      </c>
      <c r="L395">
        <v>1010100</v>
      </c>
      <c r="M395" t="s">
        <v>35</v>
      </c>
      <c r="N395">
        <v>553</v>
      </c>
      <c r="O395" s="32">
        <v>0</v>
      </c>
      <c r="P395" s="32">
        <v>0</v>
      </c>
      <c r="Q395" s="32">
        <v>0</v>
      </c>
      <c r="R395" s="32">
        <v>0</v>
      </c>
      <c r="S395" s="32">
        <v>0</v>
      </c>
      <c r="T395" s="32">
        <v>0</v>
      </c>
      <c r="U395" s="32">
        <v>87043.520000000004</v>
      </c>
      <c r="V395" s="32">
        <v>0</v>
      </c>
      <c r="W395" s="32">
        <v>2611.3056000000001</v>
      </c>
      <c r="X395" s="32">
        <v>84432.214399999997</v>
      </c>
      <c r="Y395" s="32">
        <v>84432.214399999997</v>
      </c>
      <c r="Z395" s="32">
        <v>87043.520000000004</v>
      </c>
      <c r="AA395" s="32">
        <v>-87043.520000000004</v>
      </c>
      <c r="AB395" s="32">
        <v>0</v>
      </c>
      <c r="AC395" s="32" t="s">
        <v>542</v>
      </c>
      <c r="AD395" s="32"/>
      <c r="AE395" s="32">
        <v>0</v>
      </c>
    </row>
    <row r="396" spans="1:31" x14ac:dyDescent="0.25">
      <c r="A396">
        <v>6132</v>
      </c>
      <c r="B396" t="s">
        <v>177</v>
      </c>
      <c r="C396" t="s">
        <v>178</v>
      </c>
      <c r="D396" s="35">
        <v>87504.97</v>
      </c>
      <c r="E396">
        <v>1246119910</v>
      </c>
      <c r="F396" s="328">
        <v>45555</v>
      </c>
      <c r="H396" t="s">
        <v>173</v>
      </c>
      <c r="I396" t="s">
        <v>174</v>
      </c>
      <c r="J396">
        <v>2248</v>
      </c>
      <c r="K396" s="328">
        <v>45275</v>
      </c>
      <c r="L396">
        <v>1010100</v>
      </c>
      <c r="M396" t="s">
        <v>35</v>
      </c>
      <c r="N396">
        <v>557</v>
      </c>
      <c r="O396" s="32">
        <v>0</v>
      </c>
      <c r="P396" s="32">
        <v>0</v>
      </c>
      <c r="Q396" s="32">
        <v>0</v>
      </c>
      <c r="R396" s="32">
        <v>0</v>
      </c>
      <c r="S396" s="32">
        <v>0</v>
      </c>
      <c r="T396" s="32">
        <v>0</v>
      </c>
      <c r="U396" s="32">
        <v>87504.97</v>
      </c>
      <c r="V396" s="32">
        <v>0</v>
      </c>
      <c r="W396" s="32">
        <v>2625.1491000000001</v>
      </c>
      <c r="X396" s="32">
        <v>84879.820899999992</v>
      </c>
      <c r="Y396" s="32">
        <v>84879.820899999992</v>
      </c>
      <c r="Z396" s="32">
        <v>87504.97</v>
      </c>
      <c r="AA396" s="32">
        <v>-87504.97</v>
      </c>
      <c r="AB396" s="32">
        <v>0</v>
      </c>
      <c r="AC396" s="32" t="s">
        <v>542</v>
      </c>
      <c r="AD396" s="32"/>
      <c r="AE396" s="32">
        <v>0</v>
      </c>
    </row>
    <row r="397" spans="1:31" x14ac:dyDescent="0.25">
      <c r="A397">
        <v>6132</v>
      </c>
      <c r="B397" t="s">
        <v>177</v>
      </c>
      <c r="C397" t="s">
        <v>178</v>
      </c>
      <c r="D397" s="35">
        <v>22997.32</v>
      </c>
      <c r="E397">
        <v>1246119982</v>
      </c>
      <c r="F397" s="328">
        <v>45515</v>
      </c>
      <c r="H397" t="s">
        <v>173</v>
      </c>
      <c r="I397" t="s">
        <v>174</v>
      </c>
      <c r="J397">
        <v>2263</v>
      </c>
      <c r="K397" s="328">
        <v>45275</v>
      </c>
      <c r="L397">
        <v>1010100</v>
      </c>
      <c r="M397" t="s">
        <v>35</v>
      </c>
      <c r="N397">
        <v>597</v>
      </c>
      <c r="O397" s="32">
        <v>0</v>
      </c>
      <c r="P397" s="32">
        <v>0</v>
      </c>
      <c r="Q397" s="32">
        <v>0</v>
      </c>
      <c r="R397" s="32">
        <v>0</v>
      </c>
      <c r="S397" s="32">
        <v>0</v>
      </c>
      <c r="T397" s="32">
        <v>0</v>
      </c>
      <c r="U397" s="32">
        <v>22997.32</v>
      </c>
      <c r="V397" s="32">
        <v>0</v>
      </c>
      <c r="W397" s="32">
        <v>689.91959999999995</v>
      </c>
      <c r="X397" s="32">
        <v>22307.400399999999</v>
      </c>
      <c r="Y397" s="32">
        <v>22307.400399999999</v>
      </c>
      <c r="Z397" s="32">
        <v>22997.32</v>
      </c>
      <c r="AA397" s="32">
        <v>-22997.32</v>
      </c>
      <c r="AB397" s="32">
        <v>0</v>
      </c>
      <c r="AC397" s="32" t="s">
        <v>542</v>
      </c>
      <c r="AD397" s="32"/>
      <c r="AE397" s="32">
        <v>0</v>
      </c>
    </row>
    <row r="398" spans="1:31" x14ac:dyDescent="0.25">
      <c r="A398">
        <v>6132</v>
      </c>
      <c r="B398" t="s">
        <v>177</v>
      </c>
      <c r="C398" t="s">
        <v>178</v>
      </c>
      <c r="D398" s="35">
        <v>10860</v>
      </c>
      <c r="E398">
        <v>1246122169</v>
      </c>
      <c r="F398" s="328">
        <v>45469</v>
      </c>
      <c r="H398" t="s">
        <v>173</v>
      </c>
      <c r="I398" t="s">
        <v>174</v>
      </c>
      <c r="J398">
        <v>2373</v>
      </c>
      <c r="K398" s="328">
        <v>45289</v>
      </c>
      <c r="L398">
        <v>1010100</v>
      </c>
      <c r="M398" t="s">
        <v>35</v>
      </c>
      <c r="N398">
        <v>643</v>
      </c>
      <c r="O398" s="32">
        <v>0</v>
      </c>
      <c r="P398" s="32">
        <v>0</v>
      </c>
      <c r="Q398" s="32">
        <v>0</v>
      </c>
      <c r="R398" s="32">
        <v>0</v>
      </c>
      <c r="S398" s="32">
        <v>0</v>
      </c>
      <c r="T398" s="32">
        <v>0</v>
      </c>
      <c r="U398" s="32">
        <v>10860</v>
      </c>
      <c r="V398" s="32">
        <v>0</v>
      </c>
      <c r="W398" s="32">
        <v>325.8</v>
      </c>
      <c r="X398" s="32">
        <v>10534.199999999999</v>
      </c>
      <c r="Y398" s="32">
        <v>10534.199999999999</v>
      </c>
      <c r="Z398" s="32">
        <v>10860</v>
      </c>
      <c r="AA398" s="32">
        <v>-10860</v>
      </c>
      <c r="AB398" s="32">
        <v>0</v>
      </c>
      <c r="AC398" s="32" t="s">
        <v>542</v>
      </c>
      <c r="AD398" s="32"/>
      <c r="AE398" s="32">
        <v>0</v>
      </c>
    </row>
    <row r="399" spans="1:31" x14ac:dyDescent="0.25">
      <c r="A399">
        <v>6132</v>
      </c>
      <c r="B399" t="s">
        <v>177</v>
      </c>
      <c r="C399" t="s">
        <v>178</v>
      </c>
      <c r="D399" s="35">
        <v>57205.5</v>
      </c>
      <c r="E399">
        <v>1246122168</v>
      </c>
      <c r="F399" s="328">
        <v>45557</v>
      </c>
      <c r="H399" t="s">
        <v>173</v>
      </c>
      <c r="I399" t="s">
        <v>174</v>
      </c>
      <c r="J399">
        <v>2372</v>
      </c>
      <c r="K399" s="328">
        <v>45289</v>
      </c>
      <c r="L399">
        <v>1010100</v>
      </c>
      <c r="M399" t="s">
        <v>35</v>
      </c>
      <c r="N399">
        <v>555</v>
      </c>
      <c r="O399" s="32">
        <v>0</v>
      </c>
      <c r="P399" s="32">
        <v>0</v>
      </c>
      <c r="Q399" s="32">
        <v>0</v>
      </c>
      <c r="R399" s="32">
        <v>0</v>
      </c>
      <c r="S399" s="32">
        <v>0</v>
      </c>
      <c r="T399" s="32">
        <v>0</v>
      </c>
      <c r="U399" s="32">
        <v>57205.5</v>
      </c>
      <c r="V399" s="32">
        <v>0</v>
      </c>
      <c r="W399" s="32">
        <v>1716.165</v>
      </c>
      <c r="X399" s="32">
        <v>55489.334999999999</v>
      </c>
      <c r="Y399" s="32">
        <v>55489.334999999999</v>
      </c>
      <c r="Z399" s="32">
        <v>57205.5</v>
      </c>
      <c r="AA399" s="32">
        <v>-57205.5</v>
      </c>
      <c r="AB399" s="32">
        <v>0</v>
      </c>
      <c r="AC399" s="32" t="s">
        <v>542</v>
      </c>
      <c r="AD399" s="32"/>
      <c r="AE399" s="32">
        <v>0</v>
      </c>
    </row>
    <row r="400" spans="1:31" x14ac:dyDescent="0.25">
      <c r="A400">
        <v>6132</v>
      </c>
      <c r="B400" t="s">
        <v>177</v>
      </c>
      <c r="C400" t="s">
        <v>178</v>
      </c>
      <c r="D400" s="35">
        <v>109750.39999999999</v>
      </c>
      <c r="E400">
        <v>1246117165</v>
      </c>
      <c r="F400" s="328">
        <v>45473</v>
      </c>
      <c r="H400" t="s">
        <v>173</v>
      </c>
      <c r="I400" t="s">
        <v>174</v>
      </c>
      <c r="J400">
        <v>2128</v>
      </c>
      <c r="K400" s="328">
        <v>45259</v>
      </c>
      <c r="L400">
        <v>1010100</v>
      </c>
      <c r="M400" t="s">
        <v>35</v>
      </c>
      <c r="N400">
        <v>639</v>
      </c>
      <c r="O400" s="32">
        <v>0</v>
      </c>
      <c r="P400" s="32">
        <v>0</v>
      </c>
      <c r="Q400" s="32">
        <v>0</v>
      </c>
      <c r="R400" s="32">
        <v>0</v>
      </c>
      <c r="S400" s="32">
        <v>0</v>
      </c>
      <c r="T400" s="32">
        <v>0</v>
      </c>
      <c r="U400" s="32">
        <v>109750.39999999999</v>
      </c>
      <c r="V400" s="32">
        <v>0</v>
      </c>
      <c r="W400" s="32">
        <v>3292.5119999999997</v>
      </c>
      <c r="X400" s="32">
        <v>106457.88799999999</v>
      </c>
      <c r="Y400" s="32">
        <v>106457.88799999999</v>
      </c>
      <c r="Z400" s="32">
        <v>109750.39999999999</v>
      </c>
      <c r="AA400" s="32">
        <v>-109750.39999999999</v>
      </c>
      <c r="AB400" s="32">
        <v>0</v>
      </c>
      <c r="AC400" s="32" t="s">
        <v>542</v>
      </c>
      <c r="AD400" s="32"/>
      <c r="AE400" s="32">
        <v>0</v>
      </c>
    </row>
    <row r="401" spans="1:31" x14ac:dyDescent="0.25">
      <c r="A401">
        <v>6132</v>
      </c>
      <c r="B401" t="s">
        <v>177</v>
      </c>
      <c r="C401" t="s">
        <v>178</v>
      </c>
      <c r="D401" s="35">
        <v>111644.8</v>
      </c>
      <c r="E401">
        <v>1246117516</v>
      </c>
      <c r="F401" s="328">
        <v>45536</v>
      </c>
      <c r="H401" t="s">
        <v>173</v>
      </c>
      <c r="I401" t="s">
        <v>174</v>
      </c>
      <c r="J401">
        <v>2140</v>
      </c>
      <c r="K401" s="328">
        <v>45261</v>
      </c>
      <c r="L401">
        <v>1010100</v>
      </c>
      <c r="M401" t="s">
        <v>35</v>
      </c>
      <c r="N401">
        <v>576</v>
      </c>
      <c r="O401" s="32">
        <v>0</v>
      </c>
      <c r="P401" s="32">
        <v>0</v>
      </c>
      <c r="Q401" s="32">
        <v>0</v>
      </c>
      <c r="R401" s="32">
        <v>0</v>
      </c>
      <c r="S401" s="32">
        <v>0</v>
      </c>
      <c r="T401" s="32">
        <v>0</v>
      </c>
      <c r="U401" s="32">
        <v>111644.8</v>
      </c>
      <c r="V401" s="32">
        <v>0</v>
      </c>
      <c r="W401" s="32">
        <v>3349.3440000000001</v>
      </c>
      <c r="X401" s="32">
        <v>108295.45600000001</v>
      </c>
      <c r="Y401" s="32">
        <v>108295.45600000001</v>
      </c>
      <c r="Z401" s="32">
        <v>111644.8</v>
      </c>
      <c r="AA401" s="32">
        <v>-111644.8</v>
      </c>
      <c r="AB401" s="32">
        <v>0</v>
      </c>
      <c r="AC401" s="32" t="s">
        <v>542</v>
      </c>
      <c r="AD401" s="32"/>
      <c r="AE401" s="32">
        <v>0</v>
      </c>
    </row>
    <row r="402" spans="1:31" x14ac:dyDescent="0.25">
      <c r="A402">
        <v>6132</v>
      </c>
      <c r="B402" t="s">
        <v>177</v>
      </c>
      <c r="C402" t="s">
        <v>178</v>
      </c>
      <c r="D402" s="35">
        <v>136005.5</v>
      </c>
      <c r="E402">
        <v>1246120768</v>
      </c>
      <c r="F402" s="328">
        <v>45560</v>
      </c>
      <c r="H402" t="s">
        <v>173</v>
      </c>
      <c r="I402" t="s">
        <v>174</v>
      </c>
      <c r="J402">
        <v>2299</v>
      </c>
      <c r="K402" s="328">
        <v>45280</v>
      </c>
      <c r="L402">
        <v>1010100</v>
      </c>
      <c r="M402" t="s">
        <v>35</v>
      </c>
      <c r="N402">
        <v>552</v>
      </c>
      <c r="O402" s="32">
        <v>0</v>
      </c>
      <c r="P402" s="32">
        <v>0</v>
      </c>
      <c r="Q402" s="32">
        <v>0</v>
      </c>
      <c r="R402" s="32">
        <v>0</v>
      </c>
      <c r="S402" s="32">
        <v>0</v>
      </c>
      <c r="T402" s="32">
        <v>0</v>
      </c>
      <c r="U402" s="32">
        <v>136005.5</v>
      </c>
      <c r="V402" s="32">
        <v>0</v>
      </c>
      <c r="W402" s="32">
        <v>4080.165</v>
      </c>
      <c r="X402" s="32">
        <v>131925.33499999999</v>
      </c>
      <c r="Y402" s="32">
        <v>131925.33499999999</v>
      </c>
      <c r="Z402" s="32">
        <v>136005.5</v>
      </c>
      <c r="AA402" s="32">
        <v>-136005.5</v>
      </c>
      <c r="AB402" s="32">
        <v>0</v>
      </c>
      <c r="AC402" s="32" t="s">
        <v>542</v>
      </c>
      <c r="AD402" s="32"/>
      <c r="AE402" s="32">
        <v>0</v>
      </c>
    </row>
    <row r="403" spans="1:31" x14ac:dyDescent="0.25">
      <c r="A403">
        <v>6132</v>
      </c>
      <c r="B403" t="s">
        <v>177</v>
      </c>
      <c r="C403" t="s">
        <v>178</v>
      </c>
      <c r="D403" s="35">
        <v>136005.5</v>
      </c>
      <c r="E403">
        <v>1246124946</v>
      </c>
      <c r="F403" s="328">
        <v>45566</v>
      </c>
      <c r="H403" t="s">
        <v>173</v>
      </c>
      <c r="I403" t="s">
        <v>174</v>
      </c>
      <c r="J403">
        <v>2498</v>
      </c>
      <c r="K403" s="328">
        <v>45306</v>
      </c>
      <c r="L403">
        <v>1010100</v>
      </c>
      <c r="M403" t="s">
        <v>35</v>
      </c>
      <c r="N403">
        <v>546</v>
      </c>
      <c r="O403" s="32">
        <v>0</v>
      </c>
      <c r="P403" s="32">
        <v>0</v>
      </c>
      <c r="Q403" s="32">
        <v>0</v>
      </c>
      <c r="R403" s="32">
        <v>0</v>
      </c>
      <c r="S403" s="32">
        <v>0</v>
      </c>
      <c r="T403" s="32">
        <v>0</v>
      </c>
      <c r="U403" s="32">
        <v>136005.5</v>
      </c>
      <c r="V403" s="32">
        <v>0</v>
      </c>
      <c r="W403" s="32">
        <v>4080.165</v>
      </c>
      <c r="X403" s="32">
        <v>131925.33499999999</v>
      </c>
      <c r="Y403" s="32">
        <v>131925.33499999999</v>
      </c>
      <c r="Z403" s="32">
        <v>136005.5</v>
      </c>
      <c r="AA403" s="32">
        <v>-136005.5</v>
      </c>
      <c r="AB403" s="32">
        <v>0</v>
      </c>
      <c r="AC403" s="32" t="s">
        <v>542</v>
      </c>
      <c r="AD403" s="32"/>
      <c r="AE403" s="32">
        <v>0</v>
      </c>
    </row>
    <row r="404" spans="1:31" x14ac:dyDescent="0.25">
      <c r="A404">
        <v>6132</v>
      </c>
      <c r="B404" t="s">
        <v>177</v>
      </c>
      <c r="C404" t="s">
        <v>178</v>
      </c>
      <c r="D404" s="35">
        <v>87043.520000000004</v>
      </c>
      <c r="E404">
        <v>1246120099</v>
      </c>
      <c r="F404" s="328">
        <v>45558</v>
      </c>
      <c r="H404" t="s">
        <v>173</v>
      </c>
      <c r="I404" t="s">
        <v>174</v>
      </c>
      <c r="J404">
        <v>2279</v>
      </c>
      <c r="K404" s="328">
        <v>45278</v>
      </c>
      <c r="L404">
        <v>1010100</v>
      </c>
      <c r="M404" t="s">
        <v>35</v>
      </c>
      <c r="N404">
        <v>554</v>
      </c>
      <c r="O404" s="32">
        <v>0</v>
      </c>
      <c r="P404" s="32">
        <v>0</v>
      </c>
      <c r="Q404" s="32">
        <v>0</v>
      </c>
      <c r="R404" s="32">
        <v>0</v>
      </c>
      <c r="S404" s="32">
        <v>0</v>
      </c>
      <c r="T404" s="32">
        <v>0</v>
      </c>
      <c r="U404" s="32">
        <v>87043.520000000004</v>
      </c>
      <c r="V404" s="32">
        <v>0</v>
      </c>
      <c r="W404" s="32">
        <v>2611.3056000000001</v>
      </c>
      <c r="X404" s="32">
        <v>84432.214399999997</v>
      </c>
      <c r="Y404" s="32">
        <v>84432.214399999997</v>
      </c>
      <c r="Z404" s="32">
        <v>87043.520000000004</v>
      </c>
      <c r="AA404" s="32">
        <v>-87043.520000000004</v>
      </c>
      <c r="AB404" s="32">
        <v>0</v>
      </c>
      <c r="AC404" s="32" t="s">
        <v>542</v>
      </c>
      <c r="AD404" s="32"/>
      <c r="AE404" s="32">
        <v>0</v>
      </c>
    </row>
    <row r="405" spans="1:31" x14ac:dyDescent="0.25">
      <c r="A405">
        <v>6132</v>
      </c>
      <c r="B405" t="s">
        <v>177</v>
      </c>
      <c r="C405" t="s">
        <v>178</v>
      </c>
      <c r="D405" s="35">
        <v>111465.88</v>
      </c>
      <c r="E405">
        <v>1246127801</v>
      </c>
      <c r="F405" s="328">
        <v>45603</v>
      </c>
      <c r="H405" t="s">
        <v>173</v>
      </c>
      <c r="I405" t="s">
        <v>174</v>
      </c>
      <c r="J405">
        <v>2673</v>
      </c>
      <c r="K405" s="328">
        <v>45323</v>
      </c>
      <c r="L405">
        <v>1010100</v>
      </c>
      <c r="M405" t="s">
        <v>35</v>
      </c>
      <c r="N405">
        <v>509</v>
      </c>
      <c r="O405" s="32">
        <v>0</v>
      </c>
      <c r="P405" s="32">
        <v>0</v>
      </c>
      <c r="Q405" s="32">
        <v>0</v>
      </c>
      <c r="R405" s="32">
        <v>0</v>
      </c>
      <c r="S405" s="32">
        <v>0</v>
      </c>
      <c r="T405" s="32">
        <v>0</v>
      </c>
      <c r="U405" s="32">
        <v>111465.88</v>
      </c>
      <c r="V405" s="32">
        <v>0</v>
      </c>
      <c r="W405" s="32">
        <v>3343.9764</v>
      </c>
      <c r="X405" s="32">
        <v>108121.90360000001</v>
      </c>
      <c r="Y405" s="32">
        <v>108121.90360000001</v>
      </c>
      <c r="Z405" s="32">
        <v>111465.88</v>
      </c>
      <c r="AA405" s="32">
        <v>-111465.88</v>
      </c>
      <c r="AB405" s="32">
        <v>0</v>
      </c>
      <c r="AC405" s="32" t="s">
        <v>542</v>
      </c>
      <c r="AD405" s="32"/>
      <c r="AE405" s="32">
        <v>0</v>
      </c>
    </row>
    <row r="406" spans="1:31" x14ac:dyDescent="0.25">
      <c r="A406">
        <v>6132</v>
      </c>
      <c r="B406" t="s">
        <v>177</v>
      </c>
      <c r="C406" t="s">
        <v>178</v>
      </c>
      <c r="D406" s="35">
        <v>47937.4</v>
      </c>
      <c r="E406">
        <v>1246118354</v>
      </c>
      <c r="F406" s="328">
        <v>45541</v>
      </c>
      <c r="H406" t="s">
        <v>173</v>
      </c>
      <c r="I406" t="s">
        <v>174</v>
      </c>
      <c r="J406">
        <v>2184</v>
      </c>
      <c r="K406" s="328">
        <v>45266</v>
      </c>
      <c r="L406">
        <v>1010100</v>
      </c>
      <c r="M406" t="s">
        <v>35</v>
      </c>
      <c r="N406">
        <v>571</v>
      </c>
      <c r="O406" s="32">
        <v>0</v>
      </c>
      <c r="P406" s="32">
        <v>0</v>
      </c>
      <c r="Q406" s="32">
        <v>0</v>
      </c>
      <c r="R406" s="32">
        <v>0</v>
      </c>
      <c r="S406" s="32">
        <v>0</v>
      </c>
      <c r="T406" s="32">
        <v>0</v>
      </c>
      <c r="U406" s="32">
        <v>47937.4</v>
      </c>
      <c r="V406" s="32">
        <v>0</v>
      </c>
      <c r="W406" s="32">
        <v>1438.1220000000001</v>
      </c>
      <c r="X406" s="32">
        <v>46499.277999999998</v>
      </c>
      <c r="Y406" s="32">
        <v>46499.277999999998</v>
      </c>
      <c r="Z406" s="32">
        <v>47937.4</v>
      </c>
      <c r="AA406" s="32">
        <v>-47937.4</v>
      </c>
      <c r="AB406" s="32">
        <v>0</v>
      </c>
      <c r="AC406" s="32" t="s">
        <v>542</v>
      </c>
      <c r="AD406" s="32"/>
      <c r="AE406" s="32">
        <v>0</v>
      </c>
    </row>
    <row r="407" spans="1:31" x14ac:dyDescent="0.25">
      <c r="A407">
        <v>6132</v>
      </c>
      <c r="B407" t="s">
        <v>177</v>
      </c>
      <c r="C407" t="s">
        <v>178</v>
      </c>
      <c r="D407" s="35">
        <v>155705</v>
      </c>
      <c r="E407">
        <v>1246129974</v>
      </c>
      <c r="F407" s="328">
        <v>45568</v>
      </c>
      <c r="H407" t="s">
        <v>173</v>
      </c>
      <c r="I407" t="s">
        <v>174</v>
      </c>
      <c r="J407">
        <v>2839</v>
      </c>
      <c r="K407" s="328">
        <v>45341</v>
      </c>
      <c r="L407">
        <v>1010100</v>
      </c>
      <c r="M407" t="s">
        <v>35</v>
      </c>
      <c r="N407">
        <v>544</v>
      </c>
      <c r="O407" s="32">
        <v>0</v>
      </c>
      <c r="P407" s="32">
        <v>0</v>
      </c>
      <c r="Q407" s="32">
        <v>0</v>
      </c>
      <c r="R407" s="32">
        <v>0</v>
      </c>
      <c r="S407" s="32">
        <v>0</v>
      </c>
      <c r="T407" s="32">
        <v>0</v>
      </c>
      <c r="U407" s="32">
        <v>155705</v>
      </c>
      <c r="V407" s="32">
        <v>0</v>
      </c>
      <c r="W407" s="32">
        <v>4671.1499999999996</v>
      </c>
      <c r="X407" s="32">
        <v>151033.85</v>
      </c>
      <c r="Y407" s="32">
        <v>151033.85</v>
      </c>
      <c r="Z407" s="32">
        <v>155705</v>
      </c>
      <c r="AA407" s="32">
        <v>-155705</v>
      </c>
      <c r="AB407" s="32">
        <v>0</v>
      </c>
      <c r="AC407" s="32" t="s">
        <v>542</v>
      </c>
      <c r="AD407" s="32"/>
      <c r="AE407" s="32">
        <v>0</v>
      </c>
    </row>
    <row r="408" spans="1:31" x14ac:dyDescent="0.25">
      <c r="A408">
        <v>6132</v>
      </c>
      <c r="B408" t="s">
        <v>177</v>
      </c>
      <c r="C408" t="s">
        <v>178</v>
      </c>
      <c r="D408" s="35">
        <v>42163.65</v>
      </c>
      <c r="E408">
        <v>1246124200</v>
      </c>
      <c r="F408" s="328">
        <v>45569</v>
      </c>
      <c r="G408" s="329"/>
      <c r="H408" t="s">
        <v>173</v>
      </c>
      <c r="I408" t="s">
        <v>174</v>
      </c>
      <c r="J408">
        <v>2455</v>
      </c>
      <c r="K408" s="328">
        <v>45301</v>
      </c>
      <c r="L408">
        <v>1010100</v>
      </c>
      <c r="M408" t="s">
        <v>35</v>
      </c>
      <c r="N408">
        <v>543</v>
      </c>
      <c r="O408" s="32">
        <v>0</v>
      </c>
      <c r="P408" s="32">
        <v>0</v>
      </c>
      <c r="Q408" s="32">
        <v>0</v>
      </c>
      <c r="R408" s="32">
        <v>0</v>
      </c>
      <c r="S408" s="32">
        <v>0</v>
      </c>
      <c r="T408" s="32">
        <v>0</v>
      </c>
      <c r="U408" s="32">
        <v>42163.65</v>
      </c>
      <c r="V408" s="32">
        <v>0</v>
      </c>
      <c r="W408" s="32">
        <v>1264.9095</v>
      </c>
      <c r="X408" s="32">
        <v>40898.7405</v>
      </c>
      <c r="Y408" s="32">
        <v>40898.7405</v>
      </c>
      <c r="Z408" s="32">
        <v>42163.65</v>
      </c>
      <c r="AA408" s="32">
        <v>-42163.65</v>
      </c>
      <c r="AB408" s="32">
        <v>0</v>
      </c>
      <c r="AC408" s="32" t="s">
        <v>542</v>
      </c>
      <c r="AD408" s="32"/>
      <c r="AE408" s="32">
        <v>0</v>
      </c>
    </row>
    <row r="409" spans="1:31" x14ac:dyDescent="0.25">
      <c r="A409">
        <v>6132</v>
      </c>
      <c r="B409" t="s">
        <v>177</v>
      </c>
      <c r="C409" t="s">
        <v>178</v>
      </c>
      <c r="D409" s="35">
        <v>111065.60000000001</v>
      </c>
      <c r="E409">
        <v>1246114703</v>
      </c>
      <c r="F409" s="328">
        <v>45463</v>
      </c>
      <c r="H409" t="s">
        <v>173</v>
      </c>
      <c r="I409" t="s">
        <v>174</v>
      </c>
      <c r="J409">
        <v>1937</v>
      </c>
      <c r="K409" s="328">
        <v>45241</v>
      </c>
      <c r="L409">
        <v>1010100</v>
      </c>
      <c r="M409" t="s">
        <v>35</v>
      </c>
      <c r="N409">
        <v>649</v>
      </c>
      <c r="O409" s="32">
        <v>0</v>
      </c>
      <c r="P409" s="32">
        <v>0</v>
      </c>
      <c r="Q409" s="32">
        <v>0</v>
      </c>
      <c r="R409" s="32">
        <v>0</v>
      </c>
      <c r="S409" s="32">
        <v>0</v>
      </c>
      <c r="T409" s="32">
        <v>0</v>
      </c>
      <c r="U409" s="32">
        <v>111065.60000000001</v>
      </c>
      <c r="V409" s="32">
        <v>0</v>
      </c>
      <c r="W409" s="32">
        <v>3331.9679999999998</v>
      </c>
      <c r="X409" s="32">
        <v>107733.632</v>
      </c>
      <c r="Y409" s="32">
        <v>107733.632</v>
      </c>
      <c r="Z409" s="32">
        <v>111065.60000000001</v>
      </c>
      <c r="AA409" s="32">
        <v>-111065.60000000001</v>
      </c>
      <c r="AB409" s="32">
        <v>0</v>
      </c>
      <c r="AC409" s="32" t="s">
        <v>542</v>
      </c>
      <c r="AD409" s="32"/>
      <c r="AE409" s="32">
        <v>0</v>
      </c>
    </row>
    <row r="410" spans="1:31" x14ac:dyDescent="0.25">
      <c r="A410">
        <v>6132</v>
      </c>
      <c r="B410" t="s">
        <v>177</v>
      </c>
      <c r="C410" t="s">
        <v>178</v>
      </c>
      <c r="D410" s="35">
        <v>27201.1</v>
      </c>
      <c r="E410">
        <v>1246125717</v>
      </c>
      <c r="F410" s="328">
        <v>45566</v>
      </c>
      <c r="H410" t="s">
        <v>173</v>
      </c>
      <c r="I410" t="s">
        <v>174</v>
      </c>
      <c r="J410">
        <v>2542</v>
      </c>
      <c r="K410" s="328">
        <v>45310</v>
      </c>
      <c r="L410">
        <v>1010100</v>
      </c>
      <c r="M410" t="s">
        <v>35</v>
      </c>
      <c r="N410">
        <v>546</v>
      </c>
      <c r="O410" s="32">
        <v>0</v>
      </c>
      <c r="P410" s="32">
        <v>0</v>
      </c>
      <c r="Q410" s="32">
        <v>0</v>
      </c>
      <c r="R410" s="32">
        <v>0</v>
      </c>
      <c r="S410" s="32">
        <v>0</v>
      </c>
      <c r="T410" s="32">
        <v>0</v>
      </c>
      <c r="U410" s="32">
        <v>27201.1</v>
      </c>
      <c r="V410" s="32">
        <v>0</v>
      </c>
      <c r="W410" s="32">
        <v>816.0329999999999</v>
      </c>
      <c r="X410" s="32">
        <v>26385.066999999999</v>
      </c>
      <c r="Y410" s="32">
        <v>26385.066999999999</v>
      </c>
      <c r="Z410" s="32">
        <v>27201.1</v>
      </c>
      <c r="AA410" s="32">
        <v>-27201.1</v>
      </c>
      <c r="AB410" s="32">
        <v>0</v>
      </c>
      <c r="AC410" s="32" t="s">
        <v>542</v>
      </c>
      <c r="AD410" s="32"/>
      <c r="AE410" s="32">
        <v>0</v>
      </c>
    </row>
    <row r="411" spans="1:31" x14ac:dyDescent="0.25">
      <c r="A411">
        <v>6132</v>
      </c>
      <c r="B411" t="s">
        <v>177</v>
      </c>
      <c r="C411" t="s">
        <v>178</v>
      </c>
      <c r="D411" s="35">
        <v>136005.5</v>
      </c>
      <c r="E411">
        <v>1246124718</v>
      </c>
      <c r="F411" s="328">
        <v>45563</v>
      </c>
      <c r="H411" t="s">
        <v>173</v>
      </c>
      <c r="I411" t="s">
        <v>174</v>
      </c>
      <c r="J411">
        <v>2489</v>
      </c>
      <c r="K411" s="328">
        <v>45303</v>
      </c>
      <c r="L411">
        <v>1010100</v>
      </c>
      <c r="M411" t="s">
        <v>35</v>
      </c>
      <c r="N411">
        <v>549</v>
      </c>
      <c r="O411" s="32">
        <v>0</v>
      </c>
      <c r="P411" s="32">
        <v>0</v>
      </c>
      <c r="Q411" s="32">
        <v>0</v>
      </c>
      <c r="R411" s="32">
        <v>0</v>
      </c>
      <c r="S411" s="32">
        <v>0</v>
      </c>
      <c r="T411" s="32">
        <v>0</v>
      </c>
      <c r="U411" s="32">
        <v>136005.5</v>
      </c>
      <c r="V411" s="32">
        <v>0</v>
      </c>
      <c r="W411" s="32">
        <v>4080.165</v>
      </c>
      <c r="X411" s="32">
        <v>131925.33499999999</v>
      </c>
      <c r="Y411" s="32">
        <v>131925.33499999999</v>
      </c>
      <c r="Z411" s="32">
        <v>136005.5</v>
      </c>
      <c r="AA411" s="32">
        <v>-136005.5</v>
      </c>
      <c r="AB411" s="32">
        <v>0</v>
      </c>
      <c r="AC411" s="32" t="s">
        <v>542</v>
      </c>
      <c r="AD411" s="32"/>
      <c r="AE411" s="32">
        <v>0</v>
      </c>
    </row>
    <row r="412" spans="1:31" x14ac:dyDescent="0.25">
      <c r="A412">
        <v>6132</v>
      </c>
      <c r="B412" t="s">
        <v>177</v>
      </c>
      <c r="C412" t="s">
        <v>178</v>
      </c>
      <c r="D412" s="35">
        <v>45093</v>
      </c>
      <c r="E412">
        <v>1246128683</v>
      </c>
      <c r="F412" s="328">
        <v>45604</v>
      </c>
      <c r="H412" t="s">
        <v>173</v>
      </c>
      <c r="I412" t="s">
        <v>174</v>
      </c>
      <c r="J412">
        <v>2738</v>
      </c>
      <c r="K412" s="328">
        <v>45329</v>
      </c>
      <c r="L412">
        <v>1010100</v>
      </c>
      <c r="M412" t="s">
        <v>35</v>
      </c>
      <c r="N412">
        <v>508</v>
      </c>
      <c r="O412" s="32">
        <v>0</v>
      </c>
      <c r="P412" s="32">
        <v>0</v>
      </c>
      <c r="Q412" s="32">
        <v>0</v>
      </c>
      <c r="R412" s="32">
        <v>0</v>
      </c>
      <c r="S412" s="32">
        <v>0</v>
      </c>
      <c r="T412" s="32">
        <v>0</v>
      </c>
      <c r="U412" s="32">
        <v>45093</v>
      </c>
      <c r="V412" s="32">
        <v>0</v>
      </c>
      <c r="W412" s="32">
        <v>1352.79</v>
      </c>
      <c r="X412" s="32">
        <v>43740.21</v>
      </c>
      <c r="Y412" s="32">
        <v>43740.21</v>
      </c>
      <c r="Z412" s="32">
        <v>45093</v>
      </c>
      <c r="AA412" s="32">
        <v>-45093</v>
      </c>
      <c r="AB412" s="32">
        <v>0</v>
      </c>
      <c r="AC412" s="32" t="s">
        <v>542</v>
      </c>
      <c r="AD412" s="32"/>
      <c r="AE412" s="32">
        <v>0</v>
      </c>
    </row>
    <row r="413" spans="1:31" x14ac:dyDescent="0.25">
      <c r="A413">
        <v>6132</v>
      </c>
      <c r="B413" t="s">
        <v>177</v>
      </c>
      <c r="C413" t="s">
        <v>178</v>
      </c>
      <c r="D413" s="35">
        <v>82986.649999999994</v>
      </c>
      <c r="E413">
        <v>1246113430</v>
      </c>
      <c r="F413" s="328">
        <v>45476</v>
      </c>
      <c r="H413" t="s">
        <v>173</v>
      </c>
      <c r="I413" t="s">
        <v>174</v>
      </c>
      <c r="J413">
        <v>1851</v>
      </c>
      <c r="K413" s="328">
        <v>45236</v>
      </c>
      <c r="L413">
        <v>1010100</v>
      </c>
      <c r="M413" t="s">
        <v>35</v>
      </c>
      <c r="N413">
        <v>636</v>
      </c>
      <c r="O413" s="32">
        <v>0</v>
      </c>
      <c r="P413" s="32">
        <v>0</v>
      </c>
      <c r="Q413" s="32">
        <v>0</v>
      </c>
      <c r="R413" s="32">
        <v>0</v>
      </c>
      <c r="S413" s="32">
        <v>0</v>
      </c>
      <c r="T413" s="32">
        <v>0</v>
      </c>
      <c r="U413" s="32">
        <v>82986.649999999994</v>
      </c>
      <c r="V413" s="32">
        <v>0</v>
      </c>
      <c r="W413" s="32">
        <v>2489.5994999999998</v>
      </c>
      <c r="X413" s="32">
        <v>80497.050499999998</v>
      </c>
      <c r="Y413" s="32">
        <v>80497.050499999998</v>
      </c>
      <c r="Z413" s="32">
        <v>82986.649999999994</v>
      </c>
      <c r="AA413" s="32">
        <v>-82986.649999999994</v>
      </c>
      <c r="AB413" s="32">
        <v>0</v>
      </c>
      <c r="AC413" s="32" t="s">
        <v>542</v>
      </c>
      <c r="AD413" s="32"/>
      <c r="AE413" s="32">
        <v>0</v>
      </c>
    </row>
    <row r="414" spans="1:31" x14ac:dyDescent="0.25">
      <c r="A414">
        <v>6132</v>
      </c>
      <c r="B414" t="s">
        <v>177</v>
      </c>
      <c r="C414" t="s">
        <v>178</v>
      </c>
      <c r="D414" s="35">
        <v>174445</v>
      </c>
      <c r="E414">
        <v>1246116577</v>
      </c>
      <c r="F414" s="328">
        <v>45468</v>
      </c>
      <c r="H414" t="s">
        <v>173</v>
      </c>
      <c r="I414" t="s">
        <v>174</v>
      </c>
      <c r="J414">
        <v>2091</v>
      </c>
      <c r="K414" s="328">
        <v>45254</v>
      </c>
      <c r="L414">
        <v>1010100</v>
      </c>
      <c r="M414" t="s">
        <v>35</v>
      </c>
      <c r="N414">
        <v>644</v>
      </c>
      <c r="O414" s="32">
        <v>0</v>
      </c>
      <c r="P414" s="32">
        <v>0</v>
      </c>
      <c r="Q414" s="32">
        <v>0</v>
      </c>
      <c r="R414" s="32">
        <v>0</v>
      </c>
      <c r="S414" s="32">
        <v>0</v>
      </c>
      <c r="T414" s="32">
        <v>0</v>
      </c>
      <c r="U414" s="32">
        <v>174445</v>
      </c>
      <c r="V414" s="32">
        <v>0</v>
      </c>
      <c r="W414" s="32">
        <v>5233.3499999999995</v>
      </c>
      <c r="X414" s="32">
        <v>169211.65</v>
      </c>
      <c r="Y414" s="32">
        <v>169211.65</v>
      </c>
      <c r="Z414" s="32">
        <v>174445</v>
      </c>
      <c r="AA414" s="32">
        <v>-174445</v>
      </c>
      <c r="AB414" s="32">
        <v>0</v>
      </c>
      <c r="AC414" s="32" t="s">
        <v>542</v>
      </c>
      <c r="AD414" s="32"/>
      <c r="AE414" s="32">
        <v>0</v>
      </c>
    </row>
    <row r="415" spans="1:31" x14ac:dyDescent="0.25">
      <c r="A415">
        <v>6132</v>
      </c>
      <c r="B415" t="s">
        <v>177</v>
      </c>
      <c r="C415" t="s">
        <v>178</v>
      </c>
      <c r="D415" s="35">
        <v>158956.25</v>
      </c>
      <c r="E415">
        <v>1246104181</v>
      </c>
      <c r="F415" s="328">
        <v>45444</v>
      </c>
      <c r="H415" t="s">
        <v>173</v>
      </c>
      <c r="I415" t="s">
        <v>174</v>
      </c>
      <c r="J415">
        <v>1180</v>
      </c>
      <c r="K415" s="328">
        <v>45184</v>
      </c>
      <c r="L415">
        <v>1010100</v>
      </c>
      <c r="M415" t="s">
        <v>35</v>
      </c>
      <c r="N415">
        <v>668</v>
      </c>
      <c r="O415" s="32">
        <v>0</v>
      </c>
      <c r="P415" s="32">
        <v>0</v>
      </c>
      <c r="Q415" s="32">
        <v>0</v>
      </c>
      <c r="R415" s="32">
        <v>0</v>
      </c>
      <c r="S415" s="32">
        <v>0</v>
      </c>
      <c r="T415" s="32">
        <v>0</v>
      </c>
      <c r="U415" s="32">
        <v>158956.25</v>
      </c>
      <c r="V415" s="32">
        <v>0</v>
      </c>
      <c r="W415" s="32">
        <v>4768.6875</v>
      </c>
      <c r="X415" s="32">
        <v>154187.5625</v>
      </c>
      <c r="Y415" s="32">
        <v>154187.5625</v>
      </c>
      <c r="Z415" s="32">
        <v>158956.25</v>
      </c>
      <c r="AA415" s="32">
        <v>-158956.25</v>
      </c>
      <c r="AB415" s="32">
        <v>0</v>
      </c>
      <c r="AC415" s="32" t="s">
        <v>542</v>
      </c>
      <c r="AD415" s="32"/>
      <c r="AE415" s="32">
        <v>0</v>
      </c>
    </row>
    <row r="416" spans="1:31" x14ac:dyDescent="0.25">
      <c r="A416">
        <v>6132</v>
      </c>
      <c r="B416" t="s">
        <v>177</v>
      </c>
      <c r="C416" t="s">
        <v>178</v>
      </c>
      <c r="D416" s="35">
        <v>171662.49999999997</v>
      </c>
      <c r="E416">
        <v>1246112815</v>
      </c>
      <c r="F416" s="328">
        <v>45471</v>
      </c>
      <c r="H416" t="s">
        <v>173</v>
      </c>
      <c r="I416" t="s">
        <v>174</v>
      </c>
      <c r="J416">
        <v>1799</v>
      </c>
      <c r="K416" s="328">
        <v>45231</v>
      </c>
      <c r="L416">
        <v>1010100</v>
      </c>
      <c r="M416" t="s">
        <v>35</v>
      </c>
      <c r="N416">
        <v>641</v>
      </c>
      <c r="O416" s="32">
        <v>0</v>
      </c>
      <c r="P416" s="32">
        <v>0</v>
      </c>
      <c r="Q416" s="32">
        <v>0</v>
      </c>
      <c r="R416" s="32">
        <v>0</v>
      </c>
      <c r="S416" s="32">
        <v>0</v>
      </c>
      <c r="T416" s="32">
        <v>0</v>
      </c>
      <c r="U416" s="32">
        <v>171662.49999999997</v>
      </c>
      <c r="V416" s="32">
        <v>0</v>
      </c>
      <c r="W416" s="32">
        <v>5149.8749999999991</v>
      </c>
      <c r="X416" s="32">
        <v>166512.62499999997</v>
      </c>
      <c r="Y416" s="32">
        <v>166512.62499999997</v>
      </c>
      <c r="Z416" s="32">
        <v>171662.49999999997</v>
      </c>
      <c r="AA416" s="32">
        <v>-171662.49999999997</v>
      </c>
      <c r="AB416" s="32">
        <v>0</v>
      </c>
      <c r="AC416" s="32" t="s">
        <v>542</v>
      </c>
      <c r="AD416" s="32"/>
      <c r="AE416" s="32">
        <v>0</v>
      </c>
    </row>
    <row r="417" spans="1:31" x14ac:dyDescent="0.25">
      <c r="A417">
        <v>6132</v>
      </c>
      <c r="B417" t="s">
        <v>177</v>
      </c>
      <c r="C417" t="s">
        <v>178</v>
      </c>
      <c r="D417" s="35">
        <v>174610</v>
      </c>
      <c r="E417">
        <v>1246113736</v>
      </c>
      <c r="F417" s="328">
        <v>45478</v>
      </c>
      <c r="H417" t="s">
        <v>173</v>
      </c>
      <c r="I417" t="s">
        <v>174</v>
      </c>
      <c r="J417">
        <v>1878</v>
      </c>
      <c r="K417" s="328">
        <v>45238</v>
      </c>
      <c r="L417">
        <v>1010100</v>
      </c>
      <c r="M417" t="s">
        <v>35</v>
      </c>
      <c r="N417">
        <v>634</v>
      </c>
      <c r="O417" s="32">
        <v>0</v>
      </c>
      <c r="P417" s="32">
        <v>0</v>
      </c>
      <c r="Q417" s="32">
        <v>0</v>
      </c>
      <c r="R417" s="32">
        <v>0</v>
      </c>
      <c r="S417" s="32">
        <v>0</v>
      </c>
      <c r="T417" s="32">
        <v>0</v>
      </c>
      <c r="U417" s="32">
        <v>174610</v>
      </c>
      <c r="V417" s="32">
        <v>0</v>
      </c>
      <c r="W417" s="32">
        <v>5238.3</v>
      </c>
      <c r="X417" s="32">
        <v>169371.69999999998</v>
      </c>
      <c r="Y417" s="32">
        <v>169371.69999999998</v>
      </c>
      <c r="Z417" s="32">
        <v>174610</v>
      </c>
      <c r="AA417" s="32">
        <v>-174610</v>
      </c>
      <c r="AB417" s="32">
        <v>0</v>
      </c>
      <c r="AC417" s="32" t="s">
        <v>542</v>
      </c>
      <c r="AD417" s="32"/>
      <c r="AE417" s="32">
        <v>0</v>
      </c>
    </row>
    <row r="418" spans="1:31" x14ac:dyDescent="0.25">
      <c r="A418">
        <v>6132</v>
      </c>
      <c r="B418" t="s">
        <v>177</v>
      </c>
      <c r="C418" t="s">
        <v>178</v>
      </c>
      <c r="D418" s="35">
        <v>87840</v>
      </c>
      <c r="E418">
        <v>1246111212</v>
      </c>
      <c r="F418" s="328">
        <v>45464</v>
      </c>
      <c r="H418" t="s">
        <v>173</v>
      </c>
      <c r="I418" t="s">
        <v>174</v>
      </c>
      <c r="J418">
        <v>1720</v>
      </c>
      <c r="K418" s="328">
        <v>45224</v>
      </c>
      <c r="L418">
        <v>1010100</v>
      </c>
      <c r="M418" t="s">
        <v>35</v>
      </c>
      <c r="N418">
        <v>648</v>
      </c>
      <c r="O418" s="32">
        <v>0</v>
      </c>
      <c r="P418" s="32">
        <v>0</v>
      </c>
      <c r="Q418" s="32">
        <v>0</v>
      </c>
      <c r="R418" s="32">
        <v>0</v>
      </c>
      <c r="S418" s="32">
        <v>0</v>
      </c>
      <c r="T418" s="32">
        <v>0</v>
      </c>
      <c r="U418" s="32">
        <v>87840</v>
      </c>
      <c r="V418" s="32">
        <v>0</v>
      </c>
      <c r="W418" s="32">
        <v>2635.2</v>
      </c>
      <c r="X418" s="32">
        <v>85204.800000000003</v>
      </c>
      <c r="Y418" s="32">
        <v>85204.800000000003</v>
      </c>
      <c r="Z418" s="32">
        <v>87840</v>
      </c>
      <c r="AA418" s="32">
        <v>-87840</v>
      </c>
      <c r="AB418" s="32">
        <v>0</v>
      </c>
      <c r="AC418" s="32" t="s">
        <v>542</v>
      </c>
      <c r="AD418" s="32"/>
      <c r="AE418" s="32">
        <v>0</v>
      </c>
    </row>
    <row r="419" spans="1:31" x14ac:dyDescent="0.25">
      <c r="A419">
        <v>6132</v>
      </c>
      <c r="B419" t="s">
        <v>177</v>
      </c>
      <c r="C419" t="s">
        <v>178</v>
      </c>
      <c r="D419" s="35">
        <v>23787.68</v>
      </c>
      <c r="E419">
        <v>1246115170</v>
      </c>
      <c r="F419" s="328">
        <v>45466</v>
      </c>
      <c r="H419" t="s">
        <v>173</v>
      </c>
      <c r="I419" t="s">
        <v>174</v>
      </c>
      <c r="J419">
        <v>1975</v>
      </c>
      <c r="K419" s="328">
        <v>45244</v>
      </c>
      <c r="L419">
        <v>1010100</v>
      </c>
      <c r="M419" t="s">
        <v>35</v>
      </c>
      <c r="N419">
        <v>646</v>
      </c>
      <c r="O419" s="32">
        <v>0</v>
      </c>
      <c r="P419" s="32">
        <v>0</v>
      </c>
      <c r="Q419" s="32">
        <v>0</v>
      </c>
      <c r="R419" s="32">
        <v>0</v>
      </c>
      <c r="S419" s="32">
        <v>0</v>
      </c>
      <c r="T419" s="32">
        <v>0</v>
      </c>
      <c r="U419" s="32">
        <v>23787.68</v>
      </c>
      <c r="V419" s="32">
        <v>0</v>
      </c>
      <c r="W419" s="32">
        <v>713.63040000000001</v>
      </c>
      <c r="X419" s="32">
        <v>23074.049599999998</v>
      </c>
      <c r="Y419" s="32">
        <v>23074.049599999998</v>
      </c>
      <c r="Z419" s="32">
        <v>23787.68</v>
      </c>
      <c r="AA419" s="32">
        <v>-23787.68</v>
      </c>
      <c r="AB419" s="32">
        <v>0</v>
      </c>
      <c r="AC419" s="32" t="s">
        <v>542</v>
      </c>
      <c r="AD419" s="32"/>
      <c r="AE419" s="32">
        <v>0</v>
      </c>
    </row>
    <row r="420" spans="1:31" x14ac:dyDescent="0.25">
      <c r="A420">
        <v>6132</v>
      </c>
      <c r="B420" t="s">
        <v>177</v>
      </c>
      <c r="C420" t="s">
        <v>178</v>
      </c>
      <c r="D420" s="35">
        <v>30381.599999999999</v>
      </c>
      <c r="E420">
        <v>1246115171</v>
      </c>
      <c r="F420" s="328">
        <v>45466</v>
      </c>
      <c r="H420" t="s">
        <v>173</v>
      </c>
      <c r="I420" t="s">
        <v>174</v>
      </c>
      <c r="J420">
        <v>1976</v>
      </c>
      <c r="K420" s="328">
        <v>45244</v>
      </c>
      <c r="L420">
        <v>1010100</v>
      </c>
      <c r="M420" t="s">
        <v>35</v>
      </c>
      <c r="N420">
        <v>646</v>
      </c>
      <c r="O420" s="32">
        <v>0</v>
      </c>
      <c r="P420" s="32">
        <v>0</v>
      </c>
      <c r="Q420" s="32">
        <v>0</v>
      </c>
      <c r="R420" s="32">
        <v>0</v>
      </c>
      <c r="S420" s="32">
        <v>0</v>
      </c>
      <c r="T420" s="32">
        <v>0</v>
      </c>
      <c r="U420" s="32">
        <v>30381.599999999999</v>
      </c>
      <c r="V420" s="32">
        <v>0</v>
      </c>
      <c r="W420" s="32">
        <v>911.44799999999998</v>
      </c>
      <c r="X420" s="32">
        <v>29470.151999999998</v>
      </c>
      <c r="Y420" s="32">
        <v>29470.151999999998</v>
      </c>
      <c r="Z420" s="32">
        <v>30381.599999999999</v>
      </c>
      <c r="AA420" s="32">
        <v>-30381.599999999999</v>
      </c>
      <c r="AB420" s="32">
        <v>0</v>
      </c>
      <c r="AC420" s="32" t="s">
        <v>542</v>
      </c>
      <c r="AD420" s="32"/>
      <c r="AE420" s="32">
        <v>0</v>
      </c>
    </row>
    <row r="421" spans="1:31" x14ac:dyDescent="0.25">
      <c r="A421">
        <v>6132</v>
      </c>
      <c r="B421" t="s">
        <v>177</v>
      </c>
      <c r="C421" t="s">
        <v>178</v>
      </c>
      <c r="D421" s="35">
        <v>107022</v>
      </c>
      <c r="E421">
        <v>1246110109</v>
      </c>
      <c r="F421" s="328">
        <v>45439</v>
      </c>
      <c r="H421" t="s">
        <v>173</v>
      </c>
      <c r="I421" t="s">
        <v>174</v>
      </c>
      <c r="J421">
        <v>347</v>
      </c>
      <c r="K421" s="328">
        <v>45217</v>
      </c>
      <c r="L421">
        <v>1010100</v>
      </c>
      <c r="M421" t="s">
        <v>35</v>
      </c>
      <c r="N421">
        <v>673</v>
      </c>
      <c r="O421" s="32">
        <v>0</v>
      </c>
      <c r="P421" s="32">
        <v>0</v>
      </c>
      <c r="Q421" s="32">
        <v>0</v>
      </c>
      <c r="R421" s="32">
        <v>0</v>
      </c>
      <c r="S421" s="32">
        <v>0</v>
      </c>
      <c r="T421" s="32">
        <v>0</v>
      </c>
      <c r="U421" s="32">
        <v>107022</v>
      </c>
      <c r="V421" s="32">
        <v>0</v>
      </c>
      <c r="W421" s="32">
        <v>3210.66</v>
      </c>
      <c r="X421" s="32">
        <v>103811.34</v>
      </c>
      <c r="Y421" s="32">
        <v>103811.34</v>
      </c>
      <c r="Z421" s="32">
        <v>107022</v>
      </c>
      <c r="AA421" s="32">
        <v>-107022</v>
      </c>
      <c r="AB421" s="32">
        <v>0</v>
      </c>
      <c r="AC421" s="32" t="s">
        <v>542</v>
      </c>
      <c r="AD421" s="32"/>
      <c r="AE421" s="32">
        <v>0</v>
      </c>
    </row>
    <row r="422" spans="1:31" x14ac:dyDescent="0.25">
      <c r="A422">
        <v>6132</v>
      </c>
      <c r="B422" t="s">
        <v>177</v>
      </c>
      <c r="C422" t="s">
        <v>178</v>
      </c>
      <c r="D422" s="35">
        <v>83822.5</v>
      </c>
      <c r="E422">
        <v>1246111211</v>
      </c>
      <c r="F422" s="328">
        <v>45464</v>
      </c>
      <c r="H422" t="s">
        <v>173</v>
      </c>
      <c r="I422" t="s">
        <v>174</v>
      </c>
      <c r="J422">
        <v>1719</v>
      </c>
      <c r="K422" s="328">
        <v>45224</v>
      </c>
      <c r="L422">
        <v>1010100</v>
      </c>
      <c r="M422" t="s">
        <v>35</v>
      </c>
      <c r="N422">
        <v>648</v>
      </c>
      <c r="O422" s="32">
        <v>0</v>
      </c>
      <c r="P422" s="32">
        <v>0</v>
      </c>
      <c r="Q422" s="32">
        <v>0</v>
      </c>
      <c r="R422" s="32">
        <v>0</v>
      </c>
      <c r="S422" s="32">
        <v>0</v>
      </c>
      <c r="T422" s="32">
        <v>0</v>
      </c>
      <c r="U422" s="32">
        <v>83822.5</v>
      </c>
      <c r="V422" s="32">
        <v>0</v>
      </c>
      <c r="W422" s="32">
        <v>2514.6749999999997</v>
      </c>
      <c r="X422" s="32">
        <v>81307.824999999997</v>
      </c>
      <c r="Y422" s="32">
        <v>81307.824999999997</v>
      </c>
      <c r="Z422" s="32">
        <v>83822.5</v>
      </c>
      <c r="AA422" s="32">
        <v>-83822.5</v>
      </c>
      <c r="AB422" s="32">
        <v>0</v>
      </c>
      <c r="AC422" s="32" t="s">
        <v>542</v>
      </c>
      <c r="AD422" s="32"/>
      <c r="AE422" s="32">
        <v>0</v>
      </c>
    </row>
    <row r="423" spans="1:31" x14ac:dyDescent="0.25">
      <c r="A423">
        <v>6132</v>
      </c>
      <c r="B423" t="s">
        <v>177</v>
      </c>
      <c r="C423" t="s">
        <v>178</v>
      </c>
      <c r="D423" s="35">
        <v>169458.49999999997</v>
      </c>
      <c r="E423">
        <v>1246110264</v>
      </c>
      <c r="F423" s="328">
        <v>45440</v>
      </c>
      <c r="H423" t="s">
        <v>173</v>
      </c>
      <c r="I423" t="s">
        <v>174</v>
      </c>
      <c r="J423">
        <v>1662</v>
      </c>
      <c r="K423" s="328">
        <v>45218</v>
      </c>
      <c r="L423">
        <v>1010100</v>
      </c>
      <c r="M423" t="s">
        <v>35</v>
      </c>
      <c r="N423">
        <v>672</v>
      </c>
      <c r="O423" s="32">
        <v>0</v>
      </c>
      <c r="P423" s="32">
        <v>0</v>
      </c>
      <c r="Q423" s="32">
        <v>0</v>
      </c>
      <c r="R423" s="32">
        <v>0</v>
      </c>
      <c r="S423" s="32">
        <v>0</v>
      </c>
      <c r="T423" s="32">
        <v>0</v>
      </c>
      <c r="U423" s="32">
        <v>169458.49999999997</v>
      </c>
      <c r="V423" s="32">
        <v>0</v>
      </c>
      <c r="W423" s="32">
        <v>5083.7549999999992</v>
      </c>
      <c r="X423" s="32">
        <v>164374.74499999997</v>
      </c>
      <c r="Y423" s="32">
        <v>164374.74499999997</v>
      </c>
      <c r="Z423" s="32">
        <v>169458.49999999997</v>
      </c>
      <c r="AA423" s="32">
        <v>-169458.49999999997</v>
      </c>
      <c r="AB423" s="32">
        <v>0</v>
      </c>
      <c r="AC423" s="32" t="s">
        <v>542</v>
      </c>
      <c r="AD423" s="32"/>
      <c r="AE423" s="32">
        <v>0</v>
      </c>
    </row>
    <row r="424" spans="1:31" x14ac:dyDescent="0.25">
      <c r="A424">
        <v>6132</v>
      </c>
      <c r="B424" t="s">
        <v>177</v>
      </c>
      <c r="C424" t="s">
        <v>178</v>
      </c>
      <c r="D424" s="35">
        <v>135934</v>
      </c>
      <c r="E424">
        <v>1246131961</v>
      </c>
      <c r="F424" s="328">
        <v>45566</v>
      </c>
      <c r="H424" t="s">
        <v>173</v>
      </c>
      <c r="I424" t="s">
        <v>174</v>
      </c>
      <c r="J424">
        <v>2969</v>
      </c>
      <c r="K424" s="328">
        <v>45352</v>
      </c>
      <c r="L424">
        <v>1010100</v>
      </c>
      <c r="M424" t="s">
        <v>35</v>
      </c>
      <c r="N424">
        <v>546</v>
      </c>
      <c r="O424" s="32">
        <v>0</v>
      </c>
      <c r="P424" s="32">
        <v>0</v>
      </c>
      <c r="Q424" s="32">
        <v>0</v>
      </c>
      <c r="R424" s="32">
        <v>0</v>
      </c>
      <c r="S424" s="32">
        <v>0</v>
      </c>
      <c r="T424" s="32">
        <v>0</v>
      </c>
      <c r="U424" s="32">
        <v>135934</v>
      </c>
      <c r="V424" s="32">
        <v>0</v>
      </c>
      <c r="W424" s="32">
        <v>4078.02</v>
      </c>
      <c r="X424" s="32">
        <v>131855.98000000001</v>
      </c>
      <c r="Y424" s="32">
        <v>131855.98000000001</v>
      </c>
      <c r="Z424" s="32">
        <v>135934</v>
      </c>
      <c r="AA424" s="32">
        <v>-135934</v>
      </c>
      <c r="AB424" s="32">
        <v>0</v>
      </c>
      <c r="AC424" s="32" t="s">
        <v>542</v>
      </c>
      <c r="AD424" s="32"/>
      <c r="AE424" s="32">
        <v>0</v>
      </c>
    </row>
    <row r="425" spans="1:31" x14ac:dyDescent="0.25">
      <c r="A425">
        <v>6132</v>
      </c>
      <c r="B425" t="s">
        <v>177</v>
      </c>
      <c r="C425" t="s">
        <v>178</v>
      </c>
      <c r="D425" s="35">
        <v>108747.2</v>
      </c>
      <c r="E425">
        <v>1246132951</v>
      </c>
      <c r="F425" s="328">
        <v>45572</v>
      </c>
      <c r="H425" t="s">
        <v>173</v>
      </c>
      <c r="I425" t="s">
        <v>174</v>
      </c>
      <c r="J425">
        <v>3007</v>
      </c>
      <c r="K425" s="328">
        <v>45358</v>
      </c>
      <c r="L425">
        <v>1010100</v>
      </c>
      <c r="M425" t="s">
        <v>35</v>
      </c>
      <c r="N425">
        <v>540</v>
      </c>
      <c r="O425" s="32">
        <v>0</v>
      </c>
      <c r="P425" s="32">
        <v>0</v>
      </c>
      <c r="Q425" s="32">
        <v>0</v>
      </c>
      <c r="R425" s="32">
        <v>0</v>
      </c>
      <c r="S425" s="32">
        <v>0</v>
      </c>
      <c r="T425" s="32">
        <v>0</v>
      </c>
      <c r="U425" s="32">
        <v>108747.2</v>
      </c>
      <c r="V425" s="32">
        <v>0</v>
      </c>
      <c r="W425" s="32">
        <v>3262.4159999999997</v>
      </c>
      <c r="X425" s="32">
        <v>105484.784</v>
      </c>
      <c r="Y425" s="32">
        <v>105484.784</v>
      </c>
      <c r="Z425" s="32">
        <v>108747.2</v>
      </c>
      <c r="AA425" s="32">
        <v>-108747.2</v>
      </c>
      <c r="AB425" s="32">
        <v>0</v>
      </c>
      <c r="AC425" s="32" t="s">
        <v>542</v>
      </c>
      <c r="AD425" s="32"/>
      <c r="AE425" s="32">
        <v>0</v>
      </c>
    </row>
    <row r="426" spans="1:31" x14ac:dyDescent="0.25">
      <c r="A426">
        <v>6132</v>
      </c>
      <c r="B426" t="s">
        <v>177</v>
      </c>
      <c r="C426" t="s">
        <v>178</v>
      </c>
      <c r="D426" s="35">
        <v>86997.759999999995</v>
      </c>
      <c r="E426">
        <v>1246131102</v>
      </c>
      <c r="F426" s="328">
        <v>45570</v>
      </c>
      <c r="H426" t="s">
        <v>173</v>
      </c>
      <c r="I426" t="s">
        <v>174</v>
      </c>
      <c r="J426">
        <v>2917</v>
      </c>
      <c r="K426" s="328">
        <v>45348</v>
      </c>
      <c r="L426">
        <v>1010100</v>
      </c>
      <c r="M426" t="s">
        <v>35</v>
      </c>
      <c r="N426">
        <v>542</v>
      </c>
      <c r="O426" s="32">
        <v>0</v>
      </c>
      <c r="P426" s="32">
        <v>0</v>
      </c>
      <c r="Q426" s="32">
        <v>0</v>
      </c>
      <c r="R426" s="32">
        <v>0</v>
      </c>
      <c r="S426" s="32">
        <v>0</v>
      </c>
      <c r="T426" s="32">
        <v>0</v>
      </c>
      <c r="U426" s="32">
        <v>86997.759999999995</v>
      </c>
      <c r="V426" s="32">
        <v>0</v>
      </c>
      <c r="W426" s="32">
        <v>2609.9327999999996</v>
      </c>
      <c r="X426" s="32">
        <v>84387.8272</v>
      </c>
      <c r="Y426" s="32">
        <v>84387.8272</v>
      </c>
      <c r="Z426" s="32">
        <v>86997.759999999995</v>
      </c>
      <c r="AA426" s="32">
        <v>-86997.759999999995</v>
      </c>
      <c r="AB426" s="32">
        <v>0</v>
      </c>
      <c r="AC426" s="32" t="s">
        <v>542</v>
      </c>
      <c r="AD426" s="32"/>
      <c r="AE426" s="32">
        <v>0</v>
      </c>
    </row>
    <row r="427" spans="1:31" x14ac:dyDescent="0.25">
      <c r="A427">
        <v>6132</v>
      </c>
      <c r="B427" t="s">
        <v>177</v>
      </c>
      <c r="C427" t="s">
        <v>178</v>
      </c>
      <c r="D427" s="35">
        <v>29450.6</v>
      </c>
      <c r="E427">
        <v>1246146931</v>
      </c>
      <c r="F427" s="328">
        <v>45584</v>
      </c>
      <c r="H427" t="s">
        <v>173</v>
      </c>
      <c r="I427" t="s">
        <v>174</v>
      </c>
      <c r="J427">
        <v>3632</v>
      </c>
      <c r="K427" s="328">
        <v>45434</v>
      </c>
      <c r="L427">
        <v>1010100</v>
      </c>
      <c r="M427" t="s">
        <v>35</v>
      </c>
      <c r="N427">
        <v>528</v>
      </c>
      <c r="O427" s="32">
        <v>0</v>
      </c>
      <c r="P427" s="32">
        <v>0</v>
      </c>
      <c r="Q427" s="32">
        <v>0</v>
      </c>
      <c r="R427" s="32">
        <v>0</v>
      </c>
      <c r="S427" s="32">
        <v>0</v>
      </c>
      <c r="T427" s="32">
        <v>0</v>
      </c>
      <c r="U427" s="32">
        <v>29450.6</v>
      </c>
      <c r="V427" s="32">
        <v>0</v>
      </c>
      <c r="W427" s="32">
        <v>883.51799999999992</v>
      </c>
      <c r="X427" s="32">
        <v>28567.081999999999</v>
      </c>
      <c r="Y427" s="32">
        <v>28567.081999999999</v>
      </c>
      <c r="Z427" s="32">
        <v>29450.6</v>
      </c>
      <c r="AA427" s="32">
        <v>-29450.6</v>
      </c>
      <c r="AB427" s="32">
        <v>0</v>
      </c>
      <c r="AC427" s="32" t="s">
        <v>542</v>
      </c>
      <c r="AD427" s="32"/>
      <c r="AE427" s="32">
        <v>0</v>
      </c>
    </row>
    <row r="428" spans="1:31" x14ac:dyDescent="0.25">
      <c r="A428">
        <v>6132</v>
      </c>
      <c r="B428" t="s">
        <v>177</v>
      </c>
      <c r="C428" t="s">
        <v>178</v>
      </c>
      <c r="D428" s="35">
        <v>38061.519999999997</v>
      </c>
      <c r="E428">
        <v>1246146932</v>
      </c>
      <c r="F428" s="328">
        <v>45569</v>
      </c>
      <c r="H428" t="s">
        <v>173</v>
      </c>
      <c r="I428" t="s">
        <v>174</v>
      </c>
      <c r="J428">
        <v>3633</v>
      </c>
      <c r="K428" s="328">
        <v>45434</v>
      </c>
      <c r="L428">
        <v>1010100</v>
      </c>
      <c r="M428" t="s">
        <v>35</v>
      </c>
      <c r="N428">
        <v>543</v>
      </c>
      <c r="O428" s="32">
        <v>0</v>
      </c>
      <c r="P428" s="32">
        <v>0</v>
      </c>
      <c r="Q428" s="32">
        <v>0</v>
      </c>
      <c r="R428" s="32">
        <v>0</v>
      </c>
      <c r="S428" s="32">
        <v>0</v>
      </c>
      <c r="T428" s="32">
        <v>0</v>
      </c>
      <c r="U428" s="32">
        <v>38061.519999999997</v>
      </c>
      <c r="V428" s="32">
        <v>0</v>
      </c>
      <c r="W428" s="32">
        <v>1141.8455999999999</v>
      </c>
      <c r="X428" s="32">
        <v>36919.674399999996</v>
      </c>
      <c r="Y428" s="32">
        <v>36919.674399999996</v>
      </c>
      <c r="Z428" s="32">
        <v>38061.519999999997</v>
      </c>
      <c r="AA428" s="32">
        <v>-38061.519999999997</v>
      </c>
      <c r="AB428" s="32">
        <v>0</v>
      </c>
      <c r="AC428" s="32" t="s">
        <v>542</v>
      </c>
      <c r="AD428" s="32"/>
      <c r="AE428" s="32">
        <v>0</v>
      </c>
    </row>
    <row r="429" spans="1:31" x14ac:dyDescent="0.25">
      <c r="A429">
        <v>6132</v>
      </c>
      <c r="B429" t="s">
        <v>177</v>
      </c>
      <c r="C429" t="s">
        <v>178</v>
      </c>
      <c r="D429" s="35">
        <v>8760</v>
      </c>
      <c r="E429">
        <v>1246146933</v>
      </c>
      <c r="F429" s="328">
        <v>45462</v>
      </c>
      <c r="H429" t="s">
        <v>173</v>
      </c>
      <c r="I429" t="s">
        <v>174</v>
      </c>
      <c r="J429">
        <v>3634</v>
      </c>
      <c r="K429" s="328">
        <v>45434</v>
      </c>
      <c r="L429">
        <v>1010100</v>
      </c>
      <c r="M429" t="s">
        <v>35</v>
      </c>
      <c r="N429">
        <v>650</v>
      </c>
      <c r="O429" s="32">
        <v>0</v>
      </c>
      <c r="P429" s="32">
        <v>0</v>
      </c>
      <c r="Q429" s="32">
        <v>0</v>
      </c>
      <c r="R429" s="32">
        <v>0</v>
      </c>
      <c r="S429" s="32">
        <v>0</v>
      </c>
      <c r="T429" s="32">
        <v>0</v>
      </c>
      <c r="U429" s="32">
        <v>8760</v>
      </c>
      <c r="V429" s="32">
        <v>0</v>
      </c>
      <c r="W429" s="32">
        <v>262.8</v>
      </c>
      <c r="X429" s="32">
        <v>8497.1999999999989</v>
      </c>
      <c r="Y429" s="32">
        <v>8497.1999999999989</v>
      </c>
      <c r="Z429" s="32">
        <v>8760</v>
      </c>
      <c r="AA429" s="32">
        <v>-8760</v>
      </c>
      <c r="AB429" s="32">
        <v>0</v>
      </c>
      <c r="AC429" s="32" t="s">
        <v>542</v>
      </c>
      <c r="AD429" s="32"/>
      <c r="AE429" s="32">
        <v>0</v>
      </c>
    </row>
    <row r="430" spans="1:31" x14ac:dyDescent="0.25">
      <c r="A430">
        <v>6132</v>
      </c>
      <c r="B430" t="s">
        <v>177</v>
      </c>
      <c r="C430" t="s">
        <v>178</v>
      </c>
      <c r="D430" s="35">
        <v>14851.85</v>
      </c>
      <c r="E430">
        <v>1246132474</v>
      </c>
      <c r="F430" s="328">
        <v>45570</v>
      </c>
      <c r="H430" t="s">
        <v>173</v>
      </c>
      <c r="I430" t="s">
        <v>174</v>
      </c>
      <c r="J430">
        <v>2989</v>
      </c>
      <c r="K430" s="328">
        <v>45356</v>
      </c>
      <c r="L430">
        <v>1010100</v>
      </c>
      <c r="M430" t="s">
        <v>35</v>
      </c>
      <c r="N430">
        <v>542</v>
      </c>
      <c r="O430" s="32">
        <v>0</v>
      </c>
      <c r="P430" s="32">
        <v>0</v>
      </c>
      <c r="Q430" s="32">
        <v>0</v>
      </c>
      <c r="R430" s="32">
        <v>0</v>
      </c>
      <c r="S430" s="32">
        <v>0</v>
      </c>
      <c r="T430" s="32">
        <v>0</v>
      </c>
      <c r="U430" s="32">
        <v>14851.85</v>
      </c>
      <c r="V430" s="32">
        <v>0</v>
      </c>
      <c r="W430" s="32">
        <v>445.55549999999999</v>
      </c>
      <c r="X430" s="32">
        <v>14406.2945</v>
      </c>
      <c r="Y430" s="32">
        <v>14406.2945</v>
      </c>
      <c r="Z430" s="32">
        <v>14851.85</v>
      </c>
      <c r="AA430" s="32">
        <v>-14851.85</v>
      </c>
      <c r="AB430" s="32">
        <v>0</v>
      </c>
      <c r="AC430" s="32" t="s">
        <v>542</v>
      </c>
      <c r="AD430" s="32"/>
      <c r="AE430" s="32">
        <v>0</v>
      </c>
    </row>
    <row r="431" spans="1:31" x14ac:dyDescent="0.25">
      <c r="A431">
        <v>6132</v>
      </c>
      <c r="B431" t="s">
        <v>177</v>
      </c>
      <c r="C431" t="s">
        <v>178</v>
      </c>
      <c r="D431" s="35">
        <v>99200.52</v>
      </c>
      <c r="E431">
        <v>1246147269</v>
      </c>
      <c r="F431" s="328">
        <v>45571</v>
      </c>
      <c r="H431" t="s">
        <v>173</v>
      </c>
      <c r="I431" t="s">
        <v>174</v>
      </c>
      <c r="J431">
        <v>3665</v>
      </c>
      <c r="K431" s="328">
        <v>45436</v>
      </c>
      <c r="L431">
        <v>1010100</v>
      </c>
      <c r="M431" t="s">
        <v>35</v>
      </c>
      <c r="N431">
        <v>541</v>
      </c>
      <c r="O431" s="32">
        <v>0</v>
      </c>
      <c r="P431" s="32">
        <v>0</v>
      </c>
      <c r="Q431" s="32">
        <v>0</v>
      </c>
      <c r="R431" s="32">
        <v>0</v>
      </c>
      <c r="S431" s="32">
        <v>0</v>
      </c>
      <c r="T431" s="32">
        <v>0</v>
      </c>
      <c r="U431" s="32">
        <v>99200.52</v>
      </c>
      <c r="V431" s="32">
        <v>0</v>
      </c>
      <c r="W431" s="32">
        <v>2976.0156000000002</v>
      </c>
      <c r="X431" s="32">
        <v>96224.504400000005</v>
      </c>
      <c r="Y431" s="32">
        <v>96224.504400000005</v>
      </c>
      <c r="Z431" s="32">
        <v>99200.52</v>
      </c>
      <c r="AA431" s="32">
        <v>-99200.52</v>
      </c>
      <c r="AB431" s="32">
        <v>0</v>
      </c>
      <c r="AC431" s="32" t="s">
        <v>542</v>
      </c>
      <c r="AD431" s="32"/>
      <c r="AE431" s="32">
        <v>0</v>
      </c>
    </row>
    <row r="432" spans="1:31" x14ac:dyDescent="0.25">
      <c r="A432">
        <v>6132</v>
      </c>
      <c r="B432" t="s">
        <v>177</v>
      </c>
      <c r="C432" t="s">
        <v>178</v>
      </c>
      <c r="D432" s="35">
        <v>33509.519999999997</v>
      </c>
      <c r="E432">
        <v>1246148020</v>
      </c>
      <c r="F432" s="328">
        <v>45576</v>
      </c>
      <c r="H432" t="s">
        <v>173</v>
      </c>
      <c r="I432" t="s">
        <v>174</v>
      </c>
      <c r="J432">
        <v>3714</v>
      </c>
      <c r="K432" s="328">
        <v>45441</v>
      </c>
      <c r="L432">
        <v>1010100</v>
      </c>
      <c r="M432" t="s">
        <v>35</v>
      </c>
      <c r="N432">
        <v>536</v>
      </c>
      <c r="O432" s="32">
        <v>0</v>
      </c>
      <c r="P432" s="32">
        <v>0</v>
      </c>
      <c r="Q432" s="32">
        <v>0</v>
      </c>
      <c r="R432" s="32">
        <v>0</v>
      </c>
      <c r="S432" s="32">
        <v>0</v>
      </c>
      <c r="T432" s="32">
        <v>0</v>
      </c>
      <c r="U432" s="32">
        <v>33509.519999999997</v>
      </c>
      <c r="V432" s="32">
        <v>0</v>
      </c>
      <c r="W432" s="32">
        <v>1005.2855999999998</v>
      </c>
      <c r="X432" s="32">
        <v>32504.234399999998</v>
      </c>
      <c r="Y432" s="32">
        <v>32504.234399999998</v>
      </c>
      <c r="Z432" s="32">
        <v>33509.519999999997</v>
      </c>
      <c r="AA432" s="32">
        <v>-33509.519999999997</v>
      </c>
      <c r="AB432" s="32">
        <v>0</v>
      </c>
      <c r="AC432" s="32" t="s">
        <v>542</v>
      </c>
      <c r="AD432" s="32"/>
      <c r="AE432" s="32">
        <v>0</v>
      </c>
    </row>
    <row r="433" spans="1:31" x14ac:dyDescent="0.25">
      <c r="A433">
        <v>6132</v>
      </c>
      <c r="B433" t="s">
        <v>177</v>
      </c>
      <c r="C433" t="s">
        <v>178</v>
      </c>
      <c r="D433" s="35">
        <v>56218.2</v>
      </c>
      <c r="E433">
        <v>1246148019</v>
      </c>
      <c r="F433" s="328">
        <v>45576</v>
      </c>
      <c r="H433" t="s">
        <v>173</v>
      </c>
      <c r="I433" t="s">
        <v>174</v>
      </c>
      <c r="J433">
        <v>3713</v>
      </c>
      <c r="K433" s="328">
        <v>45441</v>
      </c>
      <c r="L433">
        <v>1010100</v>
      </c>
      <c r="M433" t="s">
        <v>35</v>
      </c>
      <c r="N433">
        <v>536</v>
      </c>
      <c r="O433" s="32">
        <v>0</v>
      </c>
      <c r="P433" s="32">
        <v>0</v>
      </c>
      <c r="Q433" s="32">
        <v>0</v>
      </c>
      <c r="R433" s="32">
        <v>0</v>
      </c>
      <c r="S433" s="32">
        <v>0</v>
      </c>
      <c r="T433" s="32">
        <v>0</v>
      </c>
      <c r="U433" s="32">
        <v>56218.2</v>
      </c>
      <c r="V433" s="32">
        <v>0</v>
      </c>
      <c r="W433" s="32">
        <v>1686.5459999999998</v>
      </c>
      <c r="X433" s="32">
        <v>54531.653999999995</v>
      </c>
      <c r="Y433" s="32">
        <v>54531.653999999995</v>
      </c>
      <c r="Z433" s="32">
        <v>56218.2</v>
      </c>
      <c r="AA433" s="32">
        <v>-56218.2</v>
      </c>
      <c r="AB433" s="32">
        <v>0</v>
      </c>
      <c r="AC433" s="32" t="s">
        <v>542</v>
      </c>
      <c r="AD433" s="32"/>
      <c r="AE433" s="32">
        <v>0</v>
      </c>
    </row>
    <row r="434" spans="1:31" x14ac:dyDescent="0.25">
      <c r="A434">
        <v>6132</v>
      </c>
      <c r="B434" t="s">
        <v>177</v>
      </c>
      <c r="C434" t="s">
        <v>178</v>
      </c>
      <c r="D434" s="35">
        <v>95220.3</v>
      </c>
      <c r="E434">
        <v>1246135170</v>
      </c>
      <c r="F434" s="328">
        <v>45566</v>
      </c>
      <c r="H434" t="s">
        <v>173</v>
      </c>
      <c r="I434" t="s">
        <v>174</v>
      </c>
      <c r="J434">
        <v>3136</v>
      </c>
      <c r="K434" s="328">
        <v>45372</v>
      </c>
      <c r="L434">
        <v>1010100</v>
      </c>
      <c r="M434" t="s">
        <v>35</v>
      </c>
      <c r="N434">
        <v>546</v>
      </c>
      <c r="O434" s="32">
        <v>0</v>
      </c>
      <c r="P434" s="32">
        <v>0</v>
      </c>
      <c r="Q434" s="32">
        <v>0</v>
      </c>
      <c r="R434" s="32">
        <v>0</v>
      </c>
      <c r="S434" s="32">
        <v>0</v>
      </c>
      <c r="T434" s="32">
        <v>0</v>
      </c>
      <c r="U434" s="32">
        <v>95220.3</v>
      </c>
      <c r="V434" s="32">
        <v>0</v>
      </c>
      <c r="W434" s="32">
        <v>2856.6089999999999</v>
      </c>
      <c r="X434" s="32">
        <v>92363.691000000006</v>
      </c>
      <c r="Y434" s="32">
        <v>92363.691000000006</v>
      </c>
      <c r="Z434" s="32">
        <v>95220.3</v>
      </c>
      <c r="AA434" s="32">
        <v>-95220.3</v>
      </c>
      <c r="AB434" s="32">
        <v>0</v>
      </c>
      <c r="AC434" s="32" t="s">
        <v>542</v>
      </c>
      <c r="AD434" s="32"/>
      <c r="AE434" s="32">
        <v>0</v>
      </c>
    </row>
    <row r="435" spans="1:31" x14ac:dyDescent="0.25">
      <c r="A435">
        <v>6132</v>
      </c>
      <c r="B435" t="s">
        <v>177</v>
      </c>
      <c r="C435" t="s">
        <v>178</v>
      </c>
      <c r="D435" s="35">
        <v>29542.9</v>
      </c>
      <c r="E435">
        <v>1246135172</v>
      </c>
      <c r="F435" s="328">
        <v>45566</v>
      </c>
      <c r="H435" t="s">
        <v>173</v>
      </c>
      <c r="I435" t="s">
        <v>174</v>
      </c>
      <c r="J435">
        <v>3137</v>
      </c>
      <c r="K435" s="328">
        <v>45372</v>
      </c>
      <c r="L435">
        <v>1010100</v>
      </c>
      <c r="M435" t="s">
        <v>35</v>
      </c>
      <c r="N435">
        <v>546</v>
      </c>
      <c r="O435" s="32">
        <v>0</v>
      </c>
      <c r="P435" s="32">
        <v>0</v>
      </c>
      <c r="Q435" s="32">
        <v>0</v>
      </c>
      <c r="R435" s="32">
        <v>0</v>
      </c>
      <c r="S435" s="32">
        <v>0</v>
      </c>
      <c r="T435" s="32">
        <v>0</v>
      </c>
      <c r="U435" s="32">
        <v>29542.9</v>
      </c>
      <c r="V435" s="32">
        <v>0</v>
      </c>
      <c r="W435" s="32">
        <v>886.28700000000003</v>
      </c>
      <c r="X435" s="32">
        <v>28656.613000000001</v>
      </c>
      <c r="Y435" s="32">
        <v>28656.613000000001</v>
      </c>
      <c r="Z435" s="32">
        <v>29542.9</v>
      </c>
      <c r="AA435" s="32">
        <v>-29542.9</v>
      </c>
      <c r="AB435" s="32">
        <v>0</v>
      </c>
      <c r="AC435" s="32" t="s">
        <v>542</v>
      </c>
      <c r="AD435" s="32"/>
      <c r="AE435" s="32">
        <v>0</v>
      </c>
    </row>
    <row r="436" spans="1:31" x14ac:dyDescent="0.25">
      <c r="A436">
        <v>6132</v>
      </c>
      <c r="B436" t="s">
        <v>177</v>
      </c>
      <c r="C436" t="s">
        <v>178</v>
      </c>
      <c r="D436" s="35">
        <v>92588.02</v>
      </c>
      <c r="E436">
        <v>1246138275</v>
      </c>
      <c r="F436" s="328">
        <v>45570</v>
      </c>
      <c r="H436" t="s">
        <v>173</v>
      </c>
      <c r="I436" t="s">
        <v>174</v>
      </c>
      <c r="J436">
        <v>3249</v>
      </c>
      <c r="K436" s="328">
        <v>45390</v>
      </c>
      <c r="L436">
        <v>1010100</v>
      </c>
      <c r="M436" t="s">
        <v>35</v>
      </c>
      <c r="N436">
        <v>542</v>
      </c>
      <c r="O436" s="32">
        <v>0</v>
      </c>
      <c r="P436" s="32">
        <v>0</v>
      </c>
      <c r="Q436" s="32">
        <v>0</v>
      </c>
      <c r="R436" s="32">
        <v>0</v>
      </c>
      <c r="S436" s="32">
        <v>0</v>
      </c>
      <c r="T436" s="32">
        <v>0</v>
      </c>
      <c r="U436" s="32">
        <v>92588.02</v>
      </c>
      <c r="V436" s="32">
        <v>0</v>
      </c>
      <c r="W436" s="32">
        <v>2777.6406000000002</v>
      </c>
      <c r="X436" s="32">
        <v>89810.379400000005</v>
      </c>
      <c r="Y436" s="32">
        <v>89810.379400000005</v>
      </c>
      <c r="Z436" s="32">
        <v>92588.02</v>
      </c>
      <c r="AA436" s="32">
        <v>-92588.02</v>
      </c>
      <c r="AB436" s="32">
        <v>0</v>
      </c>
      <c r="AC436" s="32" t="s">
        <v>542</v>
      </c>
      <c r="AD436" s="32"/>
      <c r="AE436" s="32">
        <v>0</v>
      </c>
    </row>
    <row r="437" spans="1:31" x14ac:dyDescent="0.25">
      <c r="A437">
        <v>6132</v>
      </c>
      <c r="B437" t="s">
        <v>177</v>
      </c>
      <c r="C437" t="s">
        <v>178</v>
      </c>
      <c r="D437" s="35">
        <v>97872.48</v>
      </c>
      <c r="E437">
        <v>1246135813</v>
      </c>
      <c r="F437" s="328">
        <v>45570</v>
      </c>
      <c r="H437" t="s">
        <v>173</v>
      </c>
      <c r="I437" t="s">
        <v>174</v>
      </c>
      <c r="J437">
        <v>3160</v>
      </c>
      <c r="K437" s="328">
        <v>45376</v>
      </c>
      <c r="L437">
        <v>1010100</v>
      </c>
      <c r="M437" t="s">
        <v>35</v>
      </c>
      <c r="N437">
        <v>542</v>
      </c>
      <c r="O437" s="32">
        <v>0</v>
      </c>
      <c r="P437" s="32">
        <v>0</v>
      </c>
      <c r="Q437" s="32">
        <v>0</v>
      </c>
      <c r="R437" s="32">
        <v>0</v>
      </c>
      <c r="S437" s="32">
        <v>0</v>
      </c>
      <c r="T437" s="32">
        <v>0</v>
      </c>
      <c r="U437" s="32">
        <v>97872.48</v>
      </c>
      <c r="V437" s="32">
        <v>0</v>
      </c>
      <c r="W437" s="32">
        <v>2936.1743999999999</v>
      </c>
      <c r="X437" s="32">
        <v>94936.305599999992</v>
      </c>
      <c r="Y437" s="32">
        <v>94936.305599999992</v>
      </c>
      <c r="Z437" s="32">
        <v>97872.48</v>
      </c>
      <c r="AA437" s="32">
        <v>-97872.48</v>
      </c>
      <c r="AB437" s="32">
        <v>0</v>
      </c>
      <c r="AC437" s="32" t="s">
        <v>542</v>
      </c>
      <c r="AD437" s="32"/>
      <c r="AE437" s="32">
        <v>0</v>
      </c>
    </row>
    <row r="438" spans="1:31" x14ac:dyDescent="0.25">
      <c r="A438">
        <v>6132</v>
      </c>
      <c r="B438" t="s">
        <v>177</v>
      </c>
      <c r="C438" t="s">
        <v>178</v>
      </c>
      <c r="D438" s="35">
        <v>155705</v>
      </c>
      <c r="E438">
        <v>1246130904</v>
      </c>
      <c r="F438" s="328">
        <v>45567</v>
      </c>
      <c r="H438" t="s">
        <v>173</v>
      </c>
      <c r="I438" t="s">
        <v>174</v>
      </c>
      <c r="J438">
        <v>2906</v>
      </c>
      <c r="K438" s="328">
        <v>45345</v>
      </c>
      <c r="L438">
        <v>1010100</v>
      </c>
      <c r="M438" t="s">
        <v>35</v>
      </c>
      <c r="N438">
        <v>545</v>
      </c>
      <c r="O438" s="32">
        <v>0</v>
      </c>
      <c r="P438" s="32">
        <v>0</v>
      </c>
      <c r="Q438" s="32">
        <v>0</v>
      </c>
      <c r="R438" s="32">
        <v>0</v>
      </c>
      <c r="S438" s="32">
        <v>0</v>
      </c>
      <c r="T438" s="32">
        <v>0</v>
      </c>
      <c r="U438" s="32">
        <v>155705</v>
      </c>
      <c r="V438" s="32">
        <v>0</v>
      </c>
      <c r="W438" s="32">
        <v>4671.1499999999996</v>
      </c>
      <c r="X438" s="32">
        <v>151033.85</v>
      </c>
      <c r="Y438" s="32">
        <v>151033.85</v>
      </c>
      <c r="Z438" s="32">
        <v>155705</v>
      </c>
      <c r="AA438" s="32">
        <v>-155705</v>
      </c>
      <c r="AB438" s="32">
        <v>0</v>
      </c>
      <c r="AC438" s="32" t="s">
        <v>542</v>
      </c>
      <c r="AD438" s="32"/>
      <c r="AE438" s="32">
        <v>0</v>
      </c>
    </row>
    <row r="439" spans="1:31" x14ac:dyDescent="0.25">
      <c r="A439">
        <v>6132</v>
      </c>
      <c r="B439" t="s">
        <v>177</v>
      </c>
      <c r="C439" t="s">
        <v>178</v>
      </c>
      <c r="D439" s="35">
        <v>86997.759999999995</v>
      </c>
      <c r="E439">
        <v>1246137598</v>
      </c>
      <c r="F439" s="328">
        <v>45566</v>
      </c>
      <c r="H439" t="s">
        <v>173</v>
      </c>
      <c r="I439" t="s">
        <v>174</v>
      </c>
      <c r="J439">
        <v>3223</v>
      </c>
      <c r="K439" s="328">
        <v>45386</v>
      </c>
      <c r="L439">
        <v>1010100</v>
      </c>
      <c r="M439" t="s">
        <v>35</v>
      </c>
      <c r="N439">
        <v>546</v>
      </c>
      <c r="O439" s="32">
        <v>0</v>
      </c>
      <c r="P439" s="32">
        <v>0</v>
      </c>
      <c r="Q439" s="32">
        <v>0</v>
      </c>
      <c r="R439" s="32">
        <v>0</v>
      </c>
      <c r="S439" s="32">
        <v>0</v>
      </c>
      <c r="T439" s="32">
        <v>0</v>
      </c>
      <c r="U439" s="32">
        <v>86997.759999999995</v>
      </c>
      <c r="V439" s="32">
        <v>0</v>
      </c>
      <c r="W439" s="32">
        <v>2609.9327999999996</v>
      </c>
      <c r="X439" s="32">
        <v>84387.8272</v>
      </c>
      <c r="Y439" s="32">
        <v>84387.8272</v>
      </c>
      <c r="Z439" s="32">
        <v>86997.759999999995</v>
      </c>
      <c r="AA439" s="32">
        <v>-86997.759999999995</v>
      </c>
      <c r="AB439" s="32">
        <v>0</v>
      </c>
      <c r="AC439" s="32" t="s">
        <v>542</v>
      </c>
      <c r="AD439" s="32"/>
      <c r="AE439" s="32">
        <v>0</v>
      </c>
    </row>
    <row r="440" spans="1:31" x14ac:dyDescent="0.25">
      <c r="A440">
        <v>6132</v>
      </c>
      <c r="B440" t="s">
        <v>177</v>
      </c>
      <c r="C440" t="s">
        <v>178</v>
      </c>
      <c r="D440" s="35">
        <v>55849.2</v>
      </c>
      <c r="E440">
        <v>1246147270</v>
      </c>
      <c r="F440" s="328">
        <v>45571</v>
      </c>
      <c r="H440" t="s">
        <v>173</v>
      </c>
      <c r="I440" t="s">
        <v>174</v>
      </c>
      <c r="J440">
        <v>3666</v>
      </c>
      <c r="K440" s="328">
        <v>45436</v>
      </c>
      <c r="L440">
        <v>1010100</v>
      </c>
      <c r="M440" t="s">
        <v>35</v>
      </c>
      <c r="N440">
        <v>541</v>
      </c>
      <c r="O440" s="32">
        <v>0</v>
      </c>
      <c r="P440" s="32">
        <v>0</v>
      </c>
      <c r="Q440" s="32">
        <v>0</v>
      </c>
      <c r="R440" s="32">
        <v>0</v>
      </c>
      <c r="S440" s="32">
        <v>0</v>
      </c>
      <c r="T440" s="32">
        <v>0</v>
      </c>
      <c r="U440" s="32">
        <v>55849.2</v>
      </c>
      <c r="V440" s="32">
        <v>0</v>
      </c>
      <c r="W440" s="32">
        <v>1675.4759999999999</v>
      </c>
      <c r="X440" s="32">
        <v>54173.723999999995</v>
      </c>
      <c r="Y440" s="32">
        <v>54173.723999999995</v>
      </c>
      <c r="Z440" s="32">
        <v>55849.2</v>
      </c>
      <c r="AA440" s="32">
        <v>-55849.2</v>
      </c>
      <c r="AB440" s="32">
        <v>0</v>
      </c>
      <c r="AC440" s="32" t="s">
        <v>542</v>
      </c>
      <c r="AD440" s="32"/>
      <c r="AE440" s="32">
        <v>0</v>
      </c>
    </row>
    <row r="441" spans="1:31" x14ac:dyDescent="0.25">
      <c r="A441">
        <v>6132</v>
      </c>
      <c r="B441" t="s">
        <v>177</v>
      </c>
      <c r="C441" t="s">
        <v>178</v>
      </c>
      <c r="D441" s="35">
        <v>97872.48</v>
      </c>
      <c r="E441">
        <v>1246131241</v>
      </c>
      <c r="F441" s="328">
        <v>45571</v>
      </c>
      <c r="H441" t="s">
        <v>173</v>
      </c>
      <c r="I441" t="s">
        <v>174</v>
      </c>
      <c r="J441">
        <v>2928</v>
      </c>
      <c r="K441" s="328">
        <v>45349</v>
      </c>
      <c r="L441">
        <v>1010100</v>
      </c>
      <c r="M441" t="s">
        <v>35</v>
      </c>
      <c r="N441">
        <v>541</v>
      </c>
      <c r="O441" s="32">
        <v>0</v>
      </c>
      <c r="P441" s="32">
        <v>0</v>
      </c>
      <c r="Q441" s="32">
        <v>0</v>
      </c>
      <c r="R441" s="32">
        <v>0</v>
      </c>
      <c r="S441" s="32">
        <v>0</v>
      </c>
      <c r="T441" s="32">
        <v>0</v>
      </c>
      <c r="U441" s="32">
        <v>97872.48</v>
      </c>
      <c r="V441" s="32">
        <v>0</v>
      </c>
      <c r="W441" s="32">
        <v>2936.1743999999999</v>
      </c>
      <c r="X441" s="32">
        <v>94936.305599999992</v>
      </c>
      <c r="Y441" s="32">
        <v>94936.305599999992</v>
      </c>
      <c r="Z441" s="32">
        <v>97872.48</v>
      </c>
      <c r="AA441" s="32">
        <v>-97872.48</v>
      </c>
      <c r="AB441" s="32">
        <v>0</v>
      </c>
      <c r="AC441" s="32" t="s">
        <v>542</v>
      </c>
      <c r="AD441" s="32"/>
      <c r="AE441" s="32">
        <v>0</v>
      </c>
    </row>
    <row r="442" spans="1:31" x14ac:dyDescent="0.25">
      <c r="A442">
        <v>6132</v>
      </c>
      <c r="B442" t="s">
        <v>177</v>
      </c>
      <c r="C442" t="s">
        <v>178</v>
      </c>
      <c r="D442" s="35">
        <v>57092.28</v>
      </c>
      <c r="E442">
        <v>1246133070</v>
      </c>
      <c r="F442" s="328">
        <v>45573</v>
      </c>
      <c r="H442" t="s">
        <v>173</v>
      </c>
      <c r="I442" t="s">
        <v>174</v>
      </c>
      <c r="J442">
        <v>3012</v>
      </c>
      <c r="K442" s="328">
        <v>45359</v>
      </c>
      <c r="L442">
        <v>1010100</v>
      </c>
      <c r="M442" t="s">
        <v>35</v>
      </c>
      <c r="N442">
        <v>539</v>
      </c>
      <c r="O442" s="32">
        <v>0</v>
      </c>
      <c r="P442" s="32">
        <v>0</v>
      </c>
      <c r="Q442" s="32">
        <v>0</v>
      </c>
      <c r="R442" s="32">
        <v>0</v>
      </c>
      <c r="S442" s="32">
        <v>0</v>
      </c>
      <c r="T442" s="32">
        <v>0</v>
      </c>
      <c r="U442" s="32">
        <v>57092.28</v>
      </c>
      <c r="V442" s="32">
        <v>0</v>
      </c>
      <c r="W442" s="32">
        <v>1712.7683999999999</v>
      </c>
      <c r="X442" s="32">
        <v>55379.511599999998</v>
      </c>
      <c r="Y442" s="32">
        <v>55379.511599999998</v>
      </c>
      <c r="Z442" s="32">
        <v>57092.28</v>
      </c>
      <c r="AA442" s="32">
        <v>-57092.28</v>
      </c>
      <c r="AB442" s="32">
        <v>0</v>
      </c>
      <c r="AC442" s="32" t="s">
        <v>542</v>
      </c>
      <c r="AD442" s="32"/>
      <c r="AE442" s="32">
        <v>0</v>
      </c>
    </row>
    <row r="443" spans="1:31" x14ac:dyDescent="0.25">
      <c r="A443">
        <v>6132</v>
      </c>
      <c r="B443" t="s">
        <v>177</v>
      </c>
      <c r="C443" t="s">
        <v>178</v>
      </c>
      <c r="D443" s="35">
        <v>86997.759999999995</v>
      </c>
      <c r="E443">
        <v>1246131594</v>
      </c>
      <c r="F443" s="328">
        <v>45573</v>
      </c>
      <c r="H443" t="s">
        <v>173</v>
      </c>
      <c r="I443" t="s">
        <v>174</v>
      </c>
      <c r="J443">
        <v>2956</v>
      </c>
      <c r="K443" s="328">
        <v>45351</v>
      </c>
      <c r="L443">
        <v>1010100</v>
      </c>
      <c r="M443" t="s">
        <v>35</v>
      </c>
      <c r="N443">
        <v>539</v>
      </c>
      <c r="O443" s="32">
        <v>0</v>
      </c>
      <c r="P443" s="32">
        <v>0</v>
      </c>
      <c r="Q443" s="32">
        <v>0</v>
      </c>
      <c r="R443" s="32">
        <v>0</v>
      </c>
      <c r="S443" s="32">
        <v>0</v>
      </c>
      <c r="T443" s="32">
        <v>0</v>
      </c>
      <c r="U443" s="32">
        <v>86997.759999999995</v>
      </c>
      <c r="V443" s="32">
        <v>0</v>
      </c>
      <c r="W443" s="32">
        <v>2609.9327999999996</v>
      </c>
      <c r="X443" s="32">
        <v>84387.8272</v>
      </c>
      <c r="Y443" s="32">
        <v>84387.8272</v>
      </c>
      <c r="Z443" s="32">
        <v>86997.759999999995</v>
      </c>
      <c r="AA443" s="32">
        <v>-86997.759999999995</v>
      </c>
      <c r="AB443" s="32">
        <v>0</v>
      </c>
      <c r="AC443" s="32" t="s">
        <v>542</v>
      </c>
      <c r="AD443" s="32"/>
      <c r="AE443" s="32">
        <v>0</v>
      </c>
    </row>
    <row r="444" spans="1:31" x14ac:dyDescent="0.25">
      <c r="A444">
        <v>6132</v>
      </c>
      <c r="B444" t="s">
        <v>177</v>
      </c>
      <c r="C444" t="s">
        <v>178</v>
      </c>
      <c r="D444" s="35">
        <v>86997.759999999995</v>
      </c>
      <c r="E444">
        <v>1246133332</v>
      </c>
      <c r="F444" s="328">
        <v>45576</v>
      </c>
      <c r="H444" t="s">
        <v>173</v>
      </c>
      <c r="I444" t="s">
        <v>174</v>
      </c>
      <c r="J444">
        <v>3028</v>
      </c>
      <c r="K444" s="328">
        <v>45362</v>
      </c>
      <c r="L444">
        <v>1010100</v>
      </c>
      <c r="M444" t="s">
        <v>35</v>
      </c>
      <c r="N444">
        <v>536</v>
      </c>
      <c r="O444" s="32">
        <v>0</v>
      </c>
      <c r="P444" s="32">
        <v>0</v>
      </c>
      <c r="Q444" s="32">
        <v>0</v>
      </c>
      <c r="R444" s="32">
        <v>0</v>
      </c>
      <c r="S444" s="32">
        <v>0</v>
      </c>
      <c r="T444" s="32">
        <v>0</v>
      </c>
      <c r="U444" s="32">
        <v>86997.759999999995</v>
      </c>
      <c r="V444" s="32">
        <v>0</v>
      </c>
      <c r="W444" s="32">
        <v>2609.9327999999996</v>
      </c>
      <c r="X444" s="32">
        <v>84387.8272</v>
      </c>
      <c r="Y444" s="32">
        <v>84387.8272</v>
      </c>
      <c r="Z444" s="32">
        <v>86997.759999999995</v>
      </c>
      <c r="AA444" s="32">
        <v>-86997.759999999995</v>
      </c>
      <c r="AB444" s="32">
        <v>0</v>
      </c>
      <c r="AC444" s="32" t="s">
        <v>542</v>
      </c>
      <c r="AD444" s="32"/>
      <c r="AE444" s="32">
        <v>0</v>
      </c>
    </row>
    <row r="445" spans="1:31" x14ac:dyDescent="0.25">
      <c r="A445">
        <v>6132</v>
      </c>
      <c r="B445" t="s">
        <v>177</v>
      </c>
      <c r="C445" t="s">
        <v>178</v>
      </c>
      <c r="D445" s="35">
        <v>95153.8</v>
      </c>
      <c r="E445">
        <v>1246133718</v>
      </c>
      <c r="F445" s="328">
        <v>45578</v>
      </c>
      <c r="H445" t="s">
        <v>173</v>
      </c>
      <c r="I445" t="s">
        <v>174</v>
      </c>
      <c r="J445">
        <v>3051</v>
      </c>
      <c r="K445" s="328">
        <v>45364</v>
      </c>
      <c r="L445">
        <v>1010100</v>
      </c>
      <c r="M445" t="s">
        <v>35</v>
      </c>
      <c r="N445">
        <v>534</v>
      </c>
      <c r="O445" s="32">
        <v>0</v>
      </c>
      <c r="P445" s="32">
        <v>0</v>
      </c>
      <c r="Q445" s="32">
        <v>0</v>
      </c>
      <c r="R445" s="32">
        <v>0</v>
      </c>
      <c r="S445" s="32">
        <v>0</v>
      </c>
      <c r="T445" s="32">
        <v>0</v>
      </c>
      <c r="U445" s="32">
        <v>95153.8</v>
      </c>
      <c r="V445" s="32">
        <v>0</v>
      </c>
      <c r="W445" s="32">
        <v>2854.614</v>
      </c>
      <c r="X445" s="32">
        <v>92299.186000000002</v>
      </c>
      <c r="Y445" s="32">
        <v>92299.186000000002</v>
      </c>
      <c r="Z445" s="32">
        <v>95153.8</v>
      </c>
      <c r="AA445" s="32">
        <v>-95153.8</v>
      </c>
      <c r="AB445" s="32">
        <v>0</v>
      </c>
      <c r="AC445" s="32" t="s">
        <v>542</v>
      </c>
      <c r="AD445" s="32"/>
      <c r="AE445" s="32">
        <v>0</v>
      </c>
    </row>
    <row r="446" spans="1:31" x14ac:dyDescent="0.25">
      <c r="A446">
        <v>6132</v>
      </c>
      <c r="B446" t="s">
        <v>177</v>
      </c>
      <c r="C446" t="s">
        <v>178</v>
      </c>
      <c r="D446" s="35">
        <v>116501.9</v>
      </c>
      <c r="E446">
        <v>1246138114</v>
      </c>
      <c r="F446" s="328">
        <v>45570</v>
      </c>
      <c r="H446" t="s">
        <v>173</v>
      </c>
      <c r="I446" t="s">
        <v>174</v>
      </c>
      <c r="J446">
        <v>3243</v>
      </c>
      <c r="K446" s="328">
        <v>45390</v>
      </c>
      <c r="L446">
        <v>1010100</v>
      </c>
      <c r="M446" t="s">
        <v>35</v>
      </c>
      <c r="N446">
        <v>542</v>
      </c>
      <c r="O446" s="32">
        <v>0</v>
      </c>
      <c r="P446" s="32">
        <v>0</v>
      </c>
      <c r="Q446" s="32">
        <v>0</v>
      </c>
      <c r="R446" s="32">
        <v>0</v>
      </c>
      <c r="S446" s="32">
        <v>0</v>
      </c>
      <c r="T446" s="32">
        <v>0</v>
      </c>
      <c r="U446" s="32">
        <v>116501.9</v>
      </c>
      <c r="V446" s="32">
        <v>0</v>
      </c>
      <c r="W446" s="32">
        <v>3495.0569999999998</v>
      </c>
      <c r="X446" s="32">
        <v>113006.84299999999</v>
      </c>
      <c r="Y446" s="32">
        <v>113006.84299999999</v>
      </c>
      <c r="Z446" s="32">
        <v>116501.9</v>
      </c>
      <c r="AA446" s="32">
        <v>-116501.9</v>
      </c>
      <c r="AB446" s="32">
        <v>0</v>
      </c>
      <c r="AC446" s="32" t="s">
        <v>542</v>
      </c>
      <c r="AD446" s="32"/>
      <c r="AE446" s="32">
        <v>0</v>
      </c>
    </row>
    <row r="447" spans="1:31" x14ac:dyDescent="0.25">
      <c r="A447">
        <v>6132</v>
      </c>
      <c r="B447" t="s">
        <v>177</v>
      </c>
      <c r="C447" t="s">
        <v>178</v>
      </c>
      <c r="D447" s="35">
        <v>134954</v>
      </c>
      <c r="E447">
        <v>1246130651</v>
      </c>
      <c r="F447" s="328">
        <v>45566</v>
      </c>
      <c r="H447" t="s">
        <v>173</v>
      </c>
      <c r="I447" t="s">
        <v>174</v>
      </c>
      <c r="J447">
        <v>2889</v>
      </c>
      <c r="K447" s="328">
        <v>45344</v>
      </c>
      <c r="L447">
        <v>1010100</v>
      </c>
      <c r="M447" t="s">
        <v>35</v>
      </c>
      <c r="N447">
        <v>546</v>
      </c>
      <c r="O447" s="32">
        <v>0</v>
      </c>
      <c r="P447" s="32">
        <v>0</v>
      </c>
      <c r="Q447" s="32">
        <v>0</v>
      </c>
      <c r="R447" s="32">
        <v>0</v>
      </c>
      <c r="S447" s="32">
        <v>0</v>
      </c>
      <c r="T447" s="32">
        <v>0</v>
      </c>
      <c r="U447" s="32">
        <v>134954</v>
      </c>
      <c r="V447" s="32">
        <v>0</v>
      </c>
      <c r="W447" s="32">
        <v>4048.62</v>
      </c>
      <c r="X447" s="32">
        <v>130905.37999999999</v>
      </c>
      <c r="Y447" s="32">
        <v>130905.37999999999</v>
      </c>
      <c r="Z447" s="32">
        <v>134954</v>
      </c>
      <c r="AA447" s="32">
        <v>-134954</v>
      </c>
      <c r="AB447" s="32">
        <v>0</v>
      </c>
      <c r="AC447" s="32" t="s">
        <v>542</v>
      </c>
      <c r="AD447" s="32"/>
      <c r="AE447" s="32">
        <v>0</v>
      </c>
    </row>
    <row r="448" spans="1:31" x14ac:dyDescent="0.25">
      <c r="A448">
        <v>6132</v>
      </c>
      <c r="B448" t="s">
        <v>177</v>
      </c>
      <c r="C448" t="s">
        <v>178</v>
      </c>
      <c r="D448" s="35">
        <v>86997.759999999995</v>
      </c>
      <c r="E448">
        <v>1246131630</v>
      </c>
      <c r="F448" s="328">
        <v>45573</v>
      </c>
      <c r="H448" t="s">
        <v>173</v>
      </c>
      <c r="I448" t="s">
        <v>174</v>
      </c>
      <c r="J448">
        <v>2958</v>
      </c>
      <c r="K448" s="328">
        <v>45351</v>
      </c>
      <c r="L448">
        <v>1010100</v>
      </c>
      <c r="M448" t="s">
        <v>35</v>
      </c>
      <c r="N448">
        <v>539</v>
      </c>
      <c r="O448" s="32">
        <v>0</v>
      </c>
      <c r="P448" s="32">
        <v>0</v>
      </c>
      <c r="Q448" s="32">
        <v>0</v>
      </c>
      <c r="R448" s="32">
        <v>0</v>
      </c>
      <c r="S448" s="32">
        <v>0</v>
      </c>
      <c r="T448" s="32">
        <v>0</v>
      </c>
      <c r="U448" s="32">
        <v>86997.759999999995</v>
      </c>
      <c r="V448" s="32">
        <v>0</v>
      </c>
      <c r="W448" s="32">
        <v>2609.9327999999996</v>
      </c>
      <c r="X448" s="32">
        <v>84387.8272</v>
      </c>
      <c r="Y448" s="32">
        <v>84387.8272</v>
      </c>
      <c r="Z448" s="32">
        <v>86997.759999999995</v>
      </c>
      <c r="AA448" s="32">
        <v>-86997.759999999995</v>
      </c>
      <c r="AB448" s="32">
        <v>0</v>
      </c>
      <c r="AC448" s="32" t="s">
        <v>542</v>
      </c>
      <c r="AD448" s="32"/>
      <c r="AE448" s="32">
        <v>0</v>
      </c>
    </row>
    <row r="449" spans="1:31" x14ac:dyDescent="0.25">
      <c r="A449">
        <v>6132</v>
      </c>
      <c r="B449" t="s">
        <v>177</v>
      </c>
      <c r="C449" t="s">
        <v>178</v>
      </c>
      <c r="D449" s="35">
        <v>29949.599999999999</v>
      </c>
      <c r="E449">
        <v>1246133071</v>
      </c>
      <c r="F449" s="328">
        <v>45573</v>
      </c>
      <c r="H449" t="s">
        <v>173</v>
      </c>
      <c r="I449" t="s">
        <v>174</v>
      </c>
      <c r="J449">
        <v>3013</v>
      </c>
      <c r="K449" s="328">
        <v>45359</v>
      </c>
      <c r="L449">
        <v>1010100</v>
      </c>
      <c r="M449" t="s">
        <v>35</v>
      </c>
      <c r="N449">
        <v>539</v>
      </c>
      <c r="O449" s="32">
        <v>0</v>
      </c>
      <c r="P449" s="32">
        <v>0</v>
      </c>
      <c r="Q449" s="32">
        <v>0</v>
      </c>
      <c r="R449" s="32">
        <v>0</v>
      </c>
      <c r="S449" s="32">
        <v>0</v>
      </c>
      <c r="T449" s="32">
        <v>0</v>
      </c>
      <c r="U449" s="32">
        <v>29949.599999999999</v>
      </c>
      <c r="V449" s="32">
        <v>0</v>
      </c>
      <c r="W449" s="32">
        <v>898.48799999999994</v>
      </c>
      <c r="X449" s="32">
        <v>29051.111999999997</v>
      </c>
      <c r="Y449" s="32">
        <v>29051.111999999997</v>
      </c>
      <c r="Z449" s="32">
        <v>29949.599999999999</v>
      </c>
      <c r="AA449" s="32">
        <v>-29949.599999999999</v>
      </c>
      <c r="AB449" s="32">
        <v>0</v>
      </c>
      <c r="AC449" s="32" t="s">
        <v>542</v>
      </c>
      <c r="AD449" s="32"/>
      <c r="AE449" s="32">
        <v>0</v>
      </c>
    </row>
    <row r="450" spans="1:31" x14ac:dyDescent="0.25">
      <c r="A450">
        <v>6132</v>
      </c>
      <c r="B450" t="s">
        <v>177</v>
      </c>
      <c r="C450" t="s">
        <v>178</v>
      </c>
      <c r="D450" s="35">
        <v>54275.6</v>
      </c>
      <c r="E450">
        <v>1246132475</v>
      </c>
      <c r="F450" s="328">
        <v>45570</v>
      </c>
      <c r="H450" t="s">
        <v>173</v>
      </c>
      <c r="I450" t="s">
        <v>174</v>
      </c>
      <c r="J450">
        <v>2990</v>
      </c>
      <c r="K450" s="328">
        <v>45356</v>
      </c>
      <c r="L450">
        <v>1010100</v>
      </c>
      <c r="M450" t="s">
        <v>35</v>
      </c>
      <c r="N450">
        <v>542</v>
      </c>
      <c r="O450" s="32">
        <v>0</v>
      </c>
      <c r="P450" s="32">
        <v>0</v>
      </c>
      <c r="Q450" s="32">
        <v>0</v>
      </c>
      <c r="R450" s="32">
        <v>0</v>
      </c>
      <c r="S450" s="32">
        <v>0</v>
      </c>
      <c r="T450" s="32">
        <v>0</v>
      </c>
      <c r="U450" s="32">
        <v>54275.6</v>
      </c>
      <c r="V450" s="32">
        <v>0</v>
      </c>
      <c r="W450" s="32">
        <v>1628.2679999999998</v>
      </c>
      <c r="X450" s="32">
        <v>52647.331999999995</v>
      </c>
      <c r="Y450" s="32">
        <v>52647.331999999995</v>
      </c>
      <c r="Z450" s="32">
        <v>54275.6</v>
      </c>
      <c r="AA450" s="32">
        <v>-54275.6</v>
      </c>
      <c r="AB450" s="32">
        <v>0</v>
      </c>
      <c r="AC450" s="32" t="s">
        <v>542</v>
      </c>
      <c r="AD450" s="32"/>
      <c r="AE450" s="32">
        <v>0</v>
      </c>
    </row>
    <row r="451" spans="1:31" x14ac:dyDescent="0.25">
      <c r="A451">
        <v>6132</v>
      </c>
      <c r="B451" t="s">
        <v>177</v>
      </c>
      <c r="C451" t="s">
        <v>178</v>
      </c>
      <c r="D451" s="35">
        <v>97872.48</v>
      </c>
      <c r="E451">
        <v>1246132869</v>
      </c>
      <c r="F451" s="328">
        <v>45572</v>
      </c>
      <c r="H451" t="s">
        <v>173</v>
      </c>
      <c r="I451" t="s">
        <v>174</v>
      </c>
      <c r="J451">
        <v>3001</v>
      </c>
      <c r="K451" s="328">
        <v>45358</v>
      </c>
      <c r="L451">
        <v>1010100</v>
      </c>
      <c r="M451" t="s">
        <v>35</v>
      </c>
      <c r="N451">
        <v>540</v>
      </c>
      <c r="O451" s="32">
        <v>0</v>
      </c>
      <c r="P451" s="32">
        <v>0</v>
      </c>
      <c r="Q451" s="32">
        <v>0</v>
      </c>
      <c r="R451" s="32">
        <v>0</v>
      </c>
      <c r="S451" s="32">
        <v>0</v>
      </c>
      <c r="T451" s="32">
        <v>0</v>
      </c>
      <c r="U451" s="32">
        <v>97872.48</v>
      </c>
      <c r="V451" s="32">
        <v>0</v>
      </c>
      <c r="W451" s="32">
        <v>2936.1743999999999</v>
      </c>
      <c r="X451" s="32">
        <v>94936.305599999992</v>
      </c>
      <c r="Y451" s="32">
        <v>94936.305599999992</v>
      </c>
      <c r="Z451" s="32">
        <v>97872.48</v>
      </c>
      <c r="AA451" s="32">
        <v>-97872.48</v>
      </c>
      <c r="AB451" s="32">
        <v>0</v>
      </c>
      <c r="AC451" s="32" t="s">
        <v>542</v>
      </c>
      <c r="AD451" s="32"/>
      <c r="AE451" s="32">
        <v>0</v>
      </c>
    </row>
    <row r="452" spans="1:31" x14ac:dyDescent="0.25">
      <c r="A452">
        <v>6132</v>
      </c>
      <c r="B452" t="s">
        <v>177</v>
      </c>
      <c r="C452" t="s">
        <v>178</v>
      </c>
      <c r="D452" s="35">
        <v>86997.759999999995</v>
      </c>
      <c r="E452">
        <v>1246147192</v>
      </c>
      <c r="F452" s="328">
        <v>45571</v>
      </c>
      <c r="H452" t="s">
        <v>173</v>
      </c>
      <c r="I452" t="s">
        <v>174</v>
      </c>
      <c r="J452">
        <v>3654</v>
      </c>
      <c r="K452" s="328">
        <v>45436</v>
      </c>
      <c r="L452">
        <v>1010100</v>
      </c>
      <c r="M452" t="s">
        <v>35</v>
      </c>
      <c r="N452">
        <v>541</v>
      </c>
      <c r="O452" s="32">
        <v>0</v>
      </c>
      <c r="P452" s="32">
        <v>0</v>
      </c>
      <c r="Q452" s="32">
        <v>0</v>
      </c>
      <c r="R452" s="32">
        <v>0</v>
      </c>
      <c r="S452" s="32">
        <v>0</v>
      </c>
      <c r="T452" s="32">
        <v>0</v>
      </c>
      <c r="U452" s="32">
        <v>86997.759999999995</v>
      </c>
      <c r="V452" s="32">
        <v>0</v>
      </c>
      <c r="W452" s="32">
        <v>2609.9327999999996</v>
      </c>
      <c r="X452" s="32">
        <v>84387.8272</v>
      </c>
      <c r="Y452" s="32">
        <v>84387.8272</v>
      </c>
      <c r="Z452" s="32">
        <v>86997.759999999995</v>
      </c>
      <c r="AA452" s="32">
        <v>-86997.759999999995</v>
      </c>
      <c r="AB452" s="32">
        <v>0</v>
      </c>
      <c r="AC452" s="32" t="s">
        <v>542</v>
      </c>
      <c r="AD452" s="32"/>
      <c r="AE452" s="32">
        <v>0</v>
      </c>
    </row>
    <row r="453" spans="1:31" x14ac:dyDescent="0.25">
      <c r="A453">
        <v>6132</v>
      </c>
      <c r="B453" t="s">
        <v>177</v>
      </c>
      <c r="C453" t="s">
        <v>178</v>
      </c>
      <c r="D453" s="35">
        <v>101192.76</v>
      </c>
      <c r="E453">
        <v>1246148270</v>
      </c>
      <c r="F453" s="328">
        <v>45578</v>
      </c>
      <c r="H453" t="s">
        <v>173</v>
      </c>
      <c r="I453" t="s">
        <v>174</v>
      </c>
      <c r="J453">
        <v>3731</v>
      </c>
      <c r="K453" s="328">
        <v>45443</v>
      </c>
      <c r="L453">
        <v>1010100</v>
      </c>
      <c r="M453" t="s">
        <v>35</v>
      </c>
      <c r="N453">
        <v>534</v>
      </c>
      <c r="O453" s="32">
        <v>0</v>
      </c>
      <c r="P453" s="32">
        <v>0</v>
      </c>
      <c r="Q453" s="32">
        <v>0</v>
      </c>
      <c r="R453" s="32">
        <v>0</v>
      </c>
      <c r="S453" s="32">
        <v>0</v>
      </c>
      <c r="T453" s="32">
        <v>0</v>
      </c>
      <c r="U453" s="32">
        <v>101192.76</v>
      </c>
      <c r="V453" s="32">
        <v>0</v>
      </c>
      <c r="W453" s="32">
        <v>3035.7828</v>
      </c>
      <c r="X453" s="32">
        <v>98156.977199999994</v>
      </c>
      <c r="Y453" s="32">
        <v>98156.977199999994</v>
      </c>
      <c r="Z453" s="32">
        <v>101192.76</v>
      </c>
      <c r="AA453" s="32">
        <v>-101192.76</v>
      </c>
      <c r="AB453" s="32">
        <v>0</v>
      </c>
      <c r="AC453" s="32" t="s">
        <v>542</v>
      </c>
      <c r="AD453" s="32"/>
      <c r="AE453" s="32">
        <v>0</v>
      </c>
    </row>
    <row r="454" spans="1:31" x14ac:dyDescent="0.25">
      <c r="A454">
        <v>5519</v>
      </c>
      <c r="B454" t="s">
        <v>303</v>
      </c>
      <c r="C454" t="s">
        <v>911</v>
      </c>
      <c r="D454" s="35">
        <v>43569.75</v>
      </c>
      <c r="E454">
        <v>1246269682</v>
      </c>
      <c r="F454" s="328">
        <v>46142</v>
      </c>
      <c r="H454" t="s">
        <v>28</v>
      </c>
      <c r="I454" t="s">
        <v>29</v>
      </c>
      <c r="J454">
        <v>11012</v>
      </c>
      <c r="K454" s="328">
        <v>46112</v>
      </c>
      <c r="L454">
        <v>1010100</v>
      </c>
      <c r="M454" t="s">
        <v>35</v>
      </c>
      <c r="N454">
        <v>-30</v>
      </c>
      <c r="O454" s="32">
        <v>0</v>
      </c>
      <c r="P454" s="32">
        <v>0</v>
      </c>
      <c r="Q454" s="32">
        <v>43569.75</v>
      </c>
      <c r="R454" s="32">
        <v>0</v>
      </c>
      <c r="S454" s="32">
        <v>0</v>
      </c>
      <c r="T454" s="32">
        <v>0</v>
      </c>
      <c r="U454" s="32">
        <v>0</v>
      </c>
      <c r="V454" s="32">
        <v>0</v>
      </c>
      <c r="W454" s="32">
        <v>0</v>
      </c>
      <c r="X454" s="32">
        <v>0</v>
      </c>
      <c r="Y454" s="32">
        <v>0</v>
      </c>
      <c r="Z454" s="32">
        <v>0</v>
      </c>
      <c r="AA454" s="32">
        <v>0</v>
      </c>
      <c r="AB454" s="32">
        <v>0</v>
      </c>
      <c r="AC454" s="32" t="s">
        <v>475</v>
      </c>
      <c r="AD454" s="32"/>
      <c r="AE454" s="32">
        <v>0</v>
      </c>
    </row>
    <row r="455" spans="1:31" x14ac:dyDescent="0.25">
      <c r="A455">
        <v>5519</v>
      </c>
      <c r="B455" t="s">
        <v>303</v>
      </c>
      <c r="C455" t="s">
        <v>911</v>
      </c>
      <c r="D455" s="35">
        <v>43569.75</v>
      </c>
      <c r="E455">
        <v>1246269683</v>
      </c>
      <c r="F455" s="328">
        <v>46172</v>
      </c>
      <c r="H455" t="s">
        <v>28</v>
      </c>
      <c r="I455" t="s">
        <v>29</v>
      </c>
      <c r="J455">
        <v>11012</v>
      </c>
      <c r="K455" s="328">
        <v>46112</v>
      </c>
      <c r="L455">
        <v>1010100</v>
      </c>
      <c r="M455" t="s">
        <v>35</v>
      </c>
      <c r="N455">
        <v>-60</v>
      </c>
      <c r="O455" s="32">
        <v>0</v>
      </c>
      <c r="P455" s="32">
        <v>0</v>
      </c>
      <c r="Q455" s="32">
        <v>43569.75</v>
      </c>
      <c r="R455" s="32">
        <v>0</v>
      </c>
      <c r="S455" s="32">
        <v>0</v>
      </c>
      <c r="T455" s="32">
        <v>0</v>
      </c>
      <c r="U455" s="32">
        <v>0</v>
      </c>
      <c r="V455" s="32">
        <v>0</v>
      </c>
      <c r="W455" s="32">
        <v>0</v>
      </c>
      <c r="X455" s="32">
        <v>0</v>
      </c>
      <c r="Y455" s="32">
        <v>0</v>
      </c>
      <c r="Z455" s="32">
        <v>0</v>
      </c>
      <c r="AA455" s="32">
        <v>0</v>
      </c>
      <c r="AB455" s="32">
        <v>0</v>
      </c>
      <c r="AC455" s="32" t="s">
        <v>475</v>
      </c>
      <c r="AD455" s="32"/>
      <c r="AE455" s="32">
        <v>0</v>
      </c>
    </row>
    <row r="456" spans="1:31" x14ac:dyDescent="0.25">
      <c r="A456">
        <v>5209</v>
      </c>
      <c r="B456" t="s">
        <v>94</v>
      </c>
      <c r="C456" t="s">
        <v>846</v>
      </c>
      <c r="D456" s="35">
        <v>28444.5</v>
      </c>
      <c r="E456">
        <v>1246266668</v>
      </c>
      <c r="F456" s="328">
        <v>46114</v>
      </c>
      <c r="H456" t="s">
        <v>28</v>
      </c>
      <c r="I456" t="s">
        <v>29</v>
      </c>
      <c r="J456">
        <v>10821</v>
      </c>
      <c r="K456" s="328">
        <v>46086</v>
      </c>
      <c r="L456">
        <v>1010100</v>
      </c>
      <c r="M456" t="s">
        <v>35</v>
      </c>
      <c r="N456">
        <v>-2</v>
      </c>
      <c r="O456" s="32">
        <v>0</v>
      </c>
      <c r="P456" s="32">
        <v>0</v>
      </c>
      <c r="Q456" s="32">
        <v>28444.5</v>
      </c>
      <c r="R456" s="32">
        <v>0</v>
      </c>
      <c r="S456" s="32">
        <v>0</v>
      </c>
      <c r="T456" s="32">
        <v>0</v>
      </c>
      <c r="U456" s="32">
        <v>0</v>
      </c>
      <c r="V456" s="32">
        <v>0</v>
      </c>
      <c r="W456" s="32">
        <v>0</v>
      </c>
      <c r="X456" s="32">
        <v>0</v>
      </c>
      <c r="Y456" s="32">
        <v>0</v>
      </c>
      <c r="Z456" s="32">
        <v>0</v>
      </c>
      <c r="AA456" s="32">
        <v>0</v>
      </c>
      <c r="AB456" s="32">
        <v>0</v>
      </c>
      <c r="AC456" s="32" t="s">
        <v>475</v>
      </c>
      <c r="AD456" s="32"/>
      <c r="AE456" s="32">
        <v>0</v>
      </c>
    </row>
    <row r="457" spans="1:31" x14ac:dyDescent="0.25">
      <c r="A457">
        <v>6177</v>
      </c>
      <c r="B457" t="s">
        <v>745</v>
      </c>
      <c r="C457" t="s">
        <v>822</v>
      </c>
      <c r="D457" s="35">
        <v>122918</v>
      </c>
      <c r="E457">
        <v>1246264685</v>
      </c>
      <c r="F457" s="328">
        <v>46136</v>
      </c>
      <c r="H457" t="s">
        <v>28</v>
      </c>
      <c r="I457" t="s">
        <v>29</v>
      </c>
      <c r="J457">
        <v>10751</v>
      </c>
      <c r="K457" s="328">
        <v>46076</v>
      </c>
      <c r="L457">
        <v>1010100</v>
      </c>
      <c r="M457" t="s">
        <v>35</v>
      </c>
      <c r="N457">
        <v>-24</v>
      </c>
      <c r="O457" s="32">
        <v>0</v>
      </c>
      <c r="P457" s="32">
        <v>0</v>
      </c>
      <c r="Q457" s="32">
        <v>122918</v>
      </c>
      <c r="R457" s="32">
        <v>0</v>
      </c>
      <c r="S457" s="32">
        <v>0</v>
      </c>
      <c r="T457" s="32">
        <v>0</v>
      </c>
      <c r="U457" s="32">
        <v>0</v>
      </c>
      <c r="V457" s="32">
        <v>0</v>
      </c>
      <c r="W457" s="32">
        <v>0</v>
      </c>
      <c r="X457" s="32">
        <v>0</v>
      </c>
      <c r="Y457" s="32">
        <v>0</v>
      </c>
      <c r="Z457" s="32">
        <v>0</v>
      </c>
      <c r="AA457" s="32">
        <v>0</v>
      </c>
      <c r="AB457" s="32">
        <v>0</v>
      </c>
      <c r="AC457" s="32" t="s">
        <v>475</v>
      </c>
      <c r="AD457" s="32"/>
      <c r="AE457" s="32">
        <v>0</v>
      </c>
    </row>
    <row r="458" spans="1:31" x14ac:dyDescent="0.25">
      <c r="A458">
        <v>6177</v>
      </c>
      <c r="B458" t="s">
        <v>745</v>
      </c>
      <c r="C458" t="s">
        <v>822</v>
      </c>
      <c r="D458" s="35">
        <v>121852</v>
      </c>
      <c r="E458">
        <v>1246269467</v>
      </c>
      <c r="F458" s="328">
        <v>46168</v>
      </c>
      <c r="H458" t="s">
        <v>28</v>
      </c>
      <c r="I458" t="s">
        <v>29</v>
      </c>
      <c r="J458">
        <v>10994</v>
      </c>
      <c r="K458" s="328">
        <v>46108</v>
      </c>
      <c r="L458">
        <v>1010100</v>
      </c>
      <c r="M458" t="s">
        <v>35</v>
      </c>
      <c r="N458">
        <v>-56</v>
      </c>
      <c r="O458" s="32">
        <v>0</v>
      </c>
      <c r="P458" s="32">
        <v>0</v>
      </c>
      <c r="Q458" s="32">
        <v>121852</v>
      </c>
      <c r="R458" s="32">
        <v>0</v>
      </c>
      <c r="S458" s="32">
        <v>0</v>
      </c>
      <c r="T458" s="32">
        <v>0</v>
      </c>
      <c r="U458" s="32">
        <v>0</v>
      </c>
      <c r="V458" s="32">
        <v>0</v>
      </c>
      <c r="W458" s="32">
        <v>0</v>
      </c>
      <c r="X458" s="32">
        <v>0</v>
      </c>
      <c r="Y458" s="32">
        <v>0</v>
      </c>
      <c r="Z458" s="32">
        <v>0</v>
      </c>
      <c r="AA458" s="32">
        <v>0</v>
      </c>
      <c r="AB458" s="32">
        <v>0</v>
      </c>
      <c r="AC458" s="32" t="s">
        <v>475</v>
      </c>
      <c r="AD458" s="32"/>
      <c r="AE458" s="32">
        <v>0</v>
      </c>
    </row>
    <row r="459" spans="1:31" x14ac:dyDescent="0.25">
      <c r="A459">
        <v>5300</v>
      </c>
      <c r="B459" t="s">
        <v>30</v>
      </c>
      <c r="C459" t="s">
        <v>551</v>
      </c>
      <c r="D459" s="35">
        <v>175523.4</v>
      </c>
      <c r="E459">
        <v>1246267243</v>
      </c>
      <c r="F459" s="328">
        <v>46119</v>
      </c>
      <c r="H459" t="s">
        <v>28</v>
      </c>
      <c r="I459" t="s">
        <v>29</v>
      </c>
      <c r="J459">
        <v>10859</v>
      </c>
      <c r="K459" s="328">
        <v>46091</v>
      </c>
      <c r="L459">
        <v>1010100</v>
      </c>
      <c r="M459" t="s">
        <v>35</v>
      </c>
      <c r="N459">
        <v>-7</v>
      </c>
      <c r="O459" s="32">
        <v>0</v>
      </c>
      <c r="P459" s="32">
        <v>0</v>
      </c>
      <c r="Q459" s="32">
        <v>175523.4</v>
      </c>
      <c r="R459" s="32">
        <v>0</v>
      </c>
      <c r="S459" s="32">
        <v>0</v>
      </c>
      <c r="T459" s="32">
        <v>0</v>
      </c>
      <c r="U459" s="32">
        <v>0</v>
      </c>
      <c r="V459" s="32">
        <v>0</v>
      </c>
      <c r="W459" s="32">
        <v>0</v>
      </c>
      <c r="X459" s="32">
        <v>0</v>
      </c>
      <c r="Y459" s="32">
        <v>0</v>
      </c>
      <c r="Z459" s="32">
        <v>0</v>
      </c>
      <c r="AA459" s="32">
        <v>0</v>
      </c>
      <c r="AB459" s="32">
        <v>0</v>
      </c>
      <c r="AC459" s="32" t="s">
        <v>475</v>
      </c>
      <c r="AD459" s="32"/>
      <c r="AE459" s="32">
        <v>0</v>
      </c>
    </row>
    <row r="460" spans="1:31" x14ac:dyDescent="0.25">
      <c r="A460">
        <v>5300</v>
      </c>
      <c r="B460" t="s">
        <v>30</v>
      </c>
      <c r="C460" t="s">
        <v>551</v>
      </c>
      <c r="D460" s="35">
        <v>175465.7</v>
      </c>
      <c r="E460">
        <v>1246269610</v>
      </c>
      <c r="F460" s="328">
        <v>46139</v>
      </c>
      <c r="H460" t="s">
        <v>28</v>
      </c>
      <c r="I460" t="s">
        <v>29</v>
      </c>
      <c r="J460">
        <v>11007</v>
      </c>
      <c r="K460" s="328">
        <v>46111</v>
      </c>
      <c r="L460">
        <v>1010100</v>
      </c>
      <c r="M460" t="s">
        <v>35</v>
      </c>
      <c r="N460">
        <v>-27</v>
      </c>
      <c r="O460" s="32">
        <v>0</v>
      </c>
      <c r="P460" s="32">
        <v>0</v>
      </c>
      <c r="Q460" s="32">
        <v>175465.7</v>
      </c>
      <c r="R460" s="32">
        <v>0</v>
      </c>
      <c r="S460" s="32">
        <v>0</v>
      </c>
      <c r="T460" s="32">
        <v>0</v>
      </c>
      <c r="U460" s="32">
        <v>0</v>
      </c>
      <c r="V460" s="32">
        <v>0</v>
      </c>
      <c r="W460" s="32">
        <v>0</v>
      </c>
      <c r="X460" s="32">
        <v>0</v>
      </c>
      <c r="Y460" s="32">
        <v>0</v>
      </c>
      <c r="Z460" s="32">
        <v>0</v>
      </c>
      <c r="AA460" s="32">
        <v>0</v>
      </c>
      <c r="AB460" s="32">
        <v>0</v>
      </c>
      <c r="AC460" s="32" t="s">
        <v>475</v>
      </c>
      <c r="AD460" s="32"/>
      <c r="AE460" s="32">
        <v>0</v>
      </c>
    </row>
    <row r="461" spans="1:31" x14ac:dyDescent="0.25">
      <c r="A461">
        <v>4575</v>
      </c>
      <c r="B461" t="s">
        <v>91</v>
      </c>
      <c r="C461" t="s">
        <v>92</v>
      </c>
      <c r="D461" s="35">
        <v>20940</v>
      </c>
      <c r="E461">
        <v>1246113043</v>
      </c>
      <c r="F461" s="328">
        <v>45311</v>
      </c>
      <c r="H461" t="s">
        <v>28</v>
      </c>
      <c r="I461" t="s">
        <v>29</v>
      </c>
      <c r="J461">
        <v>1821</v>
      </c>
      <c r="K461" s="328">
        <v>45233</v>
      </c>
      <c r="L461">
        <v>1010100</v>
      </c>
      <c r="M461" t="s">
        <v>35</v>
      </c>
      <c r="N461">
        <v>801</v>
      </c>
      <c r="O461" s="32">
        <v>0</v>
      </c>
      <c r="P461" s="32">
        <v>20940</v>
      </c>
      <c r="Q461" s="32">
        <v>0</v>
      </c>
      <c r="R461" s="32">
        <v>0</v>
      </c>
      <c r="S461" s="32">
        <v>0</v>
      </c>
      <c r="T461" s="32">
        <v>0</v>
      </c>
      <c r="U461" s="32">
        <v>20940</v>
      </c>
      <c r="V461" s="32">
        <v>0</v>
      </c>
      <c r="W461" s="32">
        <v>628.19999999999993</v>
      </c>
      <c r="X461" s="32">
        <v>20311.8</v>
      </c>
      <c r="Y461" s="32">
        <v>20311.8</v>
      </c>
      <c r="Z461" s="32">
        <v>20940</v>
      </c>
      <c r="AA461" s="32">
        <v>0</v>
      </c>
      <c r="AB461" s="32">
        <v>20940</v>
      </c>
      <c r="AC461" s="32" t="s">
        <v>542</v>
      </c>
      <c r="AD461" s="32"/>
      <c r="AE461" s="32">
        <v>20940</v>
      </c>
    </row>
    <row r="462" spans="1:31" x14ac:dyDescent="0.25">
      <c r="A462">
        <v>4577</v>
      </c>
      <c r="B462" t="s">
        <v>252</v>
      </c>
      <c r="C462" t="s">
        <v>882</v>
      </c>
      <c r="D462" s="35">
        <v>66308</v>
      </c>
      <c r="E462">
        <v>1246267216</v>
      </c>
      <c r="F462" s="328">
        <v>46119</v>
      </c>
      <c r="H462" t="s">
        <v>28</v>
      </c>
      <c r="I462" t="s">
        <v>29</v>
      </c>
      <c r="J462">
        <v>10857</v>
      </c>
      <c r="K462" s="328">
        <v>46091</v>
      </c>
      <c r="L462">
        <v>1010100</v>
      </c>
      <c r="M462" t="s">
        <v>35</v>
      </c>
      <c r="N462">
        <v>-7</v>
      </c>
      <c r="O462" s="32">
        <v>0</v>
      </c>
      <c r="P462" s="32">
        <v>0</v>
      </c>
      <c r="Q462" s="32">
        <v>66308</v>
      </c>
      <c r="R462" s="32">
        <v>0</v>
      </c>
      <c r="S462" s="32">
        <v>0</v>
      </c>
      <c r="T462" s="32">
        <v>0</v>
      </c>
      <c r="U462" s="32">
        <v>0</v>
      </c>
      <c r="V462" s="32">
        <v>0</v>
      </c>
      <c r="W462" s="32">
        <v>0</v>
      </c>
      <c r="X462" s="32">
        <v>0</v>
      </c>
      <c r="Y462" s="32">
        <v>0</v>
      </c>
      <c r="Z462" s="32">
        <v>0</v>
      </c>
      <c r="AA462" s="32">
        <v>0</v>
      </c>
      <c r="AB462" s="32">
        <v>0</v>
      </c>
      <c r="AC462" s="32" t="s">
        <v>475</v>
      </c>
      <c r="AD462" s="32"/>
      <c r="AE462" s="32">
        <v>0</v>
      </c>
    </row>
    <row r="463" spans="1:31" x14ac:dyDescent="0.25">
      <c r="A463">
        <v>5657</v>
      </c>
      <c r="B463" t="s">
        <v>95</v>
      </c>
      <c r="C463" t="s">
        <v>912</v>
      </c>
      <c r="D463" s="35">
        <v>20520</v>
      </c>
      <c r="E463">
        <v>1246269700</v>
      </c>
      <c r="F463" s="328">
        <v>46140</v>
      </c>
      <c r="H463" t="s">
        <v>28</v>
      </c>
      <c r="I463" t="s">
        <v>29</v>
      </c>
      <c r="J463">
        <v>11013</v>
      </c>
      <c r="K463" s="328">
        <v>46112</v>
      </c>
      <c r="L463">
        <v>1010100</v>
      </c>
      <c r="M463" t="s">
        <v>35</v>
      </c>
      <c r="N463">
        <v>-28</v>
      </c>
      <c r="O463" s="32">
        <v>0</v>
      </c>
      <c r="P463" s="32">
        <v>0</v>
      </c>
      <c r="Q463" s="32">
        <v>20520</v>
      </c>
      <c r="R463" s="32">
        <v>0</v>
      </c>
      <c r="S463" s="32">
        <v>0</v>
      </c>
      <c r="T463" s="32">
        <v>0</v>
      </c>
      <c r="U463" s="32">
        <v>0</v>
      </c>
      <c r="V463" s="32">
        <v>0</v>
      </c>
      <c r="W463" s="32">
        <v>0</v>
      </c>
      <c r="X463" s="32">
        <v>0</v>
      </c>
      <c r="Y463" s="32">
        <v>0</v>
      </c>
      <c r="Z463" s="32">
        <v>0</v>
      </c>
      <c r="AA463" s="32">
        <v>0</v>
      </c>
      <c r="AB463" s="32">
        <v>0</v>
      </c>
      <c r="AC463" s="32" t="s">
        <v>475</v>
      </c>
      <c r="AD463" s="32"/>
      <c r="AE463" s="32">
        <v>0</v>
      </c>
    </row>
    <row r="464" spans="1:31" x14ac:dyDescent="0.25">
      <c r="A464">
        <v>5657</v>
      </c>
      <c r="B464" t="s">
        <v>95</v>
      </c>
      <c r="C464" t="s">
        <v>912</v>
      </c>
      <c r="D464" s="35">
        <v>32320</v>
      </c>
      <c r="E464">
        <v>1246269757</v>
      </c>
      <c r="F464" s="328">
        <v>46140</v>
      </c>
      <c r="H464" t="s">
        <v>28</v>
      </c>
      <c r="I464" t="s">
        <v>29</v>
      </c>
      <c r="J464">
        <v>2857</v>
      </c>
      <c r="K464" s="328">
        <v>46112</v>
      </c>
      <c r="L464">
        <v>1010100</v>
      </c>
      <c r="M464" t="s">
        <v>35</v>
      </c>
      <c r="N464">
        <v>-28</v>
      </c>
      <c r="O464" s="32">
        <v>0</v>
      </c>
      <c r="P464" s="32">
        <v>0</v>
      </c>
      <c r="Q464" s="32">
        <v>32320</v>
      </c>
      <c r="R464" s="32">
        <v>0</v>
      </c>
      <c r="S464" s="32">
        <v>0</v>
      </c>
      <c r="T464" s="32">
        <v>0</v>
      </c>
      <c r="U464" s="32">
        <v>0</v>
      </c>
      <c r="V464" s="32">
        <v>0</v>
      </c>
      <c r="W464" s="32">
        <v>0</v>
      </c>
      <c r="X464" s="32">
        <v>0</v>
      </c>
      <c r="Y464" s="32">
        <v>0</v>
      </c>
      <c r="Z464" s="32">
        <v>0</v>
      </c>
      <c r="AA464" s="32">
        <v>0</v>
      </c>
      <c r="AB464" s="32">
        <v>0</v>
      </c>
      <c r="AC464" s="32" t="s">
        <v>475</v>
      </c>
      <c r="AD464" s="32"/>
      <c r="AE464" s="32">
        <v>0</v>
      </c>
    </row>
    <row r="465" spans="1:31" x14ac:dyDescent="0.25">
      <c r="A465">
        <v>7022</v>
      </c>
      <c r="B465" t="s">
        <v>793</v>
      </c>
      <c r="C465" t="s">
        <v>101</v>
      </c>
      <c r="D465" s="35">
        <v>70894.399999999994</v>
      </c>
      <c r="E465">
        <v>1246266057</v>
      </c>
      <c r="F465" s="328">
        <v>46143</v>
      </c>
      <c r="H465" t="s">
        <v>28</v>
      </c>
      <c r="I465" t="s">
        <v>29</v>
      </c>
      <c r="J465">
        <v>10798</v>
      </c>
      <c r="K465" s="328">
        <v>46083</v>
      </c>
      <c r="L465">
        <v>1010100</v>
      </c>
      <c r="M465" t="s">
        <v>35</v>
      </c>
      <c r="N465">
        <v>-31</v>
      </c>
      <c r="O465" s="32">
        <v>0</v>
      </c>
      <c r="P465" s="32">
        <v>0</v>
      </c>
      <c r="Q465" s="32">
        <v>70894.399999999994</v>
      </c>
      <c r="R465" s="32">
        <v>0</v>
      </c>
      <c r="S465" s="32">
        <v>0</v>
      </c>
      <c r="T465" s="32">
        <v>0</v>
      </c>
      <c r="U465" s="32">
        <v>0</v>
      </c>
      <c r="V465" s="32">
        <v>0</v>
      </c>
      <c r="W465" s="32">
        <v>0</v>
      </c>
      <c r="X465" s="32">
        <v>0</v>
      </c>
      <c r="Y465" s="32">
        <v>0</v>
      </c>
      <c r="Z465" s="32">
        <v>0</v>
      </c>
      <c r="AA465" s="32">
        <v>0</v>
      </c>
      <c r="AB465" s="32">
        <v>0</v>
      </c>
      <c r="AC465" s="32" t="s">
        <v>475</v>
      </c>
      <c r="AD465" s="32"/>
      <c r="AE465" s="32">
        <v>0</v>
      </c>
    </row>
    <row r="466" spans="1:31" x14ac:dyDescent="0.25">
      <c r="A466">
        <v>7022</v>
      </c>
      <c r="B466" t="s">
        <v>793</v>
      </c>
      <c r="C466" t="s">
        <v>101</v>
      </c>
      <c r="D466" s="35">
        <v>70918</v>
      </c>
      <c r="E466">
        <v>1246263794</v>
      </c>
      <c r="F466" s="328">
        <v>46129</v>
      </c>
      <c r="H466" t="s">
        <v>28</v>
      </c>
      <c r="I466" t="s">
        <v>29</v>
      </c>
      <c r="J466">
        <v>10699</v>
      </c>
      <c r="K466" s="328">
        <v>46069</v>
      </c>
      <c r="L466">
        <v>1010100</v>
      </c>
      <c r="M466" t="s">
        <v>35</v>
      </c>
      <c r="N466">
        <v>-17</v>
      </c>
      <c r="O466" s="32">
        <v>0</v>
      </c>
      <c r="P466" s="32">
        <v>0</v>
      </c>
      <c r="Q466" s="32">
        <v>70918</v>
      </c>
      <c r="R466" s="32">
        <v>0</v>
      </c>
      <c r="S466" s="32">
        <v>0</v>
      </c>
      <c r="T466" s="32">
        <v>0</v>
      </c>
      <c r="U466" s="32">
        <v>0</v>
      </c>
      <c r="V466" s="32">
        <v>0</v>
      </c>
      <c r="W466" s="32">
        <v>0</v>
      </c>
      <c r="X466" s="32">
        <v>0</v>
      </c>
      <c r="Y466" s="32">
        <v>0</v>
      </c>
      <c r="Z466" s="32">
        <v>0</v>
      </c>
      <c r="AA466" s="32">
        <v>0</v>
      </c>
      <c r="AB466" s="32">
        <v>0</v>
      </c>
      <c r="AC466" s="32" t="s">
        <v>475</v>
      </c>
      <c r="AD466" s="32"/>
      <c r="AE466" s="32">
        <v>0</v>
      </c>
    </row>
    <row r="467" spans="1:31" x14ac:dyDescent="0.25">
      <c r="A467">
        <v>7022</v>
      </c>
      <c r="B467" t="s">
        <v>793</v>
      </c>
      <c r="C467" t="s">
        <v>101</v>
      </c>
      <c r="D467" s="35">
        <v>70894.399999999994</v>
      </c>
      <c r="E467">
        <v>1246269324</v>
      </c>
      <c r="F467" s="328">
        <v>46197</v>
      </c>
      <c r="H467" t="s">
        <v>28</v>
      </c>
      <c r="I467" t="s">
        <v>29</v>
      </c>
      <c r="J467">
        <v>10982</v>
      </c>
      <c r="K467" s="328">
        <v>46107</v>
      </c>
      <c r="L467">
        <v>1010100</v>
      </c>
      <c r="M467" t="s">
        <v>35</v>
      </c>
      <c r="N467">
        <v>-85</v>
      </c>
      <c r="O467" s="32">
        <v>0</v>
      </c>
      <c r="P467" s="32">
        <v>0</v>
      </c>
      <c r="Q467" s="32">
        <v>70894.399999999994</v>
      </c>
      <c r="R467" s="32">
        <v>0</v>
      </c>
      <c r="S467" s="32">
        <v>0</v>
      </c>
      <c r="T467" s="32">
        <v>0</v>
      </c>
      <c r="U467" s="32">
        <v>0</v>
      </c>
      <c r="V467" s="32">
        <v>0</v>
      </c>
      <c r="W467" s="32">
        <v>0</v>
      </c>
      <c r="X467" s="32">
        <v>0</v>
      </c>
      <c r="Y467" s="32">
        <v>0</v>
      </c>
      <c r="Z467" s="32">
        <v>0</v>
      </c>
      <c r="AA467" s="32">
        <v>0</v>
      </c>
      <c r="AB467" s="32">
        <v>0</v>
      </c>
      <c r="AC467" s="32" t="s">
        <v>475</v>
      </c>
      <c r="AD467" s="32"/>
      <c r="AE467" s="32">
        <v>0</v>
      </c>
    </row>
    <row r="468" spans="1:31" x14ac:dyDescent="0.25">
      <c r="A468">
        <v>7022</v>
      </c>
      <c r="B468" t="s">
        <v>793</v>
      </c>
      <c r="C468" t="s">
        <v>101</v>
      </c>
      <c r="D468" s="35">
        <v>71154</v>
      </c>
      <c r="E468">
        <v>1246265854</v>
      </c>
      <c r="F468" s="328">
        <v>46140</v>
      </c>
      <c r="H468" t="s">
        <v>28</v>
      </c>
      <c r="I468" t="s">
        <v>29</v>
      </c>
      <c r="J468">
        <v>10789</v>
      </c>
      <c r="K468" s="328">
        <v>46080</v>
      </c>
      <c r="L468">
        <v>1010100</v>
      </c>
      <c r="M468" t="s">
        <v>35</v>
      </c>
      <c r="N468">
        <v>-28</v>
      </c>
      <c r="O468" s="32">
        <v>0</v>
      </c>
      <c r="P468" s="32">
        <v>0</v>
      </c>
      <c r="Q468" s="32">
        <v>71154</v>
      </c>
      <c r="R468" s="32">
        <v>0</v>
      </c>
      <c r="S468" s="32">
        <v>0</v>
      </c>
      <c r="T468" s="32">
        <v>0</v>
      </c>
      <c r="U468" s="32">
        <v>0</v>
      </c>
      <c r="V468" s="32">
        <v>0</v>
      </c>
      <c r="W468" s="32">
        <v>0</v>
      </c>
      <c r="X468" s="32">
        <v>0</v>
      </c>
      <c r="Y468" s="32">
        <v>0</v>
      </c>
      <c r="Z468" s="32">
        <v>0</v>
      </c>
      <c r="AA468" s="32">
        <v>0</v>
      </c>
      <c r="AB468" s="32">
        <v>0</v>
      </c>
      <c r="AC468" s="32" t="s">
        <v>475</v>
      </c>
      <c r="AD468" s="32"/>
      <c r="AE468" s="32">
        <v>0</v>
      </c>
    </row>
    <row r="469" spans="1:31" x14ac:dyDescent="0.25">
      <c r="A469">
        <v>7022</v>
      </c>
      <c r="B469" t="s">
        <v>793</v>
      </c>
      <c r="C469" t="s">
        <v>101</v>
      </c>
      <c r="D469" s="35">
        <v>72348.2</v>
      </c>
      <c r="E469">
        <v>1246261819</v>
      </c>
      <c r="F469" s="328">
        <v>46115</v>
      </c>
      <c r="H469" t="s">
        <v>28</v>
      </c>
      <c r="I469" t="s">
        <v>29</v>
      </c>
      <c r="J469">
        <v>10619</v>
      </c>
      <c r="K469" s="328">
        <v>46055</v>
      </c>
      <c r="L469">
        <v>1010100</v>
      </c>
      <c r="M469" t="s">
        <v>35</v>
      </c>
      <c r="N469">
        <v>-3</v>
      </c>
      <c r="O469" s="32">
        <v>0</v>
      </c>
      <c r="P469" s="32">
        <v>0</v>
      </c>
      <c r="Q469" s="32">
        <v>72348.2</v>
      </c>
      <c r="R469" s="32">
        <v>0</v>
      </c>
      <c r="S469" s="32">
        <v>0</v>
      </c>
      <c r="T469" s="32">
        <v>0</v>
      </c>
      <c r="U469" s="32">
        <v>0</v>
      </c>
      <c r="V469" s="32">
        <v>0</v>
      </c>
      <c r="W469" s="32">
        <v>0</v>
      </c>
      <c r="X469" s="32">
        <v>0</v>
      </c>
      <c r="Y469" s="32">
        <v>0</v>
      </c>
      <c r="Z469" s="32">
        <v>0</v>
      </c>
      <c r="AA469" s="32">
        <v>0</v>
      </c>
      <c r="AB469" s="32">
        <v>0</v>
      </c>
      <c r="AC469" s="32" t="s">
        <v>475</v>
      </c>
      <c r="AD469" s="32"/>
      <c r="AE469" s="32">
        <v>0</v>
      </c>
    </row>
    <row r="470" spans="1:31" x14ac:dyDescent="0.25">
      <c r="A470">
        <v>7022</v>
      </c>
      <c r="B470" t="s">
        <v>793</v>
      </c>
      <c r="C470" t="s">
        <v>101</v>
      </c>
      <c r="D470" s="35">
        <v>70705.600000000006</v>
      </c>
      <c r="E470">
        <v>1246268533</v>
      </c>
      <c r="F470" s="328">
        <v>46191</v>
      </c>
      <c r="H470" t="s">
        <v>28</v>
      </c>
      <c r="I470" t="s">
        <v>29</v>
      </c>
      <c r="J470">
        <v>10943</v>
      </c>
      <c r="K470" s="328">
        <v>46101</v>
      </c>
      <c r="L470">
        <v>1010100</v>
      </c>
      <c r="M470" t="s">
        <v>35</v>
      </c>
      <c r="N470">
        <v>-79</v>
      </c>
      <c r="O470" s="32">
        <v>0</v>
      </c>
      <c r="P470" s="32">
        <v>0</v>
      </c>
      <c r="Q470" s="32">
        <v>70705.600000000006</v>
      </c>
      <c r="R470" s="32">
        <v>0</v>
      </c>
      <c r="S470" s="32">
        <v>0</v>
      </c>
      <c r="T470" s="32">
        <v>0</v>
      </c>
      <c r="U470" s="32">
        <v>0</v>
      </c>
      <c r="V470" s="32">
        <v>0</v>
      </c>
      <c r="W470" s="32">
        <v>0</v>
      </c>
      <c r="X470" s="32">
        <v>0</v>
      </c>
      <c r="Y470" s="32">
        <v>0</v>
      </c>
      <c r="Z470" s="32">
        <v>0</v>
      </c>
      <c r="AA470" s="32">
        <v>0</v>
      </c>
      <c r="AB470" s="32">
        <v>0</v>
      </c>
      <c r="AC470" s="32" t="s">
        <v>475</v>
      </c>
      <c r="AD470" s="32"/>
      <c r="AE470" s="32">
        <v>0</v>
      </c>
    </row>
    <row r="471" spans="1:31" x14ac:dyDescent="0.25">
      <c r="A471">
        <v>7022</v>
      </c>
      <c r="B471" t="s">
        <v>793</v>
      </c>
      <c r="C471" t="s">
        <v>101</v>
      </c>
      <c r="D471" s="35">
        <v>70988.800000000003</v>
      </c>
      <c r="E471">
        <v>1246266859</v>
      </c>
      <c r="F471" s="328">
        <v>46147</v>
      </c>
      <c r="H471" t="s">
        <v>28</v>
      </c>
      <c r="I471" t="s">
        <v>29</v>
      </c>
      <c r="J471">
        <v>10829</v>
      </c>
      <c r="K471" s="328">
        <v>46087</v>
      </c>
      <c r="L471">
        <v>1010100</v>
      </c>
      <c r="M471" t="s">
        <v>35</v>
      </c>
      <c r="N471">
        <v>-35</v>
      </c>
      <c r="O471" s="32">
        <v>0</v>
      </c>
      <c r="P471" s="32">
        <v>0</v>
      </c>
      <c r="Q471" s="32">
        <v>70988.800000000003</v>
      </c>
      <c r="R471" s="32">
        <v>0</v>
      </c>
      <c r="S471" s="32">
        <v>0</v>
      </c>
      <c r="T471" s="32">
        <v>0</v>
      </c>
      <c r="U471" s="32">
        <v>0</v>
      </c>
      <c r="V471" s="32">
        <v>0</v>
      </c>
      <c r="W471" s="32">
        <v>0</v>
      </c>
      <c r="X471" s="32">
        <v>0</v>
      </c>
      <c r="Y471" s="32">
        <v>0</v>
      </c>
      <c r="Z471" s="32">
        <v>0</v>
      </c>
      <c r="AA471" s="32">
        <v>0</v>
      </c>
      <c r="AB471" s="32">
        <v>0</v>
      </c>
      <c r="AC471" s="32" t="s">
        <v>475</v>
      </c>
      <c r="AD471" s="32"/>
      <c r="AE471" s="32">
        <v>0</v>
      </c>
    </row>
    <row r="472" spans="1:31" x14ac:dyDescent="0.25">
      <c r="A472">
        <v>7022</v>
      </c>
      <c r="B472" t="s">
        <v>793</v>
      </c>
      <c r="C472" t="s">
        <v>101</v>
      </c>
      <c r="D472" s="35">
        <v>70705.600000000006</v>
      </c>
      <c r="E472">
        <v>1246267824</v>
      </c>
      <c r="F472" s="328">
        <v>46157</v>
      </c>
      <c r="H472" t="s">
        <v>28</v>
      </c>
      <c r="I472" t="s">
        <v>29</v>
      </c>
      <c r="J472">
        <v>10891</v>
      </c>
      <c r="K472" s="328">
        <v>46097</v>
      </c>
      <c r="L472">
        <v>1010100</v>
      </c>
      <c r="M472" t="s">
        <v>35</v>
      </c>
      <c r="N472">
        <v>-45</v>
      </c>
      <c r="O472" s="32">
        <v>0</v>
      </c>
      <c r="P472" s="32">
        <v>0</v>
      </c>
      <c r="Q472" s="32">
        <v>70705.600000000006</v>
      </c>
      <c r="R472" s="32">
        <v>0</v>
      </c>
      <c r="S472" s="32">
        <v>0</v>
      </c>
      <c r="T472" s="32">
        <v>0</v>
      </c>
      <c r="U472" s="32">
        <v>0</v>
      </c>
      <c r="V472" s="32">
        <v>0</v>
      </c>
      <c r="W472" s="32">
        <v>0</v>
      </c>
      <c r="X472" s="32">
        <v>0</v>
      </c>
      <c r="Y472" s="32">
        <v>0</v>
      </c>
      <c r="Z472" s="32">
        <v>0</v>
      </c>
      <c r="AA472" s="32">
        <v>0</v>
      </c>
      <c r="AB472" s="32">
        <v>0</v>
      </c>
      <c r="AC472" s="32" t="s">
        <v>475</v>
      </c>
      <c r="AD472" s="32"/>
      <c r="AE472" s="32">
        <v>0</v>
      </c>
    </row>
    <row r="473" spans="1:31" x14ac:dyDescent="0.25">
      <c r="A473">
        <v>7022</v>
      </c>
      <c r="B473" t="s">
        <v>793</v>
      </c>
      <c r="C473" t="s">
        <v>101</v>
      </c>
      <c r="D473" s="35">
        <v>71508</v>
      </c>
      <c r="E473">
        <v>1246267571</v>
      </c>
      <c r="F473" s="328">
        <v>46153</v>
      </c>
      <c r="H473" t="s">
        <v>28</v>
      </c>
      <c r="I473" t="s">
        <v>29</v>
      </c>
      <c r="J473">
        <v>10871</v>
      </c>
      <c r="K473" s="328">
        <v>46093</v>
      </c>
      <c r="L473">
        <v>1010100</v>
      </c>
      <c r="M473" t="s">
        <v>35</v>
      </c>
      <c r="N473">
        <v>-41</v>
      </c>
      <c r="O473" s="32">
        <v>0</v>
      </c>
      <c r="P473" s="32">
        <v>0</v>
      </c>
      <c r="Q473" s="32">
        <v>71508</v>
      </c>
      <c r="R473" s="32">
        <v>0</v>
      </c>
      <c r="S473" s="32">
        <v>0</v>
      </c>
      <c r="T473" s="32">
        <v>0</v>
      </c>
      <c r="U473" s="32">
        <v>0</v>
      </c>
      <c r="V473" s="32">
        <v>0</v>
      </c>
      <c r="W473" s="32">
        <v>0</v>
      </c>
      <c r="X473" s="32">
        <v>0</v>
      </c>
      <c r="Y473" s="32">
        <v>0</v>
      </c>
      <c r="Z473" s="32">
        <v>0</v>
      </c>
      <c r="AA473" s="32">
        <v>0</v>
      </c>
      <c r="AB473" s="32">
        <v>0</v>
      </c>
      <c r="AC473" s="32" t="s">
        <v>475</v>
      </c>
      <c r="AD473" s="32"/>
      <c r="AE473" s="32">
        <v>0</v>
      </c>
    </row>
    <row r="474" spans="1:31" x14ac:dyDescent="0.25">
      <c r="A474">
        <v>7022</v>
      </c>
      <c r="B474" t="s">
        <v>793</v>
      </c>
      <c r="C474" t="s">
        <v>101</v>
      </c>
      <c r="D474" s="35">
        <v>71980</v>
      </c>
      <c r="E474">
        <v>1246264219</v>
      </c>
      <c r="F474" s="328">
        <v>46133</v>
      </c>
      <c r="H474" t="s">
        <v>28</v>
      </c>
      <c r="I474" t="s">
        <v>29</v>
      </c>
      <c r="J474">
        <v>10730</v>
      </c>
      <c r="K474" s="328">
        <v>46073</v>
      </c>
      <c r="L474">
        <v>1010100</v>
      </c>
      <c r="M474" t="s">
        <v>35</v>
      </c>
      <c r="N474">
        <v>-21</v>
      </c>
      <c r="O474" s="32">
        <v>0</v>
      </c>
      <c r="P474" s="32">
        <v>0</v>
      </c>
      <c r="Q474" s="32">
        <v>71980</v>
      </c>
      <c r="R474" s="32">
        <v>0</v>
      </c>
      <c r="S474" s="32">
        <v>0</v>
      </c>
      <c r="T474" s="32">
        <v>0</v>
      </c>
      <c r="U474" s="32">
        <v>0</v>
      </c>
      <c r="V474" s="32">
        <v>0</v>
      </c>
      <c r="W474" s="32">
        <v>0</v>
      </c>
      <c r="X474" s="32">
        <v>0</v>
      </c>
      <c r="Y474" s="32">
        <v>0</v>
      </c>
      <c r="Z474" s="32">
        <v>0</v>
      </c>
      <c r="AA474" s="32">
        <v>0</v>
      </c>
      <c r="AB474" s="32">
        <v>0</v>
      </c>
      <c r="AC474" s="32" t="s">
        <v>475</v>
      </c>
      <c r="AD474" s="32"/>
      <c r="AE474" s="32">
        <v>0</v>
      </c>
    </row>
    <row r="475" spans="1:31" x14ac:dyDescent="0.25">
      <c r="A475">
        <v>7022</v>
      </c>
      <c r="B475" t="s">
        <v>793</v>
      </c>
      <c r="C475" t="s">
        <v>101</v>
      </c>
      <c r="D475" s="35">
        <v>70752.800000000003</v>
      </c>
      <c r="E475">
        <v>1246265339</v>
      </c>
      <c r="F475" s="328">
        <v>46139</v>
      </c>
      <c r="H475" t="s">
        <v>28</v>
      </c>
      <c r="I475" t="s">
        <v>29</v>
      </c>
      <c r="J475">
        <v>10774</v>
      </c>
      <c r="K475" s="328">
        <v>46079</v>
      </c>
      <c r="L475">
        <v>1010100</v>
      </c>
      <c r="M475" t="s">
        <v>35</v>
      </c>
      <c r="N475">
        <v>-27</v>
      </c>
      <c r="O475" s="32">
        <v>0</v>
      </c>
      <c r="P475" s="32">
        <v>0</v>
      </c>
      <c r="Q475" s="32">
        <v>70752.800000000003</v>
      </c>
      <c r="R475" s="32">
        <v>0</v>
      </c>
      <c r="S475" s="32">
        <v>0</v>
      </c>
      <c r="T475" s="32">
        <v>0</v>
      </c>
      <c r="U475" s="32">
        <v>0</v>
      </c>
      <c r="V475" s="32">
        <v>0</v>
      </c>
      <c r="W475" s="32">
        <v>0</v>
      </c>
      <c r="X475" s="32">
        <v>0</v>
      </c>
      <c r="Y475" s="32">
        <v>0</v>
      </c>
      <c r="Z475" s="32">
        <v>0</v>
      </c>
      <c r="AA475" s="32">
        <v>0</v>
      </c>
      <c r="AB475" s="32">
        <v>0</v>
      </c>
      <c r="AC475" s="32" t="s">
        <v>475</v>
      </c>
      <c r="AD475" s="32"/>
      <c r="AE475" s="32">
        <v>0</v>
      </c>
    </row>
    <row r="476" spans="1:31" x14ac:dyDescent="0.25">
      <c r="A476">
        <v>7060</v>
      </c>
      <c r="B476" t="s">
        <v>182</v>
      </c>
      <c r="C476" t="s">
        <v>183</v>
      </c>
      <c r="D476" s="35">
        <v>5180.3999999999996</v>
      </c>
      <c r="E476">
        <v>1246254161</v>
      </c>
      <c r="F476" s="328">
        <v>46281</v>
      </c>
      <c r="H476" t="s">
        <v>173</v>
      </c>
      <c r="I476" t="s">
        <v>174</v>
      </c>
      <c r="J476">
        <v>10278</v>
      </c>
      <c r="K476" s="328">
        <v>46006</v>
      </c>
      <c r="L476">
        <v>1010100</v>
      </c>
      <c r="M476" t="s">
        <v>35</v>
      </c>
      <c r="N476">
        <v>-169</v>
      </c>
      <c r="O476" s="32">
        <v>0</v>
      </c>
      <c r="P476" s="32">
        <v>0</v>
      </c>
      <c r="Q476" s="32">
        <v>5180.3999999999996</v>
      </c>
      <c r="R476" s="32">
        <v>0</v>
      </c>
      <c r="S476" s="32">
        <v>0</v>
      </c>
      <c r="T476" s="32">
        <v>0</v>
      </c>
      <c r="U476" s="32">
        <v>0</v>
      </c>
      <c r="V476" s="32">
        <v>0</v>
      </c>
      <c r="W476" s="32">
        <v>0</v>
      </c>
      <c r="X476" s="32">
        <v>0</v>
      </c>
      <c r="Y476" s="32">
        <v>0</v>
      </c>
      <c r="Z476" s="32">
        <v>0</v>
      </c>
      <c r="AA476" s="32">
        <v>0</v>
      </c>
      <c r="AB476" s="32">
        <v>0</v>
      </c>
      <c r="AC476" s="32" t="s">
        <v>475</v>
      </c>
      <c r="AD476" s="32"/>
      <c r="AE476" s="32">
        <v>0</v>
      </c>
    </row>
    <row r="477" spans="1:31" x14ac:dyDescent="0.25">
      <c r="A477">
        <v>7060</v>
      </c>
      <c r="B477" t="s">
        <v>182</v>
      </c>
      <c r="C477" t="s">
        <v>183</v>
      </c>
      <c r="D477" s="35">
        <v>8288.64</v>
      </c>
      <c r="E477">
        <v>1246252321</v>
      </c>
      <c r="F477" s="328">
        <v>46269</v>
      </c>
      <c r="H477" t="s">
        <v>173</v>
      </c>
      <c r="I477" t="s">
        <v>174</v>
      </c>
      <c r="J477">
        <v>10183</v>
      </c>
      <c r="K477" s="328">
        <v>45994</v>
      </c>
      <c r="L477">
        <v>1010100</v>
      </c>
      <c r="M477" t="s">
        <v>35</v>
      </c>
      <c r="N477">
        <v>-157</v>
      </c>
      <c r="O477" s="32">
        <v>0</v>
      </c>
      <c r="P477" s="32">
        <v>0</v>
      </c>
      <c r="Q477" s="32">
        <v>8288.64</v>
      </c>
      <c r="R477" s="32">
        <v>0</v>
      </c>
      <c r="S477" s="32">
        <v>0</v>
      </c>
      <c r="T477" s="32">
        <v>0</v>
      </c>
      <c r="U477" s="32">
        <v>0</v>
      </c>
      <c r="V477" s="32">
        <v>0</v>
      </c>
      <c r="W477" s="32">
        <v>0</v>
      </c>
      <c r="X477" s="32">
        <v>0</v>
      </c>
      <c r="Y477" s="32">
        <v>0</v>
      </c>
      <c r="Z477" s="32">
        <v>0</v>
      </c>
      <c r="AA477" s="32">
        <v>0</v>
      </c>
      <c r="AB477" s="32">
        <v>0</v>
      </c>
      <c r="AC477" s="32" t="s">
        <v>475</v>
      </c>
      <c r="AD477" s="32"/>
      <c r="AE477" s="32">
        <v>0</v>
      </c>
    </row>
    <row r="478" spans="1:31" x14ac:dyDescent="0.25">
      <c r="A478">
        <v>7060</v>
      </c>
      <c r="B478" t="s">
        <v>182</v>
      </c>
      <c r="C478" t="s">
        <v>183</v>
      </c>
      <c r="D478" s="35">
        <v>67383.5</v>
      </c>
      <c r="E478">
        <v>1246254471</v>
      </c>
      <c r="F478" s="328">
        <v>46279</v>
      </c>
      <c r="H478" t="s">
        <v>173</v>
      </c>
      <c r="I478" t="s">
        <v>174</v>
      </c>
      <c r="J478">
        <v>10301</v>
      </c>
      <c r="K478" s="328">
        <v>46007</v>
      </c>
      <c r="L478">
        <v>1010100</v>
      </c>
      <c r="M478" t="s">
        <v>35</v>
      </c>
      <c r="N478">
        <v>-167</v>
      </c>
      <c r="O478" s="32">
        <v>0</v>
      </c>
      <c r="P478" s="32">
        <v>0</v>
      </c>
      <c r="Q478" s="32">
        <v>67383.5</v>
      </c>
      <c r="R478" s="32">
        <v>0</v>
      </c>
      <c r="S478" s="32">
        <v>0</v>
      </c>
      <c r="T478" s="32">
        <v>0</v>
      </c>
      <c r="U478" s="32">
        <v>0</v>
      </c>
      <c r="V478" s="32">
        <v>0</v>
      </c>
      <c r="W478" s="32">
        <v>0</v>
      </c>
      <c r="X478" s="32">
        <v>0</v>
      </c>
      <c r="Y478" s="32">
        <v>0</v>
      </c>
      <c r="Z478" s="32">
        <v>0</v>
      </c>
      <c r="AA478" s="32">
        <v>0</v>
      </c>
      <c r="AB478" s="32">
        <v>0</v>
      </c>
      <c r="AC478" s="32" t="s">
        <v>475</v>
      </c>
      <c r="AD478" s="32"/>
      <c r="AE478" s="32">
        <v>0</v>
      </c>
    </row>
    <row r="479" spans="1:31" x14ac:dyDescent="0.25">
      <c r="A479">
        <v>8187</v>
      </c>
      <c r="B479" t="s">
        <v>553</v>
      </c>
      <c r="C479" t="s">
        <v>315</v>
      </c>
      <c r="D479" s="35">
        <v>198973.75</v>
      </c>
      <c r="E479">
        <v>1246234606</v>
      </c>
      <c r="F479" s="328">
        <v>46149</v>
      </c>
      <c r="H479" t="s">
        <v>173</v>
      </c>
      <c r="I479" t="s">
        <v>174</v>
      </c>
      <c r="J479">
        <v>9156</v>
      </c>
      <c r="K479" s="328">
        <v>45902</v>
      </c>
      <c r="L479">
        <v>1010100</v>
      </c>
      <c r="M479" t="s">
        <v>35</v>
      </c>
      <c r="N479">
        <v>-37</v>
      </c>
      <c r="O479" s="32">
        <v>0</v>
      </c>
      <c r="P479" s="32">
        <v>0</v>
      </c>
      <c r="Q479" s="32">
        <v>198973.75</v>
      </c>
      <c r="R479" s="32">
        <v>0</v>
      </c>
      <c r="S479" s="32">
        <v>0</v>
      </c>
      <c r="T479" s="32">
        <v>0</v>
      </c>
      <c r="U479" s="32">
        <v>0</v>
      </c>
      <c r="V479" s="32">
        <v>0</v>
      </c>
      <c r="W479" s="32">
        <v>0</v>
      </c>
      <c r="X479" s="32">
        <v>0</v>
      </c>
      <c r="Y479" s="32">
        <v>0</v>
      </c>
      <c r="Z479" s="32">
        <v>0</v>
      </c>
      <c r="AA479" s="32">
        <v>0</v>
      </c>
      <c r="AB479" s="32">
        <v>0</v>
      </c>
      <c r="AC479" s="32" t="s">
        <v>475</v>
      </c>
      <c r="AD479" s="32"/>
      <c r="AE479" s="32">
        <v>0</v>
      </c>
    </row>
    <row r="480" spans="1:31" x14ac:dyDescent="0.25">
      <c r="A480">
        <v>8187</v>
      </c>
      <c r="B480" t="s">
        <v>553</v>
      </c>
      <c r="C480" t="s">
        <v>315</v>
      </c>
      <c r="D480" s="35">
        <v>185936.97</v>
      </c>
      <c r="E480">
        <v>1246227017</v>
      </c>
      <c r="F480" s="328">
        <v>46142</v>
      </c>
      <c r="H480" t="s">
        <v>173</v>
      </c>
      <c r="I480" t="s">
        <v>174</v>
      </c>
      <c r="J480">
        <v>8605</v>
      </c>
      <c r="K480" s="328">
        <v>45862</v>
      </c>
      <c r="L480">
        <v>1010100</v>
      </c>
      <c r="M480" t="s">
        <v>35</v>
      </c>
      <c r="N480">
        <v>-30</v>
      </c>
      <c r="O480" s="32">
        <v>0</v>
      </c>
      <c r="P480" s="32">
        <v>0</v>
      </c>
      <c r="Q480" s="32">
        <v>185936.97</v>
      </c>
      <c r="R480" s="32">
        <v>0</v>
      </c>
      <c r="S480" s="32">
        <v>0</v>
      </c>
      <c r="T480" s="32">
        <v>0</v>
      </c>
      <c r="U480" s="32">
        <v>0</v>
      </c>
      <c r="V480" s="32">
        <v>0</v>
      </c>
      <c r="W480" s="32">
        <v>0</v>
      </c>
      <c r="X480" s="32">
        <v>0</v>
      </c>
      <c r="Y480" s="32">
        <v>0</v>
      </c>
      <c r="Z480" s="32">
        <v>0</v>
      </c>
      <c r="AA480" s="32">
        <v>0</v>
      </c>
      <c r="AB480" s="32">
        <v>0</v>
      </c>
      <c r="AC480" s="32" t="s">
        <v>475</v>
      </c>
      <c r="AD480" s="32"/>
      <c r="AE480" s="32">
        <v>0</v>
      </c>
    </row>
    <row r="481" spans="1:31" x14ac:dyDescent="0.25">
      <c r="A481">
        <v>8187</v>
      </c>
      <c r="B481" t="s">
        <v>553</v>
      </c>
      <c r="C481" t="s">
        <v>315</v>
      </c>
      <c r="D481" s="35">
        <v>183818.49999999997</v>
      </c>
      <c r="E481">
        <v>1246228356</v>
      </c>
      <c r="F481" s="328">
        <v>46144</v>
      </c>
      <c r="H481" t="s">
        <v>173</v>
      </c>
      <c r="I481" t="s">
        <v>174</v>
      </c>
      <c r="J481">
        <v>8711</v>
      </c>
      <c r="K481" s="328">
        <v>45869</v>
      </c>
      <c r="L481">
        <v>1010100</v>
      </c>
      <c r="M481" t="s">
        <v>35</v>
      </c>
      <c r="N481">
        <v>-32</v>
      </c>
      <c r="O481" s="32">
        <v>0</v>
      </c>
      <c r="P481" s="32">
        <v>0</v>
      </c>
      <c r="Q481" s="32">
        <v>183818.49999999997</v>
      </c>
      <c r="R481" s="32">
        <v>0</v>
      </c>
      <c r="S481" s="32">
        <v>0</v>
      </c>
      <c r="T481" s="32">
        <v>0</v>
      </c>
      <c r="U481" s="32">
        <v>0</v>
      </c>
      <c r="V481" s="32">
        <v>0</v>
      </c>
      <c r="W481" s="32">
        <v>0</v>
      </c>
      <c r="X481" s="32">
        <v>0</v>
      </c>
      <c r="Y481" s="32">
        <v>0</v>
      </c>
      <c r="Z481" s="32">
        <v>0</v>
      </c>
      <c r="AA481" s="32">
        <v>0</v>
      </c>
      <c r="AB481" s="32">
        <v>0</v>
      </c>
      <c r="AC481" s="32" t="s">
        <v>475</v>
      </c>
      <c r="AD481" s="32"/>
      <c r="AE481" s="32">
        <v>0</v>
      </c>
    </row>
    <row r="482" spans="1:31" x14ac:dyDescent="0.25">
      <c r="A482">
        <v>8187</v>
      </c>
      <c r="B482" t="s">
        <v>553</v>
      </c>
      <c r="C482" t="s">
        <v>315</v>
      </c>
      <c r="D482" s="35">
        <v>198973.75</v>
      </c>
      <c r="E482">
        <v>1246233047</v>
      </c>
      <c r="F482" s="328">
        <v>46142</v>
      </c>
      <c r="H482" t="s">
        <v>173</v>
      </c>
      <c r="I482" t="s">
        <v>174</v>
      </c>
      <c r="J482">
        <v>9050</v>
      </c>
      <c r="K482" s="328">
        <v>45895</v>
      </c>
      <c r="L482">
        <v>1010100</v>
      </c>
      <c r="M482" t="s">
        <v>35</v>
      </c>
      <c r="N482">
        <v>-30</v>
      </c>
      <c r="O482" s="32">
        <v>0</v>
      </c>
      <c r="P482" s="32">
        <v>0</v>
      </c>
      <c r="Q482" s="32">
        <v>198973.75</v>
      </c>
      <c r="R482" s="32">
        <v>0</v>
      </c>
      <c r="S482" s="32">
        <v>0</v>
      </c>
      <c r="T482" s="32">
        <v>0</v>
      </c>
      <c r="U482" s="32">
        <v>0</v>
      </c>
      <c r="V482" s="32">
        <v>0</v>
      </c>
      <c r="W482" s="32">
        <v>0</v>
      </c>
      <c r="X482" s="32">
        <v>0</v>
      </c>
      <c r="Y482" s="32">
        <v>0</v>
      </c>
      <c r="Z482" s="32">
        <v>0</v>
      </c>
      <c r="AA482" s="32">
        <v>0</v>
      </c>
      <c r="AB482" s="32">
        <v>0</v>
      </c>
      <c r="AC482" s="32" t="s">
        <v>475</v>
      </c>
      <c r="AD482" s="32"/>
      <c r="AE482" s="32">
        <v>0</v>
      </c>
    </row>
    <row r="483" spans="1:31" x14ac:dyDescent="0.25">
      <c r="A483">
        <v>8187</v>
      </c>
      <c r="B483" t="s">
        <v>553</v>
      </c>
      <c r="C483" t="s">
        <v>315</v>
      </c>
      <c r="D483" s="35">
        <v>185774.02</v>
      </c>
      <c r="E483">
        <v>1246224560</v>
      </c>
      <c r="F483" s="328">
        <v>46139</v>
      </c>
      <c r="H483" t="s">
        <v>173</v>
      </c>
      <c r="I483" t="s">
        <v>174</v>
      </c>
      <c r="J483">
        <v>8462</v>
      </c>
      <c r="K483" s="328">
        <v>45849</v>
      </c>
      <c r="L483">
        <v>1010100</v>
      </c>
      <c r="M483" t="s">
        <v>35</v>
      </c>
      <c r="N483">
        <v>-27</v>
      </c>
      <c r="O483" s="32">
        <v>0</v>
      </c>
      <c r="P483" s="32">
        <v>0</v>
      </c>
      <c r="Q483" s="32">
        <v>185774.02</v>
      </c>
      <c r="R483" s="32">
        <v>0</v>
      </c>
      <c r="S483" s="32">
        <v>0</v>
      </c>
      <c r="T483" s="32">
        <v>0</v>
      </c>
      <c r="U483" s="32">
        <v>0</v>
      </c>
      <c r="V483" s="32">
        <v>0</v>
      </c>
      <c r="W483" s="32">
        <v>0</v>
      </c>
      <c r="X483" s="32">
        <v>0</v>
      </c>
      <c r="Y483" s="32">
        <v>0</v>
      </c>
      <c r="Z483" s="32">
        <v>0</v>
      </c>
      <c r="AA483" s="32">
        <v>0</v>
      </c>
      <c r="AB483" s="32">
        <v>0</v>
      </c>
      <c r="AC483" s="32" t="s">
        <v>475</v>
      </c>
      <c r="AD483" s="32"/>
      <c r="AE483" s="32">
        <v>0</v>
      </c>
    </row>
    <row r="484" spans="1:31" x14ac:dyDescent="0.25">
      <c r="A484">
        <v>8187</v>
      </c>
      <c r="B484" t="s">
        <v>553</v>
      </c>
      <c r="C484" t="s">
        <v>315</v>
      </c>
      <c r="D484" s="35">
        <v>185774.01000000004</v>
      </c>
      <c r="E484">
        <v>1246224750</v>
      </c>
      <c r="F484" s="328">
        <v>46142</v>
      </c>
      <c r="H484" t="s">
        <v>173</v>
      </c>
      <c r="I484" t="s">
        <v>174</v>
      </c>
      <c r="J484">
        <v>8475</v>
      </c>
      <c r="K484" s="328">
        <v>45852</v>
      </c>
      <c r="L484">
        <v>1010100</v>
      </c>
      <c r="M484" t="s">
        <v>35</v>
      </c>
      <c r="N484">
        <v>-30</v>
      </c>
      <c r="O484" s="32">
        <v>0</v>
      </c>
      <c r="P484" s="32">
        <v>0</v>
      </c>
      <c r="Q484" s="32">
        <v>185774.01000000004</v>
      </c>
      <c r="R484" s="32">
        <v>0</v>
      </c>
      <c r="S484" s="32">
        <v>0</v>
      </c>
      <c r="T484" s="32">
        <v>0</v>
      </c>
      <c r="U484" s="32">
        <v>0</v>
      </c>
      <c r="V484" s="32">
        <v>0</v>
      </c>
      <c r="W484" s="32">
        <v>0</v>
      </c>
      <c r="X484" s="32">
        <v>0</v>
      </c>
      <c r="Y484" s="32">
        <v>0</v>
      </c>
      <c r="Z484" s="32">
        <v>0</v>
      </c>
      <c r="AA484" s="32">
        <v>0</v>
      </c>
      <c r="AB484" s="32">
        <v>0</v>
      </c>
      <c r="AC484" s="32" t="s">
        <v>475</v>
      </c>
      <c r="AD484" s="32"/>
      <c r="AE484" s="32">
        <v>0</v>
      </c>
    </row>
    <row r="485" spans="1:31" x14ac:dyDescent="0.25">
      <c r="A485">
        <v>8187</v>
      </c>
      <c r="B485" t="s">
        <v>553</v>
      </c>
      <c r="C485" t="s">
        <v>315</v>
      </c>
      <c r="D485" s="35">
        <v>185774.02</v>
      </c>
      <c r="E485">
        <v>1246224287</v>
      </c>
      <c r="F485" s="328">
        <v>46142</v>
      </c>
      <c r="H485" t="s">
        <v>173</v>
      </c>
      <c r="I485" t="s">
        <v>174</v>
      </c>
      <c r="J485">
        <v>8443</v>
      </c>
      <c r="K485" s="328">
        <v>45848</v>
      </c>
      <c r="L485">
        <v>1010100</v>
      </c>
      <c r="M485" t="s">
        <v>35</v>
      </c>
      <c r="N485">
        <v>-30</v>
      </c>
      <c r="O485" s="32">
        <v>0</v>
      </c>
      <c r="P485" s="32">
        <v>0</v>
      </c>
      <c r="Q485" s="32">
        <v>185774.02</v>
      </c>
      <c r="R485" s="32">
        <v>0</v>
      </c>
      <c r="S485" s="32">
        <v>0</v>
      </c>
      <c r="T485" s="32">
        <v>0</v>
      </c>
      <c r="U485" s="32">
        <v>0</v>
      </c>
      <c r="V485" s="32">
        <v>0</v>
      </c>
      <c r="W485" s="32">
        <v>0</v>
      </c>
      <c r="X485" s="32">
        <v>0</v>
      </c>
      <c r="Y485" s="32">
        <v>0</v>
      </c>
      <c r="Z485" s="32">
        <v>0</v>
      </c>
      <c r="AA485" s="32">
        <v>0</v>
      </c>
      <c r="AB485" s="32">
        <v>0</v>
      </c>
      <c r="AC485" s="32" t="s">
        <v>475</v>
      </c>
      <c r="AD485" s="32"/>
      <c r="AE485" s="32">
        <v>0</v>
      </c>
    </row>
    <row r="486" spans="1:31" x14ac:dyDescent="0.25">
      <c r="A486">
        <v>8187</v>
      </c>
      <c r="B486" t="s">
        <v>553</v>
      </c>
      <c r="C486" t="s">
        <v>315</v>
      </c>
      <c r="D486" s="35">
        <v>185936.97</v>
      </c>
      <c r="E486">
        <v>1246225056</v>
      </c>
      <c r="F486" s="328">
        <v>46143</v>
      </c>
      <c r="H486" t="s">
        <v>173</v>
      </c>
      <c r="I486" t="s">
        <v>174</v>
      </c>
      <c r="J486">
        <v>8486</v>
      </c>
      <c r="K486" s="328">
        <v>45853</v>
      </c>
      <c r="L486">
        <v>1010100</v>
      </c>
      <c r="M486" t="s">
        <v>35</v>
      </c>
      <c r="N486">
        <v>-31</v>
      </c>
      <c r="O486" s="32">
        <v>0</v>
      </c>
      <c r="P486" s="32">
        <v>0</v>
      </c>
      <c r="Q486" s="32">
        <v>185936.97</v>
      </c>
      <c r="R486" s="32">
        <v>0</v>
      </c>
      <c r="S486" s="32">
        <v>0</v>
      </c>
      <c r="T486" s="32">
        <v>0</v>
      </c>
      <c r="U486" s="32">
        <v>0</v>
      </c>
      <c r="V486" s="32">
        <v>0</v>
      </c>
      <c r="W486" s="32">
        <v>0</v>
      </c>
      <c r="X486" s="32">
        <v>0</v>
      </c>
      <c r="Y486" s="32">
        <v>0</v>
      </c>
      <c r="Z486" s="32">
        <v>0</v>
      </c>
      <c r="AA486" s="32">
        <v>0</v>
      </c>
      <c r="AB486" s="32">
        <v>0</v>
      </c>
      <c r="AC486" s="32" t="s">
        <v>475</v>
      </c>
      <c r="AD486" s="32"/>
      <c r="AE486" s="32">
        <v>0</v>
      </c>
    </row>
    <row r="487" spans="1:31" x14ac:dyDescent="0.25">
      <c r="A487">
        <v>8187</v>
      </c>
      <c r="B487" t="s">
        <v>553</v>
      </c>
      <c r="C487" t="s">
        <v>315</v>
      </c>
      <c r="D487" s="35">
        <v>154974.63</v>
      </c>
      <c r="E487">
        <v>1246240535</v>
      </c>
      <c r="F487" s="328">
        <v>46142</v>
      </c>
      <c r="H487" t="s">
        <v>173</v>
      </c>
      <c r="I487" t="s">
        <v>174</v>
      </c>
      <c r="J487">
        <v>9527</v>
      </c>
      <c r="K487" s="328">
        <v>45930</v>
      </c>
      <c r="L487">
        <v>1010100</v>
      </c>
      <c r="M487" t="s">
        <v>35</v>
      </c>
      <c r="N487">
        <v>-30</v>
      </c>
      <c r="O487" s="32">
        <v>0</v>
      </c>
      <c r="P487" s="32">
        <v>0</v>
      </c>
      <c r="Q487" s="32">
        <v>154974.63</v>
      </c>
      <c r="R487" s="32">
        <v>0</v>
      </c>
      <c r="S487" s="32">
        <v>0</v>
      </c>
      <c r="T487" s="32">
        <v>0</v>
      </c>
      <c r="U487" s="32">
        <v>0</v>
      </c>
      <c r="V487" s="32">
        <v>0</v>
      </c>
      <c r="W487" s="32">
        <v>0</v>
      </c>
      <c r="X487" s="32">
        <v>0</v>
      </c>
      <c r="Y487" s="32">
        <v>0</v>
      </c>
      <c r="Z487" s="32">
        <v>0</v>
      </c>
      <c r="AA487" s="32">
        <v>0</v>
      </c>
      <c r="AB487" s="32">
        <v>0</v>
      </c>
      <c r="AC487" s="32" t="s">
        <v>475</v>
      </c>
      <c r="AD487" s="32"/>
      <c r="AE487" s="32">
        <v>0</v>
      </c>
    </row>
    <row r="488" spans="1:31" x14ac:dyDescent="0.25">
      <c r="A488">
        <v>8187</v>
      </c>
      <c r="B488" t="s">
        <v>553</v>
      </c>
      <c r="C488" t="s">
        <v>315</v>
      </c>
      <c r="D488" s="35">
        <v>183818.49999999997</v>
      </c>
      <c r="E488">
        <v>1246228297</v>
      </c>
      <c r="F488" s="328">
        <v>46144</v>
      </c>
      <c r="H488" t="s">
        <v>173</v>
      </c>
      <c r="I488" t="s">
        <v>174</v>
      </c>
      <c r="J488">
        <v>8696</v>
      </c>
      <c r="K488" s="328">
        <v>45869</v>
      </c>
      <c r="L488">
        <v>1010100</v>
      </c>
      <c r="M488" t="s">
        <v>35</v>
      </c>
      <c r="N488">
        <v>-32</v>
      </c>
      <c r="O488" s="32">
        <v>0</v>
      </c>
      <c r="P488" s="32">
        <v>0</v>
      </c>
      <c r="Q488" s="32">
        <v>183818.49999999997</v>
      </c>
      <c r="R488" s="32">
        <v>0</v>
      </c>
      <c r="S488" s="32">
        <v>0</v>
      </c>
      <c r="T488" s="32">
        <v>0</v>
      </c>
      <c r="U488" s="32">
        <v>0</v>
      </c>
      <c r="V488" s="32">
        <v>0</v>
      </c>
      <c r="W488" s="32">
        <v>0</v>
      </c>
      <c r="X488" s="32">
        <v>0</v>
      </c>
      <c r="Y488" s="32">
        <v>0</v>
      </c>
      <c r="Z488" s="32">
        <v>0</v>
      </c>
      <c r="AA488" s="32">
        <v>0</v>
      </c>
      <c r="AB488" s="32">
        <v>0</v>
      </c>
      <c r="AC488" s="32" t="s">
        <v>475</v>
      </c>
      <c r="AD488" s="32"/>
      <c r="AE488" s="32">
        <v>0</v>
      </c>
    </row>
    <row r="489" spans="1:31" x14ac:dyDescent="0.25">
      <c r="A489">
        <v>8187</v>
      </c>
      <c r="B489" t="s">
        <v>553</v>
      </c>
      <c r="C489" t="s">
        <v>315</v>
      </c>
      <c r="D489" s="35">
        <v>183818.49999999997</v>
      </c>
      <c r="E489">
        <v>1246225656</v>
      </c>
      <c r="F489" s="328">
        <v>46145</v>
      </c>
      <c r="H489" t="s">
        <v>173</v>
      </c>
      <c r="I489" t="s">
        <v>174</v>
      </c>
      <c r="J489">
        <v>8524</v>
      </c>
      <c r="K489" s="328">
        <v>45855</v>
      </c>
      <c r="L489">
        <v>1010100</v>
      </c>
      <c r="M489" t="s">
        <v>35</v>
      </c>
      <c r="N489">
        <v>-33</v>
      </c>
      <c r="O489" s="32">
        <v>0</v>
      </c>
      <c r="P489" s="32">
        <v>0</v>
      </c>
      <c r="Q489" s="32">
        <v>183818.49999999997</v>
      </c>
      <c r="R489" s="32">
        <v>0</v>
      </c>
      <c r="S489" s="32">
        <v>0</v>
      </c>
      <c r="T489" s="32">
        <v>0</v>
      </c>
      <c r="U489" s="32">
        <v>0</v>
      </c>
      <c r="V489" s="32">
        <v>0</v>
      </c>
      <c r="W489" s="32">
        <v>0</v>
      </c>
      <c r="X489" s="32">
        <v>0</v>
      </c>
      <c r="Y489" s="32">
        <v>0</v>
      </c>
      <c r="Z489" s="32">
        <v>0</v>
      </c>
      <c r="AA489" s="32">
        <v>0</v>
      </c>
      <c r="AB489" s="32">
        <v>0</v>
      </c>
      <c r="AC489" s="32" t="s">
        <v>475</v>
      </c>
      <c r="AD489" s="32"/>
      <c r="AE489" s="32">
        <v>0</v>
      </c>
    </row>
    <row r="490" spans="1:31" x14ac:dyDescent="0.25">
      <c r="A490">
        <v>9298</v>
      </c>
      <c r="B490" t="s">
        <v>187</v>
      </c>
      <c r="C490" t="s">
        <v>188</v>
      </c>
      <c r="D490" s="35">
        <v>111799</v>
      </c>
      <c r="E490">
        <v>1246070436</v>
      </c>
      <c r="F490" s="328">
        <v>45555</v>
      </c>
      <c r="H490" t="s">
        <v>173</v>
      </c>
      <c r="I490" t="s">
        <v>174</v>
      </c>
      <c r="J490">
        <v>20815</v>
      </c>
      <c r="K490" s="328">
        <v>44991</v>
      </c>
      <c r="L490">
        <v>1010100</v>
      </c>
      <c r="M490" t="s">
        <v>35</v>
      </c>
      <c r="N490">
        <v>557</v>
      </c>
      <c r="O490" s="32">
        <v>0</v>
      </c>
      <c r="P490" s="32">
        <v>0</v>
      </c>
      <c r="Q490" s="32">
        <v>0</v>
      </c>
      <c r="R490" s="32">
        <v>0</v>
      </c>
      <c r="S490" s="32">
        <v>0</v>
      </c>
      <c r="T490" s="32">
        <v>0</v>
      </c>
      <c r="U490" s="32">
        <v>111799</v>
      </c>
      <c r="V490" s="32">
        <v>0</v>
      </c>
      <c r="W490" s="32">
        <v>3353.97</v>
      </c>
      <c r="X490" s="32">
        <v>108445.03</v>
      </c>
      <c r="Y490" s="32">
        <v>108445.03</v>
      </c>
      <c r="Z490" s="32">
        <v>0</v>
      </c>
      <c r="AA490" s="32">
        <v>-111799</v>
      </c>
      <c r="AB490" s="32">
        <v>0</v>
      </c>
      <c r="AC490" s="32" t="s">
        <v>475</v>
      </c>
      <c r="AD490" s="32"/>
      <c r="AE490" s="32">
        <v>0</v>
      </c>
    </row>
    <row r="491" spans="1:31" x14ac:dyDescent="0.25">
      <c r="A491">
        <v>9298</v>
      </c>
      <c r="B491" t="s">
        <v>187</v>
      </c>
      <c r="C491" t="s">
        <v>188</v>
      </c>
      <c r="D491" s="35">
        <v>65548</v>
      </c>
      <c r="E491">
        <v>1246070905</v>
      </c>
      <c r="F491" s="328">
        <v>45555</v>
      </c>
      <c r="H491" t="s">
        <v>173</v>
      </c>
      <c r="I491" t="s">
        <v>174</v>
      </c>
      <c r="J491">
        <v>20839</v>
      </c>
      <c r="K491" s="328">
        <v>44994</v>
      </c>
      <c r="L491">
        <v>1010100</v>
      </c>
      <c r="M491" t="s">
        <v>35</v>
      </c>
      <c r="N491">
        <v>557</v>
      </c>
      <c r="O491" s="32">
        <v>0</v>
      </c>
      <c r="P491" s="32">
        <v>0</v>
      </c>
      <c r="Q491" s="32">
        <v>0</v>
      </c>
      <c r="R491" s="32">
        <v>0</v>
      </c>
      <c r="S491" s="32">
        <v>0</v>
      </c>
      <c r="T491" s="32">
        <v>0</v>
      </c>
      <c r="U491" s="32">
        <v>65548</v>
      </c>
      <c r="V491" s="32">
        <v>0</v>
      </c>
      <c r="W491" s="32">
        <v>1966.4399999999998</v>
      </c>
      <c r="X491" s="32">
        <v>63581.56</v>
      </c>
      <c r="Y491" s="32">
        <v>63581.56</v>
      </c>
      <c r="Z491" s="32">
        <v>0</v>
      </c>
      <c r="AA491" s="32">
        <v>-65548</v>
      </c>
      <c r="AB491" s="32">
        <v>0</v>
      </c>
      <c r="AC491" s="32" t="s">
        <v>475</v>
      </c>
      <c r="AD491" s="32"/>
      <c r="AE491" s="32">
        <v>0</v>
      </c>
    </row>
    <row r="492" spans="1:31" x14ac:dyDescent="0.25">
      <c r="A492">
        <v>9298</v>
      </c>
      <c r="B492" t="s">
        <v>187</v>
      </c>
      <c r="C492" t="s">
        <v>188</v>
      </c>
      <c r="D492" s="35">
        <v>112475</v>
      </c>
      <c r="E492">
        <v>1246068948</v>
      </c>
      <c r="F492" s="328">
        <v>45555</v>
      </c>
      <c r="H492" t="s">
        <v>173</v>
      </c>
      <c r="I492" t="s">
        <v>174</v>
      </c>
      <c r="J492">
        <v>20763</v>
      </c>
      <c r="K492" s="328">
        <v>44984</v>
      </c>
      <c r="L492">
        <v>1010100</v>
      </c>
      <c r="M492" t="s">
        <v>35</v>
      </c>
      <c r="N492">
        <v>557</v>
      </c>
      <c r="O492" s="32">
        <v>0</v>
      </c>
      <c r="P492" s="32">
        <v>0</v>
      </c>
      <c r="Q492" s="32">
        <v>0</v>
      </c>
      <c r="R492" s="32">
        <v>0</v>
      </c>
      <c r="S492" s="32">
        <v>0</v>
      </c>
      <c r="T492" s="32">
        <v>0</v>
      </c>
      <c r="U492" s="32">
        <v>112475</v>
      </c>
      <c r="V492" s="32">
        <v>0</v>
      </c>
      <c r="W492" s="32">
        <v>3374.25</v>
      </c>
      <c r="X492" s="32">
        <v>109100.75</v>
      </c>
      <c r="Y492" s="32">
        <v>109100.75</v>
      </c>
      <c r="Z492" s="32">
        <v>0</v>
      </c>
      <c r="AA492" s="32">
        <v>-112475</v>
      </c>
      <c r="AB492" s="32">
        <v>0</v>
      </c>
      <c r="AC492" s="32" t="s">
        <v>475</v>
      </c>
      <c r="AD492" s="32"/>
      <c r="AE492" s="32">
        <v>0</v>
      </c>
    </row>
    <row r="493" spans="1:31" x14ac:dyDescent="0.25">
      <c r="A493">
        <v>9298</v>
      </c>
      <c r="B493" t="s">
        <v>187</v>
      </c>
      <c r="C493" t="s">
        <v>188</v>
      </c>
      <c r="D493" s="35">
        <v>149824</v>
      </c>
      <c r="E493">
        <v>1246068778</v>
      </c>
      <c r="F493" s="328">
        <v>45555</v>
      </c>
      <c r="H493" t="s">
        <v>173</v>
      </c>
      <c r="I493" t="s">
        <v>174</v>
      </c>
      <c r="J493">
        <v>20750</v>
      </c>
      <c r="K493" s="328">
        <v>44981</v>
      </c>
      <c r="L493">
        <v>1010100</v>
      </c>
      <c r="M493" t="s">
        <v>35</v>
      </c>
      <c r="N493">
        <v>557</v>
      </c>
      <c r="O493" s="32">
        <v>0</v>
      </c>
      <c r="P493" s="32">
        <v>0</v>
      </c>
      <c r="Q493" s="32">
        <v>0</v>
      </c>
      <c r="R493" s="32">
        <v>0</v>
      </c>
      <c r="S493" s="32">
        <v>0</v>
      </c>
      <c r="T493" s="32">
        <v>0</v>
      </c>
      <c r="U493" s="32">
        <v>149824</v>
      </c>
      <c r="V493" s="32">
        <v>0</v>
      </c>
      <c r="W493" s="32">
        <v>4494.72</v>
      </c>
      <c r="X493" s="32">
        <v>145329.28</v>
      </c>
      <c r="Y493" s="32">
        <v>145329.28</v>
      </c>
      <c r="Z493" s="32">
        <v>0</v>
      </c>
      <c r="AA493" s="32">
        <v>-149824</v>
      </c>
      <c r="AB493" s="32">
        <v>0</v>
      </c>
      <c r="AC493" s="32" t="s">
        <v>475</v>
      </c>
      <c r="AD493" s="32"/>
      <c r="AE493" s="32">
        <v>0</v>
      </c>
    </row>
    <row r="494" spans="1:31" x14ac:dyDescent="0.25">
      <c r="A494">
        <v>9298</v>
      </c>
      <c r="B494" t="s">
        <v>187</v>
      </c>
      <c r="C494" t="s">
        <v>188</v>
      </c>
      <c r="D494" s="35">
        <v>131203</v>
      </c>
      <c r="E494">
        <v>1246070820</v>
      </c>
      <c r="F494" s="328">
        <v>45555</v>
      </c>
      <c r="H494" t="s">
        <v>173</v>
      </c>
      <c r="I494" t="s">
        <v>174</v>
      </c>
      <c r="J494">
        <v>20836</v>
      </c>
      <c r="K494" s="328">
        <v>44993</v>
      </c>
      <c r="L494">
        <v>1010100</v>
      </c>
      <c r="M494" t="s">
        <v>35</v>
      </c>
      <c r="N494">
        <v>557</v>
      </c>
      <c r="O494" s="32">
        <v>0</v>
      </c>
      <c r="P494" s="32">
        <v>0</v>
      </c>
      <c r="Q494" s="32">
        <v>0</v>
      </c>
      <c r="R494" s="32">
        <v>0</v>
      </c>
      <c r="S494" s="32">
        <v>0</v>
      </c>
      <c r="T494" s="32">
        <v>0</v>
      </c>
      <c r="U494" s="32">
        <v>131203</v>
      </c>
      <c r="V494" s="32">
        <v>0</v>
      </c>
      <c r="W494" s="32">
        <v>3936.0899999999997</v>
      </c>
      <c r="X494" s="32">
        <v>127266.91</v>
      </c>
      <c r="Y494" s="32">
        <v>127266.91</v>
      </c>
      <c r="Z494" s="32">
        <v>0</v>
      </c>
      <c r="AA494" s="32">
        <v>-131203</v>
      </c>
      <c r="AB494" s="32">
        <v>0</v>
      </c>
      <c r="AC494" s="32" t="s">
        <v>475</v>
      </c>
      <c r="AD494" s="32"/>
      <c r="AE494" s="32">
        <v>0</v>
      </c>
    </row>
    <row r="495" spans="1:31" x14ac:dyDescent="0.25">
      <c r="A495">
        <v>9298</v>
      </c>
      <c r="B495" t="s">
        <v>187</v>
      </c>
      <c r="C495" t="s">
        <v>188</v>
      </c>
      <c r="D495" s="35">
        <v>119356.2</v>
      </c>
      <c r="E495">
        <v>1246068614</v>
      </c>
      <c r="F495" s="328">
        <v>45555</v>
      </c>
      <c r="H495" t="s">
        <v>173</v>
      </c>
      <c r="I495" t="s">
        <v>174</v>
      </c>
      <c r="J495">
        <v>20734</v>
      </c>
      <c r="K495" s="328">
        <v>44980</v>
      </c>
      <c r="L495">
        <v>1010100</v>
      </c>
      <c r="M495" t="s">
        <v>35</v>
      </c>
      <c r="N495">
        <v>557</v>
      </c>
      <c r="O495" s="32">
        <v>0</v>
      </c>
      <c r="P495" s="32">
        <v>0</v>
      </c>
      <c r="Q495" s="32">
        <v>0</v>
      </c>
      <c r="R495" s="32">
        <v>0</v>
      </c>
      <c r="S495" s="32">
        <v>0</v>
      </c>
      <c r="T495" s="32">
        <v>0</v>
      </c>
      <c r="U495" s="32">
        <v>119356.2</v>
      </c>
      <c r="V495" s="32">
        <v>0</v>
      </c>
      <c r="W495" s="32">
        <v>3580.6859999999997</v>
      </c>
      <c r="X495" s="32">
        <v>115775.514</v>
      </c>
      <c r="Y495" s="32">
        <v>115775.514</v>
      </c>
      <c r="Z495" s="32">
        <v>0</v>
      </c>
      <c r="AA495" s="32">
        <v>-119356.2</v>
      </c>
      <c r="AB495" s="32">
        <v>0</v>
      </c>
      <c r="AC495" s="32" t="s">
        <v>475</v>
      </c>
      <c r="AD495" s="32"/>
      <c r="AE495" s="32">
        <v>0</v>
      </c>
    </row>
    <row r="496" spans="1:31" x14ac:dyDescent="0.25">
      <c r="A496">
        <v>9298</v>
      </c>
      <c r="B496" t="s">
        <v>187</v>
      </c>
      <c r="C496" t="s">
        <v>188</v>
      </c>
      <c r="D496" s="35">
        <v>122521</v>
      </c>
      <c r="E496">
        <v>1246068997</v>
      </c>
      <c r="F496" s="328">
        <v>45555</v>
      </c>
      <c r="H496" t="s">
        <v>173</v>
      </c>
      <c r="I496" t="s">
        <v>174</v>
      </c>
      <c r="J496">
        <v>20767</v>
      </c>
      <c r="K496" s="328">
        <v>44984</v>
      </c>
      <c r="L496">
        <v>1010100</v>
      </c>
      <c r="M496" t="s">
        <v>35</v>
      </c>
      <c r="N496">
        <v>557</v>
      </c>
      <c r="O496" s="32">
        <v>0</v>
      </c>
      <c r="P496" s="32">
        <v>0</v>
      </c>
      <c r="Q496" s="32">
        <v>0</v>
      </c>
      <c r="R496" s="32">
        <v>0</v>
      </c>
      <c r="S496" s="32">
        <v>0</v>
      </c>
      <c r="T496" s="32">
        <v>0</v>
      </c>
      <c r="U496" s="32">
        <v>122521</v>
      </c>
      <c r="V496" s="32">
        <v>0</v>
      </c>
      <c r="W496" s="32">
        <v>3675.6299999999997</v>
      </c>
      <c r="X496" s="32">
        <v>118845.37</v>
      </c>
      <c r="Y496" s="32">
        <v>118845.37</v>
      </c>
      <c r="Z496" s="32">
        <v>0</v>
      </c>
      <c r="AA496" s="32">
        <v>-122521</v>
      </c>
      <c r="AB496" s="32">
        <v>0</v>
      </c>
      <c r="AC496" s="32" t="s">
        <v>475</v>
      </c>
      <c r="AD496" s="32"/>
      <c r="AE496" s="32">
        <v>0</v>
      </c>
    </row>
    <row r="497" spans="1:31" x14ac:dyDescent="0.25">
      <c r="A497">
        <v>9298</v>
      </c>
      <c r="B497" t="s">
        <v>187</v>
      </c>
      <c r="C497" t="s">
        <v>188</v>
      </c>
      <c r="D497" s="35">
        <v>118731.49</v>
      </c>
      <c r="E497">
        <v>1246083500</v>
      </c>
      <c r="F497" s="328">
        <v>45555</v>
      </c>
      <c r="H497" t="s">
        <v>173</v>
      </c>
      <c r="I497" t="s">
        <v>174</v>
      </c>
      <c r="J497">
        <v>21456</v>
      </c>
      <c r="K497" s="328">
        <v>45070</v>
      </c>
      <c r="L497">
        <v>1010100</v>
      </c>
      <c r="M497" t="s">
        <v>35</v>
      </c>
      <c r="N497">
        <v>557</v>
      </c>
      <c r="O497" s="32">
        <v>0</v>
      </c>
      <c r="P497" s="32">
        <v>0</v>
      </c>
      <c r="Q497" s="32">
        <v>0</v>
      </c>
      <c r="R497" s="32">
        <v>0</v>
      </c>
      <c r="S497" s="32">
        <v>0</v>
      </c>
      <c r="T497" s="32">
        <v>0</v>
      </c>
      <c r="U497" s="32">
        <v>118731.49</v>
      </c>
      <c r="V497" s="32">
        <v>0</v>
      </c>
      <c r="W497" s="32">
        <v>3561.9447</v>
      </c>
      <c r="X497" s="32">
        <v>115169.5453</v>
      </c>
      <c r="Y497" s="32">
        <v>115169.5453</v>
      </c>
      <c r="Z497" s="32">
        <v>0</v>
      </c>
      <c r="AA497" s="32">
        <v>-118731.49</v>
      </c>
      <c r="AB497" s="32">
        <v>0</v>
      </c>
      <c r="AC497" s="32" t="s">
        <v>475</v>
      </c>
      <c r="AD497" s="32"/>
      <c r="AE497" s="32">
        <v>0</v>
      </c>
    </row>
    <row r="498" spans="1:31" x14ac:dyDescent="0.25">
      <c r="A498">
        <v>9298</v>
      </c>
      <c r="B498" t="s">
        <v>187</v>
      </c>
      <c r="C498" t="s">
        <v>188</v>
      </c>
      <c r="D498" s="35">
        <v>52557.4</v>
      </c>
      <c r="E498">
        <v>1246083593</v>
      </c>
      <c r="F498" s="328">
        <v>45555</v>
      </c>
      <c r="H498" t="s">
        <v>173</v>
      </c>
      <c r="I498" t="s">
        <v>174</v>
      </c>
      <c r="J498">
        <v>21460</v>
      </c>
      <c r="K498" s="328">
        <v>45070</v>
      </c>
      <c r="L498">
        <v>1010100</v>
      </c>
      <c r="M498" t="s">
        <v>35</v>
      </c>
      <c r="N498">
        <v>557</v>
      </c>
      <c r="O498" s="32">
        <v>0</v>
      </c>
      <c r="P498" s="32">
        <v>0</v>
      </c>
      <c r="Q498" s="32">
        <v>0</v>
      </c>
      <c r="R498" s="32">
        <v>0</v>
      </c>
      <c r="S498" s="32">
        <v>0</v>
      </c>
      <c r="T498" s="32">
        <v>0</v>
      </c>
      <c r="U498" s="32">
        <v>52557.4</v>
      </c>
      <c r="V498" s="32">
        <v>0</v>
      </c>
      <c r="W498" s="32">
        <v>1576.722</v>
      </c>
      <c r="X498" s="32">
        <v>50980.678</v>
      </c>
      <c r="Y498" s="32">
        <v>50980.678</v>
      </c>
      <c r="Z498" s="32">
        <v>0</v>
      </c>
      <c r="AA498" s="32">
        <v>-52557.4</v>
      </c>
      <c r="AB498" s="32">
        <v>0</v>
      </c>
      <c r="AC498" s="32" t="s">
        <v>475</v>
      </c>
      <c r="AD498" s="32"/>
      <c r="AE498" s="32">
        <v>0</v>
      </c>
    </row>
    <row r="499" spans="1:31" x14ac:dyDescent="0.25">
      <c r="A499">
        <v>9298</v>
      </c>
      <c r="B499" t="s">
        <v>187</v>
      </c>
      <c r="C499" t="s">
        <v>188</v>
      </c>
      <c r="D499" s="35">
        <v>52557.4</v>
      </c>
      <c r="E499">
        <v>1246083373</v>
      </c>
      <c r="F499" s="328">
        <v>45555</v>
      </c>
      <c r="H499" t="s">
        <v>173</v>
      </c>
      <c r="I499" t="s">
        <v>174</v>
      </c>
      <c r="J499">
        <v>21444</v>
      </c>
      <c r="K499" s="328">
        <v>45069</v>
      </c>
      <c r="L499">
        <v>1010100</v>
      </c>
      <c r="M499" t="s">
        <v>35</v>
      </c>
      <c r="N499">
        <v>557</v>
      </c>
      <c r="O499" s="32">
        <v>0</v>
      </c>
      <c r="P499" s="32">
        <v>0</v>
      </c>
      <c r="Q499" s="32">
        <v>0</v>
      </c>
      <c r="R499" s="32">
        <v>0</v>
      </c>
      <c r="S499" s="32">
        <v>0</v>
      </c>
      <c r="T499" s="32">
        <v>0</v>
      </c>
      <c r="U499" s="32">
        <v>52557.4</v>
      </c>
      <c r="V499" s="32">
        <v>0</v>
      </c>
      <c r="W499" s="32">
        <v>1576.722</v>
      </c>
      <c r="X499" s="32">
        <v>50980.678</v>
      </c>
      <c r="Y499" s="32">
        <v>50980.678</v>
      </c>
      <c r="Z499" s="32">
        <v>0</v>
      </c>
      <c r="AA499" s="32">
        <v>-52557.4</v>
      </c>
      <c r="AB499" s="32">
        <v>0</v>
      </c>
      <c r="AC499" s="32" t="s">
        <v>475</v>
      </c>
      <c r="AD499" s="32"/>
      <c r="AE499" s="32">
        <v>0</v>
      </c>
    </row>
    <row r="500" spans="1:31" x14ac:dyDescent="0.25">
      <c r="A500">
        <v>9298</v>
      </c>
      <c r="B500" t="s">
        <v>187</v>
      </c>
      <c r="C500" t="s">
        <v>188</v>
      </c>
      <c r="D500" s="35">
        <v>13957.5</v>
      </c>
      <c r="E500">
        <v>1246084673</v>
      </c>
      <c r="F500" s="328">
        <v>45555</v>
      </c>
      <c r="H500" t="s">
        <v>173</v>
      </c>
      <c r="I500" t="s">
        <v>174</v>
      </c>
      <c r="J500">
        <v>21538</v>
      </c>
      <c r="K500" s="328">
        <v>45077</v>
      </c>
      <c r="L500">
        <v>1010100</v>
      </c>
      <c r="M500" t="s">
        <v>35</v>
      </c>
      <c r="N500">
        <v>557</v>
      </c>
      <c r="O500" s="32">
        <v>0</v>
      </c>
      <c r="P500" s="32">
        <v>0</v>
      </c>
      <c r="Q500" s="32">
        <v>0</v>
      </c>
      <c r="R500" s="32">
        <v>0</v>
      </c>
      <c r="S500" s="32">
        <v>0</v>
      </c>
      <c r="T500" s="32">
        <v>0</v>
      </c>
      <c r="U500" s="32">
        <v>13957.5</v>
      </c>
      <c r="V500" s="32">
        <v>0</v>
      </c>
      <c r="W500" s="32">
        <v>418.72499999999997</v>
      </c>
      <c r="X500" s="32">
        <v>13538.775</v>
      </c>
      <c r="Y500" s="32">
        <v>13538.775</v>
      </c>
      <c r="Z500" s="32">
        <v>13957.5</v>
      </c>
      <c r="AA500" s="32">
        <v>-13957.5</v>
      </c>
      <c r="AB500" s="32">
        <v>0</v>
      </c>
      <c r="AC500" s="32" t="s">
        <v>475</v>
      </c>
      <c r="AD500" s="32"/>
      <c r="AE500" s="32">
        <v>0</v>
      </c>
    </row>
    <row r="501" spans="1:31" x14ac:dyDescent="0.25">
      <c r="A501">
        <v>9298</v>
      </c>
      <c r="B501" t="s">
        <v>187</v>
      </c>
      <c r="C501" t="s">
        <v>188</v>
      </c>
      <c r="D501" s="35">
        <v>40756.75</v>
      </c>
      <c r="E501">
        <v>1246084671</v>
      </c>
      <c r="F501" s="328">
        <v>45555</v>
      </c>
      <c r="H501" t="s">
        <v>173</v>
      </c>
      <c r="I501" t="s">
        <v>174</v>
      </c>
      <c r="J501">
        <v>21537</v>
      </c>
      <c r="K501" s="328">
        <v>45077</v>
      </c>
      <c r="L501">
        <v>1010100</v>
      </c>
      <c r="M501" t="s">
        <v>35</v>
      </c>
      <c r="N501">
        <v>557</v>
      </c>
      <c r="O501" s="32">
        <v>0</v>
      </c>
      <c r="P501" s="32">
        <v>0</v>
      </c>
      <c r="Q501" s="32">
        <v>0</v>
      </c>
      <c r="R501" s="32">
        <v>0</v>
      </c>
      <c r="S501" s="32">
        <v>0</v>
      </c>
      <c r="T501" s="32">
        <v>0</v>
      </c>
      <c r="U501" s="32">
        <v>40756.75</v>
      </c>
      <c r="V501" s="32">
        <v>0</v>
      </c>
      <c r="W501" s="32">
        <v>1222.7024999999999</v>
      </c>
      <c r="X501" s="32">
        <v>39534.047500000001</v>
      </c>
      <c r="Y501" s="32">
        <v>39534.047500000001</v>
      </c>
      <c r="Z501" s="32">
        <v>0</v>
      </c>
      <c r="AA501" s="32">
        <v>-40756.75</v>
      </c>
      <c r="AB501" s="32">
        <v>0</v>
      </c>
      <c r="AC501" s="32" t="s">
        <v>475</v>
      </c>
      <c r="AD501" s="32"/>
      <c r="AE501" s="32">
        <v>0</v>
      </c>
    </row>
    <row r="502" spans="1:31" x14ac:dyDescent="0.25">
      <c r="A502">
        <v>9298</v>
      </c>
      <c r="B502" t="s">
        <v>187</v>
      </c>
      <c r="C502" t="s">
        <v>188</v>
      </c>
      <c r="D502" s="35">
        <v>13238.05</v>
      </c>
      <c r="E502">
        <v>1246088994</v>
      </c>
      <c r="F502" s="328">
        <v>45555</v>
      </c>
      <c r="H502" t="s">
        <v>173</v>
      </c>
      <c r="I502" t="s">
        <v>174</v>
      </c>
      <c r="J502">
        <v>20723</v>
      </c>
      <c r="K502" s="328">
        <v>44979</v>
      </c>
      <c r="L502">
        <v>1010100</v>
      </c>
      <c r="M502" t="s">
        <v>35</v>
      </c>
      <c r="N502">
        <v>557</v>
      </c>
      <c r="O502" s="32">
        <v>0</v>
      </c>
      <c r="P502" s="32">
        <v>0</v>
      </c>
      <c r="Q502" s="32">
        <v>0</v>
      </c>
      <c r="R502" s="32">
        <v>0</v>
      </c>
      <c r="S502" s="32">
        <v>0</v>
      </c>
      <c r="T502" s="32">
        <v>0</v>
      </c>
      <c r="U502" s="32">
        <v>13238.05</v>
      </c>
      <c r="V502" s="32">
        <v>0</v>
      </c>
      <c r="W502" s="32">
        <v>397.14149999999995</v>
      </c>
      <c r="X502" s="32">
        <v>12840.9085</v>
      </c>
      <c r="Y502" s="32">
        <v>12840.9085</v>
      </c>
      <c r="Z502" s="32">
        <v>13238.05</v>
      </c>
      <c r="AA502" s="32">
        <v>-13238.05</v>
      </c>
      <c r="AB502" s="32">
        <v>0</v>
      </c>
      <c r="AC502" s="32" t="s">
        <v>475</v>
      </c>
      <c r="AD502" s="32"/>
      <c r="AE502" s="32">
        <v>0</v>
      </c>
    </row>
    <row r="503" spans="1:31" x14ac:dyDescent="0.25">
      <c r="A503">
        <v>9298</v>
      </c>
      <c r="B503" t="s">
        <v>187</v>
      </c>
      <c r="C503" t="s">
        <v>188</v>
      </c>
      <c r="D503" s="35">
        <v>118788.8</v>
      </c>
      <c r="E503">
        <v>1246099199</v>
      </c>
      <c r="F503" s="328">
        <v>45562</v>
      </c>
      <c r="H503" t="s">
        <v>173</v>
      </c>
      <c r="I503" t="s">
        <v>174</v>
      </c>
      <c r="J503">
        <v>768</v>
      </c>
      <c r="K503" s="328">
        <v>45159</v>
      </c>
      <c r="L503">
        <v>1010100</v>
      </c>
      <c r="M503" t="s">
        <v>35</v>
      </c>
      <c r="N503">
        <v>550</v>
      </c>
      <c r="O503" s="32">
        <v>0</v>
      </c>
      <c r="P503" s="32">
        <v>0</v>
      </c>
      <c r="Q503" s="32">
        <v>0</v>
      </c>
      <c r="R503" s="32">
        <v>0</v>
      </c>
      <c r="S503" s="32">
        <v>0</v>
      </c>
      <c r="T503" s="32">
        <v>0</v>
      </c>
      <c r="U503" s="32">
        <v>118788.8</v>
      </c>
      <c r="V503" s="32">
        <v>0</v>
      </c>
      <c r="W503" s="32">
        <v>3563.6639999999998</v>
      </c>
      <c r="X503" s="32">
        <v>115225.136</v>
      </c>
      <c r="Y503" s="32">
        <v>115225.136</v>
      </c>
      <c r="Z503" s="32">
        <v>0</v>
      </c>
      <c r="AA503" s="32">
        <v>-118788.8</v>
      </c>
      <c r="AB503" s="32">
        <v>0</v>
      </c>
      <c r="AC503" s="32" t="s">
        <v>475</v>
      </c>
      <c r="AD503" s="32"/>
      <c r="AE503" s="32">
        <v>0</v>
      </c>
    </row>
    <row r="504" spans="1:31" x14ac:dyDescent="0.25">
      <c r="A504">
        <v>9298</v>
      </c>
      <c r="B504" t="s">
        <v>187</v>
      </c>
      <c r="C504" t="s">
        <v>188</v>
      </c>
      <c r="D504" s="35">
        <v>118788.8</v>
      </c>
      <c r="E504">
        <v>1246099294</v>
      </c>
      <c r="F504" s="328">
        <v>45562</v>
      </c>
      <c r="H504" t="s">
        <v>173</v>
      </c>
      <c r="I504" t="s">
        <v>174</v>
      </c>
      <c r="J504">
        <v>777</v>
      </c>
      <c r="K504" s="328">
        <v>45159</v>
      </c>
      <c r="L504">
        <v>1010100</v>
      </c>
      <c r="M504" t="s">
        <v>35</v>
      </c>
      <c r="N504">
        <v>550</v>
      </c>
      <c r="O504" s="32">
        <v>0</v>
      </c>
      <c r="P504" s="32">
        <v>0</v>
      </c>
      <c r="Q504" s="32">
        <v>0</v>
      </c>
      <c r="R504" s="32">
        <v>0</v>
      </c>
      <c r="S504" s="32">
        <v>0</v>
      </c>
      <c r="T504" s="32">
        <v>0</v>
      </c>
      <c r="U504" s="32">
        <v>118788.8</v>
      </c>
      <c r="V504" s="32">
        <v>0</v>
      </c>
      <c r="W504" s="32">
        <v>3563.6639999999998</v>
      </c>
      <c r="X504" s="32">
        <v>115225.136</v>
      </c>
      <c r="Y504" s="32">
        <v>115225.136</v>
      </c>
      <c r="Z504" s="32">
        <v>0</v>
      </c>
      <c r="AA504" s="32">
        <v>-118788.8</v>
      </c>
      <c r="AB504" s="32">
        <v>0</v>
      </c>
      <c r="AC504" s="32" t="s">
        <v>475</v>
      </c>
      <c r="AD504" s="32"/>
      <c r="AE504" s="32">
        <v>0</v>
      </c>
    </row>
    <row r="505" spans="1:31" x14ac:dyDescent="0.25">
      <c r="A505">
        <v>9298</v>
      </c>
      <c r="B505" t="s">
        <v>187</v>
      </c>
      <c r="C505" t="s">
        <v>188</v>
      </c>
      <c r="D505" s="35">
        <v>148492.1</v>
      </c>
      <c r="E505">
        <v>1246105304</v>
      </c>
      <c r="F505" s="328">
        <v>45555</v>
      </c>
      <c r="H505" t="s">
        <v>173</v>
      </c>
      <c r="I505" t="s">
        <v>174</v>
      </c>
      <c r="J505">
        <v>1270</v>
      </c>
      <c r="K505" s="328">
        <v>45190</v>
      </c>
      <c r="L505">
        <v>1010100</v>
      </c>
      <c r="M505" t="s">
        <v>35</v>
      </c>
      <c r="N505">
        <v>557</v>
      </c>
      <c r="O505" s="32">
        <v>0</v>
      </c>
      <c r="P505" s="32">
        <v>0</v>
      </c>
      <c r="Q505" s="32">
        <v>0</v>
      </c>
      <c r="R505" s="32">
        <v>0</v>
      </c>
      <c r="S505" s="32">
        <v>0</v>
      </c>
      <c r="T505" s="32">
        <v>0</v>
      </c>
      <c r="U505" s="32">
        <v>148492.1</v>
      </c>
      <c r="V505" s="32">
        <v>0</v>
      </c>
      <c r="W505" s="32">
        <v>4454.7629999999999</v>
      </c>
      <c r="X505" s="32">
        <v>144037.337</v>
      </c>
      <c r="Y505" s="32">
        <v>144037.337</v>
      </c>
      <c r="Z505" s="32">
        <v>0</v>
      </c>
      <c r="AA505" s="32">
        <v>-148492.1</v>
      </c>
      <c r="AB505" s="32">
        <v>0</v>
      </c>
      <c r="AC505" s="32" t="s">
        <v>475</v>
      </c>
      <c r="AD505" s="32"/>
      <c r="AE505" s="32">
        <v>0</v>
      </c>
    </row>
    <row r="506" spans="1:31" x14ac:dyDescent="0.25">
      <c r="A506">
        <v>9298</v>
      </c>
      <c r="B506" t="s">
        <v>187</v>
      </c>
      <c r="C506" t="s">
        <v>188</v>
      </c>
      <c r="D506" s="35">
        <v>79894</v>
      </c>
      <c r="E506">
        <v>1246114860</v>
      </c>
      <c r="F506" s="328">
        <v>45555</v>
      </c>
      <c r="H506" t="s">
        <v>173</v>
      </c>
      <c r="I506" t="s">
        <v>174</v>
      </c>
      <c r="J506">
        <v>1951</v>
      </c>
      <c r="K506" s="328">
        <v>45243</v>
      </c>
      <c r="L506">
        <v>1010100</v>
      </c>
      <c r="M506" t="s">
        <v>35</v>
      </c>
      <c r="N506">
        <v>557</v>
      </c>
      <c r="O506" s="32">
        <v>0</v>
      </c>
      <c r="P506" s="32">
        <v>0</v>
      </c>
      <c r="Q506" s="32">
        <v>0</v>
      </c>
      <c r="R506" s="32">
        <v>0</v>
      </c>
      <c r="S506" s="32">
        <v>0</v>
      </c>
      <c r="T506" s="32">
        <v>0</v>
      </c>
      <c r="U506" s="32">
        <v>79894</v>
      </c>
      <c r="V506" s="32">
        <v>0</v>
      </c>
      <c r="W506" s="32">
        <v>2396.8199999999997</v>
      </c>
      <c r="X506" s="32">
        <v>77497.179999999993</v>
      </c>
      <c r="Y506" s="32">
        <v>77497.179999999993</v>
      </c>
      <c r="Z506" s="32">
        <v>0</v>
      </c>
      <c r="AA506" s="32">
        <v>-79894</v>
      </c>
      <c r="AB506" s="32">
        <v>0</v>
      </c>
      <c r="AC506" s="32" t="s">
        <v>475</v>
      </c>
      <c r="AD506" s="32"/>
      <c r="AE506" s="32">
        <v>0</v>
      </c>
    </row>
    <row r="507" spans="1:31" x14ac:dyDescent="0.25">
      <c r="A507">
        <v>9298</v>
      </c>
      <c r="B507" t="s">
        <v>187</v>
      </c>
      <c r="C507" t="s">
        <v>188</v>
      </c>
      <c r="D507" s="35">
        <v>123567.8</v>
      </c>
      <c r="E507">
        <v>1246103672</v>
      </c>
      <c r="F507" s="328">
        <v>45567</v>
      </c>
      <c r="H507" t="s">
        <v>173</v>
      </c>
      <c r="I507" t="s">
        <v>174</v>
      </c>
      <c r="J507">
        <v>1150</v>
      </c>
      <c r="K507" s="328">
        <v>45182</v>
      </c>
      <c r="L507">
        <v>1010100</v>
      </c>
      <c r="M507" t="s">
        <v>35</v>
      </c>
      <c r="N507">
        <v>545</v>
      </c>
      <c r="O507" s="32">
        <v>0</v>
      </c>
      <c r="P507" s="32">
        <v>0</v>
      </c>
      <c r="Q507" s="32">
        <v>0</v>
      </c>
      <c r="R507" s="32">
        <v>0</v>
      </c>
      <c r="S507" s="32">
        <v>0</v>
      </c>
      <c r="T507" s="32">
        <v>0</v>
      </c>
      <c r="U507" s="32">
        <v>123567.8</v>
      </c>
      <c r="V507" s="32">
        <v>0</v>
      </c>
      <c r="W507" s="32">
        <v>3707.0340000000001</v>
      </c>
      <c r="X507" s="32">
        <v>119860.766</v>
      </c>
      <c r="Y507" s="32">
        <v>119860.766</v>
      </c>
      <c r="Z507" s="32">
        <v>0</v>
      </c>
      <c r="AA507" s="32">
        <v>-123567.8</v>
      </c>
      <c r="AB507" s="32">
        <v>0</v>
      </c>
      <c r="AC507" s="32" t="s">
        <v>475</v>
      </c>
      <c r="AD507" s="32"/>
      <c r="AE507" s="32">
        <v>0</v>
      </c>
    </row>
    <row r="508" spans="1:31" x14ac:dyDescent="0.25">
      <c r="A508">
        <v>9298</v>
      </c>
      <c r="B508" t="s">
        <v>187</v>
      </c>
      <c r="C508" t="s">
        <v>188</v>
      </c>
      <c r="D508" s="35">
        <v>113355.6</v>
      </c>
      <c r="E508">
        <v>1246116199</v>
      </c>
      <c r="F508" s="328">
        <v>45561</v>
      </c>
      <c r="H508" t="s">
        <v>173</v>
      </c>
      <c r="I508" t="s">
        <v>174</v>
      </c>
      <c r="J508">
        <v>2054</v>
      </c>
      <c r="K508" s="328">
        <v>45252</v>
      </c>
      <c r="L508">
        <v>1010100</v>
      </c>
      <c r="M508" t="s">
        <v>35</v>
      </c>
      <c r="N508">
        <v>551</v>
      </c>
      <c r="O508" s="32">
        <v>0</v>
      </c>
      <c r="P508" s="32">
        <v>0</v>
      </c>
      <c r="Q508" s="32">
        <v>0</v>
      </c>
      <c r="R508" s="32">
        <v>0</v>
      </c>
      <c r="S508" s="32">
        <v>0</v>
      </c>
      <c r="T508" s="32">
        <v>0</v>
      </c>
      <c r="U508" s="32">
        <v>113355.6</v>
      </c>
      <c r="V508" s="32">
        <v>0</v>
      </c>
      <c r="W508" s="32">
        <v>3400.6680000000001</v>
      </c>
      <c r="X508" s="32">
        <v>109954.932</v>
      </c>
      <c r="Y508" s="32">
        <v>109954.932</v>
      </c>
      <c r="Z508" s="32">
        <v>0</v>
      </c>
      <c r="AA508" s="32">
        <v>-113355.6</v>
      </c>
      <c r="AB508" s="32">
        <v>0</v>
      </c>
      <c r="AC508" s="32" t="s">
        <v>475</v>
      </c>
      <c r="AD508" s="32"/>
      <c r="AE508" s="32">
        <v>0</v>
      </c>
    </row>
    <row r="509" spans="1:31" x14ac:dyDescent="0.25">
      <c r="A509">
        <v>9298</v>
      </c>
      <c r="B509" t="s">
        <v>187</v>
      </c>
      <c r="C509" t="s">
        <v>188</v>
      </c>
      <c r="D509" s="35">
        <v>143583.76</v>
      </c>
      <c r="E509">
        <v>1246106222</v>
      </c>
      <c r="F509" s="328">
        <v>45560</v>
      </c>
      <c r="H509" t="s">
        <v>173</v>
      </c>
      <c r="I509" t="s">
        <v>174</v>
      </c>
      <c r="J509">
        <v>1341</v>
      </c>
      <c r="K509" s="328">
        <v>45195</v>
      </c>
      <c r="L509">
        <v>1010100</v>
      </c>
      <c r="M509" t="s">
        <v>35</v>
      </c>
      <c r="N509">
        <v>552</v>
      </c>
      <c r="O509" s="32">
        <v>0</v>
      </c>
      <c r="P509" s="32">
        <v>0</v>
      </c>
      <c r="Q509" s="32">
        <v>0</v>
      </c>
      <c r="R509" s="32">
        <v>0</v>
      </c>
      <c r="S509" s="32">
        <v>0</v>
      </c>
      <c r="T509" s="32">
        <v>0</v>
      </c>
      <c r="U509" s="32">
        <v>143583.76</v>
      </c>
      <c r="V509" s="32">
        <v>0</v>
      </c>
      <c r="W509" s="32">
        <v>4307.5128000000004</v>
      </c>
      <c r="X509" s="32">
        <v>139276.24720000001</v>
      </c>
      <c r="Y509" s="32">
        <v>139276.24720000001</v>
      </c>
      <c r="Z509" s="32">
        <v>0</v>
      </c>
      <c r="AA509" s="32">
        <v>-143583.76</v>
      </c>
      <c r="AB509" s="32">
        <v>0</v>
      </c>
      <c r="AC509" s="32" t="s">
        <v>475</v>
      </c>
      <c r="AD509" s="32"/>
      <c r="AE509" s="32">
        <v>0</v>
      </c>
    </row>
    <row r="510" spans="1:31" x14ac:dyDescent="0.25">
      <c r="A510">
        <v>9298</v>
      </c>
      <c r="B510" t="s">
        <v>187</v>
      </c>
      <c r="C510" t="s">
        <v>188</v>
      </c>
      <c r="D510" s="35">
        <v>55612.2</v>
      </c>
      <c r="E510">
        <v>1246104999</v>
      </c>
      <c r="F510" s="328">
        <v>45555</v>
      </c>
      <c r="H510" t="s">
        <v>173</v>
      </c>
      <c r="I510" t="s">
        <v>174</v>
      </c>
      <c r="J510">
        <v>1249</v>
      </c>
      <c r="K510" s="328">
        <v>45189</v>
      </c>
      <c r="L510">
        <v>1010100</v>
      </c>
      <c r="M510" t="s">
        <v>35</v>
      </c>
      <c r="N510">
        <v>557</v>
      </c>
      <c r="O510" s="32">
        <v>0</v>
      </c>
      <c r="P510" s="32">
        <v>0</v>
      </c>
      <c r="Q510" s="32">
        <v>0</v>
      </c>
      <c r="R510" s="32">
        <v>0</v>
      </c>
      <c r="S510" s="32">
        <v>0</v>
      </c>
      <c r="T510" s="32">
        <v>0</v>
      </c>
      <c r="U510" s="32">
        <v>55612.2</v>
      </c>
      <c r="V510" s="32">
        <v>0</v>
      </c>
      <c r="W510" s="32">
        <v>1668.3659999999998</v>
      </c>
      <c r="X510" s="32">
        <v>53943.833999999995</v>
      </c>
      <c r="Y510" s="32">
        <v>53943.833999999995</v>
      </c>
      <c r="Z510" s="32">
        <v>0</v>
      </c>
      <c r="AA510" s="32">
        <v>-55612.2</v>
      </c>
      <c r="AB510" s="32">
        <v>0</v>
      </c>
      <c r="AC510" s="32" t="s">
        <v>475</v>
      </c>
      <c r="AD510" s="32"/>
      <c r="AE510" s="32">
        <v>0</v>
      </c>
    </row>
    <row r="511" spans="1:31" x14ac:dyDescent="0.25">
      <c r="A511">
        <v>9298</v>
      </c>
      <c r="B511" t="s">
        <v>187</v>
      </c>
      <c r="C511" t="s">
        <v>188</v>
      </c>
      <c r="D511" s="35">
        <v>64234.84</v>
      </c>
      <c r="E511">
        <v>1246115394</v>
      </c>
      <c r="F511" s="328">
        <v>45555</v>
      </c>
      <c r="H511" t="s">
        <v>173</v>
      </c>
      <c r="I511" t="s">
        <v>174</v>
      </c>
      <c r="J511">
        <v>1991</v>
      </c>
      <c r="K511" s="328">
        <v>45246</v>
      </c>
      <c r="L511">
        <v>1010100</v>
      </c>
      <c r="M511" t="s">
        <v>35</v>
      </c>
      <c r="N511">
        <v>557</v>
      </c>
      <c r="O511" s="32">
        <v>0</v>
      </c>
      <c r="P511" s="32">
        <v>0</v>
      </c>
      <c r="Q511" s="32">
        <v>0</v>
      </c>
      <c r="R511" s="32">
        <v>0</v>
      </c>
      <c r="S511" s="32">
        <v>0</v>
      </c>
      <c r="T511" s="32">
        <v>0</v>
      </c>
      <c r="U511" s="32">
        <v>64234.84</v>
      </c>
      <c r="V511" s="32">
        <v>0</v>
      </c>
      <c r="W511" s="32">
        <v>1927.0451999999998</v>
      </c>
      <c r="X511" s="32">
        <v>62307.794799999996</v>
      </c>
      <c r="Y511" s="32">
        <v>62307.794799999996</v>
      </c>
      <c r="Z511" s="32">
        <v>0</v>
      </c>
      <c r="AA511" s="32">
        <v>-64234.84</v>
      </c>
      <c r="AB511" s="32">
        <v>0</v>
      </c>
      <c r="AC511" s="32" t="s">
        <v>475</v>
      </c>
      <c r="AD511" s="32"/>
      <c r="AE511" s="32">
        <v>0</v>
      </c>
    </row>
    <row r="512" spans="1:31" x14ac:dyDescent="0.25">
      <c r="A512">
        <v>9298</v>
      </c>
      <c r="B512" t="s">
        <v>187</v>
      </c>
      <c r="C512" t="s">
        <v>188</v>
      </c>
      <c r="D512" s="35">
        <v>54534.2</v>
      </c>
      <c r="E512">
        <v>1246115392</v>
      </c>
      <c r="F512" s="328">
        <v>45555</v>
      </c>
      <c r="H512" t="s">
        <v>173</v>
      </c>
      <c r="I512" t="s">
        <v>174</v>
      </c>
      <c r="J512">
        <v>1990</v>
      </c>
      <c r="K512" s="328">
        <v>45246</v>
      </c>
      <c r="L512">
        <v>1010100</v>
      </c>
      <c r="M512" t="s">
        <v>35</v>
      </c>
      <c r="N512">
        <v>557</v>
      </c>
      <c r="O512" s="32">
        <v>0</v>
      </c>
      <c r="P512" s="32">
        <v>0</v>
      </c>
      <c r="Q512" s="32">
        <v>0</v>
      </c>
      <c r="R512" s="32">
        <v>0</v>
      </c>
      <c r="S512" s="32">
        <v>0</v>
      </c>
      <c r="T512" s="32">
        <v>0</v>
      </c>
      <c r="U512" s="32">
        <v>54534.2</v>
      </c>
      <c r="V512" s="32">
        <v>0</v>
      </c>
      <c r="W512" s="32">
        <v>1636.0259999999998</v>
      </c>
      <c r="X512" s="32">
        <v>52898.173999999999</v>
      </c>
      <c r="Y512" s="32">
        <v>52898.173999999999</v>
      </c>
      <c r="Z512" s="32">
        <v>0</v>
      </c>
      <c r="AA512" s="32">
        <v>-54534.2</v>
      </c>
      <c r="AB512" s="32">
        <v>0</v>
      </c>
      <c r="AC512" s="32" t="s">
        <v>475</v>
      </c>
      <c r="AD512" s="32"/>
      <c r="AE512" s="32">
        <v>0</v>
      </c>
    </row>
    <row r="513" spans="1:31" x14ac:dyDescent="0.25">
      <c r="A513">
        <v>9298</v>
      </c>
      <c r="B513" t="s">
        <v>187</v>
      </c>
      <c r="C513" t="s">
        <v>188</v>
      </c>
      <c r="D513" s="35">
        <v>139293.64000000001</v>
      </c>
      <c r="E513">
        <v>1246105902</v>
      </c>
      <c r="F513" s="328">
        <v>45559</v>
      </c>
      <c r="H513" t="s">
        <v>173</v>
      </c>
      <c r="I513" t="s">
        <v>174</v>
      </c>
      <c r="J513">
        <v>1319</v>
      </c>
      <c r="K513" s="328">
        <v>45194</v>
      </c>
      <c r="L513">
        <v>1010100</v>
      </c>
      <c r="M513" t="s">
        <v>35</v>
      </c>
      <c r="N513">
        <v>553</v>
      </c>
      <c r="O513" s="32">
        <v>0</v>
      </c>
      <c r="P513" s="32">
        <v>0</v>
      </c>
      <c r="Q513" s="32">
        <v>0</v>
      </c>
      <c r="R513" s="32">
        <v>0</v>
      </c>
      <c r="S513" s="32">
        <v>0</v>
      </c>
      <c r="T513" s="32">
        <v>0</v>
      </c>
      <c r="U513" s="32">
        <v>139293.64000000001</v>
      </c>
      <c r="V513" s="32">
        <v>0</v>
      </c>
      <c r="W513" s="32">
        <v>4178.8092000000006</v>
      </c>
      <c r="X513" s="32">
        <v>135114.8308</v>
      </c>
      <c r="Y513" s="32">
        <v>135114.8308</v>
      </c>
      <c r="Z513" s="32">
        <v>0</v>
      </c>
      <c r="AA513" s="32">
        <v>-139293.64000000001</v>
      </c>
      <c r="AB513" s="32">
        <v>0</v>
      </c>
      <c r="AC513" s="32" t="s">
        <v>475</v>
      </c>
      <c r="AD513" s="32"/>
      <c r="AE513" s="32">
        <v>0</v>
      </c>
    </row>
    <row r="514" spans="1:31" x14ac:dyDescent="0.25">
      <c r="A514">
        <v>9298</v>
      </c>
      <c r="B514" t="s">
        <v>187</v>
      </c>
      <c r="C514" t="s">
        <v>188</v>
      </c>
      <c r="D514" s="35">
        <v>68013.36</v>
      </c>
      <c r="E514">
        <v>1246114866</v>
      </c>
      <c r="F514" s="328">
        <v>45555</v>
      </c>
      <c r="H514" t="s">
        <v>173</v>
      </c>
      <c r="I514" t="s">
        <v>174</v>
      </c>
      <c r="J514">
        <v>1952</v>
      </c>
      <c r="K514" s="328">
        <v>45243</v>
      </c>
      <c r="L514">
        <v>1010100</v>
      </c>
      <c r="M514" t="s">
        <v>35</v>
      </c>
      <c r="N514">
        <v>557</v>
      </c>
      <c r="O514" s="32">
        <v>0</v>
      </c>
      <c r="P514" s="32">
        <v>0</v>
      </c>
      <c r="Q514" s="32">
        <v>0</v>
      </c>
      <c r="R514" s="32">
        <v>0</v>
      </c>
      <c r="S514" s="32">
        <v>0</v>
      </c>
      <c r="T514" s="32">
        <v>0</v>
      </c>
      <c r="U514" s="32">
        <v>68013.36</v>
      </c>
      <c r="V514" s="32">
        <v>0</v>
      </c>
      <c r="W514" s="32">
        <v>2040.4007999999999</v>
      </c>
      <c r="X514" s="32">
        <v>65972.959199999998</v>
      </c>
      <c r="Y514" s="32">
        <v>65972.959199999998</v>
      </c>
      <c r="Z514" s="32">
        <v>0</v>
      </c>
      <c r="AA514" s="32">
        <v>-68013.36</v>
      </c>
      <c r="AB514" s="32">
        <v>0</v>
      </c>
      <c r="AC514" s="32" t="s">
        <v>475</v>
      </c>
      <c r="AD514" s="32"/>
      <c r="AE514" s="32">
        <v>0</v>
      </c>
    </row>
    <row r="515" spans="1:31" x14ac:dyDescent="0.25">
      <c r="A515">
        <v>9298</v>
      </c>
      <c r="B515" t="s">
        <v>187</v>
      </c>
      <c r="C515" t="s">
        <v>188</v>
      </c>
      <c r="D515" s="35">
        <v>55611.199999999997</v>
      </c>
      <c r="E515">
        <v>1246167304</v>
      </c>
      <c r="F515" s="328">
        <v>45555</v>
      </c>
      <c r="H515" t="s">
        <v>173</v>
      </c>
      <c r="I515" t="s">
        <v>174</v>
      </c>
      <c r="J515">
        <v>1244</v>
      </c>
      <c r="K515" s="328">
        <v>45189</v>
      </c>
      <c r="L515">
        <v>1010100</v>
      </c>
      <c r="M515" t="s">
        <v>35</v>
      </c>
      <c r="N515">
        <v>557</v>
      </c>
      <c r="O515" s="32">
        <v>0</v>
      </c>
      <c r="P515" s="32">
        <v>0</v>
      </c>
      <c r="Q515" s="32">
        <v>0</v>
      </c>
      <c r="R515" s="32">
        <v>0</v>
      </c>
      <c r="S515" s="32">
        <v>0</v>
      </c>
      <c r="T515" s="32">
        <v>0</v>
      </c>
      <c r="U515" s="32">
        <v>55611.199999999997</v>
      </c>
      <c r="V515" s="32">
        <v>0</v>
      </c>
      <c r="W515" s="32">
        <v>1668.3359999999998</v>
      </c>
      <c r="X515" s="32">
        <v>53942.863999999994</v>
      </c>
      <c r="Y515" s="32">
        <v>53942.863999999994</v>
      </c>
      <c r="Z515" s="32">
        <v>0</v>
      </c>
      <c r="AA515" s="32">
        <v>-55611.199999999997</v>
      </c>
      <c r="AB515" s="32">
        <v>0</v>
      </c>
      <c r="AC515" s="32" t="s">
        <v>475</v>
      </c>
      <c r="AD515" s="32"/>
      <c r="AE515" s="32">
        <v>0</v>
      </c>
    </row>
    <row r="516" spans="1:31" x14ac:dyDescent="0.25">
      <c r="A516">
        <v>9298</v>
      </c>
      <c r="B516" t="s">
        <v>187</v>
      </c>
      <c r="C516" t="s">
        <v>188</v>
      </c>
      <c r="D516" s="35">
        <v>104546.96</v>
      </c>
      <c r="E516">
        <v>1246244742</v>
      </c>
      <c r="F516" s="328">
        <v>45555</v>
      </c>
      <c r="H516" t="s">
        <v>173</v>
      </c>
      <c r="I516" t="s">
        <v>174</v>
      </c>
      <c r="J516">
        <v>20726</v>
      </c>
      <c r="K516" s="328">
        <v>44979</v>
      </c>
      <c r="L516">
        <v>1010100</v>
      </c>
      <c r="M516" t="s">
        <v>35</v>
      </c>
      <c r="N516">
        <v>557</v>
      </c>
      <c r="O516" s="32">
        <v>0</v>
      </c>
      <c r="P516" s="32">
        <v>0</v>
      </c>
      <c r="Q516" s="32">
        <v>0</v>
      </c>
      <c r="R516" s="32">
        <v>0</v>
      </c>
      <c r="S516" s="32">
        <v>0</v>
      </c>
      <c r="T516" s="32">
        <v>0</v>
      </c>
      <c r="U516" s="32">
        <v>104546.96</v>
      </c>
      <c r="V516" s="32">
        <v>0</v>
      </c>
      <c r="W516" s="32">
        <v>3136.4088000000002</v>
      </c>
      <c r="X516" s="32">
        <v>101410.5512</v>
      </c>
      <c r="Y516" s="32">
        <v>101410.5512</v>
      </c>
      <c r="Z516" s="32">
        <v>0</v>
      </c>
      <c r="AA516" s="32">
        <v>-104546.96</v>
      </c>
      <c r="AB516" s="32">
        <v>0</v>
      </c>
      <c r="AC516" s="32" t="s">
        <v>475</v>
      </c>
      <c r="AD516" s="32"/>
      <c r="AE516" s="32">
        <v>0</v>
      </c>
    </row>
    <row r="517" spans="1:31" x14ac:dyDescent="0.25">
      <c r="A517">
        <v>10454</v>
      </c>
      <c r="B517" t="s">
        <v>195</v>
      </c>
      <c r="C517" t="s">
        <v>196</v>
      </c>
      <c r="D517" s="35">
        <v>144418.20000000001</v>
      </c>
      <c r="E517">
        <v>1246051128</v>
      </c>
      <c r="F517" s="328">
        <v>45229</v>
      </c>
      <c r="H517" t="s">
        <v>173</v>
      </c>
      <c r="I517" t="s">
        <v>174</v>
      </c>
      <c r="J517">
        <v>19700</v>
      </c>
      <c r="K517" s="328">
        <v>44860</v>
      </c>
      <c r="L517">
        <v>1010100</v>
      </c>
      <c r="M517" t="s">
        <v>35</v>
      </c>
      <c r="N517">
        <v>883</v>
      </c>
      <c r="O517" s="32">
        <v>0</v>
      </c>
      <c r="P517" s="32">
        <v>144418.20000000001</v>
      </c>
      <c r="Q517" s="32">
        <v>0</v>
      </c>
      <c r="R517" s="32">
        <v>0</v>
      </c>
      <c r="S517" s="32">
        <v>0</v>
      </c>
      <c r="T517" s="32">
        <v>0</v>
      </c>
      <c r="U517" s="32">
        <v>144418.20000000001</v>
      </c>
      <c r="V517" s="32">
        <v>0</v>
      </c>
      <c r="W517" s="32">
        <v>4332.5460000000003</v>
      </c>
      <c r="X517" s="32">
        <v>140085.65400000001</v>
      </c>
      <c r="Y517" s="32">
        <v>140085.65400000001</v>
      </c>
      <c r="Z517" s="32">
        <v>0</v>
      </c>
      <c r="AA517" s="32">
        <v>0</v>
      </c>
      <c r="AB517" s="32">
        <v>144418.20000000001</v>
      </c>
      <c r="AC517" s="32" t="s">
        <v>475</v>
      </c>
      <c r="AD517" s="32"/>
      <c r="AE517" s="32">
        <v>0</v>
      </c>
    </row>
    <row r="518" spans="1:31" x14ac:dyDescent="0.25">
      <c r="A518">
        <v>10454</v>
      </c>
      <c r="B518" t="s">
        <v>195</v>
      </c>
      <c r="C518" t="s">
        <v>196</v>
      </c>
      <c r="D518" s="35">
        <v>144418.20000000001</v>
      </c>
      <c r="E518">
        <v>1246049220</v>
      </c>
      <c r="F518" s="328">
        <v>45229</v>
      </c>
      <c r="H518" t="s">
        <v>173</v>
      </c>
      <c r="I518" t="s">
        <v>174</v>
      </c>
      <c r="J518">
        <v>19589</v>
      </c>
      <c r="K518" s="328">
        <v>44852</v>
      </c>
      <c r="L518">
        <v>1010100</v>
      </c>
      <c r="M518" t="s">
        <v>35</v>
      </c>
      <c r="N518">
        <v>883</v>
      </c>
      <c r="O518" s="32">
        <v>0</v>
      </c>
      <c r="P518" s="32">
        <v>144418.20000000001</v>
      </c>
      <c r="Q518" s="32">
        <v>0</v>
      </c>
      <c r="R518" s="32">
        <v>0</v>
      </c>
      <c r="S518" s="32">
        <v>0</v>
      </c>
      <c r="T518" s="32">
        <v>0</v>
      </c>
      <c r="U518" s="32">
        <v>144418.20000000001</v>
      </c>
      <c r="V518" s="32">
        <v>0</v>
      </c>
      <c r="W518" s="32">
        <v>4332.5460000000003</v>
      </c>
      <c r="X518" s="32">
        <v>140085.65400000001</v>
      </c>
      <c r="Y518" s="32">
        <v>140085.65400000001</v>
      </c>
      <c r="Z518" s="32">
        <v>0</v>
      </c>
      <c r="AA518" s="32">
        <v>0</v>
      </c>
      <c r="AB518" s="32">
        <v>144418.20000000001</v>
      </c>
      <c r="AC518" s="32" t="s">
        <v>475</v>
      </c>
      <c r="AD518" s="32"/>
      <c r="AE518" s="32">
        <v>0</v>
      </c>
    </row>
    <row r="519" spans="1:31" x14ac:dyDescent="0.25">
      <c r="A519">
        <v>10454</v>
      </c>
      <c r="B519" t="s">
        <v>195</v>
      </c>
      <c r="C519" t="s">
        <v>196</v>
      </c>
      <c r="D519" s="35">
        <v>149099.07999999999</v>
      </c>
      <c r="E519">
        <v>1246058414</v>
      </c>
      <c r="F519" s="328">
        <v>45229</v>
      </c>
      <c r="H519" t="s">
        <v>173</v>
      </c>
      <c r="I519" t="s">
        <v>174</v>
      </c>
      <c r="J519">
        <v>20191</v>
      </c>
      <c r="K519" s="328">
        <v>44909</v>
      </c>
      <c r="L519">
        <v>1010100</v>
      </c>
      <c r="M519" t="s">
        <v>35</v>
      </c>
      <c r="N519">
        <v>883</v>
      </c>
      <c r="O519" s="32">
        <v>0</v>
      </c>
      <c r="P519" s="32">
        <v>149099.07999999999</v>
      </c>
      <c r="Q519" s="32">
        <v>0</v>
      </c>
      <c r="R519" s="32">
        <v>0</v>
      </c>
      <c r="S519" s="32">
        <v>0</v>
      </c>
      <c r="T519" s="32">
        <v>0</v>
      </c>
      <c r="U519" s="32">
        <v>149099.07999999999</v>
      </c>
      <c r="V519" s="32">
        <v>0</v>
      </c>
      <c r="W519" s="32">
        <v>4472.9723999999997</v>
      </c>
      <c r="X519" s="32">
        <v>144626.10759999999</v>
      </c>
      <c r="Y519" s="32">
        <v>144626.10759999999</v>
      </c>
      <c r="Z519" s="32">
        <v>0</v>
      </c>
      <c r="AA519" s="32">
        <v>0</v>
      </c>
      <c r="AB519" s="32">
        <v>149099.07999999999</v>
      </c>
      <c r="AC519" s="32" t="s">
        <v>475</v>
      </c>
      <c r="AD519" s="32"/>
      <c r="AE519" s="32">
        <v>0</v>
      </c>
    </row>
    <row r="520" spans="1:31" x14ac:dyDescent="0.25">
      <c r="A520">
        <v>10454</v>
      </c>
      <c r="B520" t="s">
        <v>195</v>
      </c>
      <c r="C520" t="s">
        <v>196</v>
      </c>
      <c r="D520" s="35">
        <v>151022.07999999999</v>
      </c>
      <c r="E520">
        <v>1246066481</v>
      </c>
      <c r="F520" s="328">
        <v>45229</v>
      </c>
      <c r="H520" t="s">
        <v>173</v>
      </c>
      <c r="I520" t="s">
        <v>174</v>
      </c>
      <c r="J520">
        <v>20644</v>
      </c>
      <c r="K520" s="328">
        <v>44965</v>
      </c>
      <c r="L520">
        <v>1010100</v>
      </c>
      <c r="M520" t="s">
        <v>35</v>
      </c>
      <c r="N520">
        <v>883</v>
      </c>
      <c r="O520" s="32">
        <v>0</v>
      </c>
      <c r="P520" s="32">
        <v>151022.07999999999</v>
      </c>
      <c r="Q520" s="32">
        <v>0</v>
      </c>
      <c r="R520" s="32">
        <v>0</v>
      </c>
      <c r="S520" s="32">
        <v>0</v>
      </c>
      <c r="T520" s="32">
        <v>0</v>
      </c>
      <c r="U520" s="32">
        <v>151022.07999999999</v>
      </c>
      <c r="V520" s="32">
        <v>0</v>
      </c>
      <c r="W520" s="32">
        <v>4530.6623999999993</v>
      </c>
      <c r="X520" s="32">
        <v>146491.41759999999</v>
      </c>
      <c r="Y520" s="32">
        <v>146491.41759999999</v>
      </c>
      <c r="Z520" s="32">
        <v>0</v>
      </c>
      <c r="AA520" s="32">
        <v>0</v>
      </c>
      <c r="AB520" s="32">
        <v>151022.07999999999</v>
      </c>
      <c r="AC520" s="32" t="s">
        <v>475</v>
      </c>
      <c r="AD520" s="32"/>
      <c r="AE520" s="32">
        <v>0</v>
      </c>
    </row>
    <row r="521" spans="1:31" x14ac:dyDescent="0.25">
      <c r="A521">
        <v>10454</v>
      </c>
      <c r="B521" t="s">
        <v>195</v>
      </c>
      <c r="C521" t="s">
        <v>196</v>
      </c>
      <c r="D521" s="35">
        <v>248498.47</v>
      </c>
      <c r="E521">
        <v>1246058556</v>
      </c>
      <c r="F521" s="328">
        <v>45229</v>
      </c>
      <c r="H521" t="s">
        <v>173</v>
      </c>
      <c r="I521" t="s">
        <v>174</v>
      </c>
      <c r="J521">
        <v>20197</v>
      </c>
      <c r="K521" s="328">
        <v>44909</v>
      </c>
      <c r="L521">
        <v>1010100</v>
      </c>
      <c r="M521" t="s">
        <v>35</v>
      </c>
      <c r="N521">
        <v>883</v>
      </c>
      <c r="O521" s="32">
        <v>0</v>
      </c>
      <c r="P521" s="32">
        <v>248498.47</v>
      </c>
      <c r="Q521" s="32">
        <v>0</v>
      </c>
      <c r="R521" s="32">
        <v>0</v>
      </c>
      <c r="S521" s="32">
        <v>0</v>
      </c>
      <c r="T521" s="32">
        <v>0</v>
      </c>
      <c r="U521" s="32">
        <v>248498.47</v>
      </c>
      <c r="V521" s="32">
        <v>0</v>
      </c>
      <c r="W521" s="32">
        <v>7454.9540999999999</v>
      </c>
      <c r="X521" s="32">
        <v>241043.5159</v>
      </c>
      <c r="Y521" s="32">
        <v>241043.5159</v>
      </c>
      <c r="Z521" s="32">
        <v>0</v>
      </c>
      <c r="AA521" s="32">
        <v>0</v>
      </c>
      <c r="AB521" s="32">
        <v>248498.47</v>
      </c>
      <c r="AC521" s="32" t="s">
        <v>475</v>
      </c>
      <c r="AD521" s="32"/>
      <c r="AE521" s="32">
        <v>0</v>
      </c>
    </row>
    <row r="522" spans="1:31" x14ac:dyDescent="0.25">
      <c r="A522">
        <v>10454</v>
      </c>
      <c r="B522" t="s">
        <v>195</v>
      </c>
      <c r="C522" t="s">
        <v>196</v>
      </c>
      <c r="D522" s="35">
        <v>122816.13</v>
      </c>
      <c r="E522">
        <v>1246065495</v>
      </c>
      <c r="F522" s="328">
        <v>45229</v>
      </c>
      <c r="H522" t="s">
        <v>173</v>
      </c>
      <c r="I522" t="s">
        <v>174</v>
      </c>
      <c r="J522">
        <v>20599</v>
      </c>
      <c r="K522" s="328">
        <v>44958</v>
      </c>
      <c r="L522">
        <v>1010100</v>
      </c>
      <c r="M522" t="s">
        <v>35</v>
      </c>
      <c r="N522">
        <v>883</v>
      </c>
      <c r="O522" s="32">
        <v>0</v>
      </c>
      <c r="P522" s="32">
        <v>122816.13</v>
      </c>
      <c r="Q522" s="32">
        <v>0</v>
      </c>
      <c r="R522" s="32">
        <v>0</v>
      </c>
      <c r="S522" s="32">
        <v>0</v>
      </c>
      <c r="T522" s="32">
        <v>0</v>
      </c>
      <c r="U522" s="32">
        <v>122816.13</v>
      </c>
      <c r="V522" s="32">
        <v>0</v>
      </c>
      <c r="W522" s="32">
        <v>3684.4839000000002</v>
      </c>
      <c r="X522" s="32">
        <v>119131.6461</v>
      </c>
      <c r="Y522" s="32">
        <v>119131.6461</v>
      </c>
      <c r="Z522" s="32">
        <v>0</v>
      </c>
      <c r="AA522" s="32">
        <v>0</v>
      </c>
      <c r="AB522" s="32">
        <v>122816.13</v>
      </c>
      <c r="AC522" s="32" t="s">
        <v>475</v>
      </c>
      <c r="AD522" s="32"/>
      <c r="AE522" s="32">
        <v>0</v>
      </c>
    </row>
    <row r="523" spans="1:31" x14ac:dyDescent="0.25">
      <c r="A523">
        <v>10454</v>
      </c>
      <c r="B523" t="s">
        <v>195</v>
      </c>
      <c r="C523" t="s">
        <v>196</v>
      </c>
      <c r="D523" s="35">
        <v>97567.15</v>
      </c>
      <c r="E523">
        <v>1246059110</v>
      </c>
      <c r="F523" s="328">
        <v>45229</v>
      </c>
      <c r="H523" t="s">
        <v>173</v>
      </c>
      <c r="I523" t="s">
        <v>174</v>
      </c>
      <c r="J523">
        <v>20229</v>
      </c>
      <c r="K523" s="328">
        <v>44911</v>
      </c>
      <c r="L523">
        <v>1010100</v>
      </c>
      <c r="M523" t="s">
        <v>35</v>
      </c>
      <c r="N523">
        <v>883</v>
      </c>
      <c r="O523" s="32">
        <v>0</v>
      </c>
      <c r="P523" s="32">
        <v>97567.15</v>
      </c>
      <c r="Q523" s="32">
        <v>0</v>
      </c>
      <c r="R523" s="32">
        <v>0</v>
      </c>
      <c r="S523" s="32">
        <v>0</v>
      </c>
      <c r="T523" s="32">
        <v>0</v>
      </c>
      <c r="U523" s="32">
        <v>97567.15</v>
      </c>
      <c r="V523" s="32">
        <v>0</v>
      </c>
      <c r="W523" s="32">
        <v>2927.0144999999998</v>
      </c>
      <c r="X523" s="32">
        <v>94640.135499999989</v>
      </c>
      <c r="Y523" s="32">
        <v>94640.135499999989</v>
      </c>
      <c r="Z523" s="32">
        <v>0</v>
      </c>
      <c r="AA523" s="32">
        <v>0</v>
      </c>
      <c r="AB523" s="32">
        <v>97567.15</v>
      </c>
      <c r="AC523" s="32" t="s">
        <v>475</v>
      </c>
      <c r="AD523" s="32"/>
      <c r="AE523" s="32">
        <v>0</v>
      </c>
    </row>
    <row r="524" spans="1:31" x14ac:dyDescent="0.25">
      <c r="A524">
        <v>10454</v>
      </c>
      <c r="B524" t="s">
        <v>195</v>
      </c>
      <c r="C524" t="s">
        <v>196</v>
      </c>
      <c r="D524" s="35">
        <v>145199.79999999999</v>
      </c>
      <c r="E524">
        <v>1246057926</v>
      </c>
      <c r="F524" s="328">
        <v>45229</v>
      </c>
      <c r="H524" t="s">
        <v>173</v>
      </c>
      <c r="I524" t="s">
        <v>174</v>
      </c>
      <c r="J524">
        <v>20177</v>
      </c>
      <c r="K524" s="328">
        <v>44907</v>
      </c>
      <c r="L524">
        <v>1010100</v>
      </c>
      <c r="M524" t="s">
        <v>35</v>
      </c>
      <c r="N524">
        <v>883</v>
      </c>
      <c r="O524" s="32">
        <v>0</v>
      </c>
      <c r="P524" s="32">
        <v>145199.79999999999</v>
      </c>
      <c r="Q524" s="32">
        <v>0</v>
      </c>
      <c r="R524" s="32">
        <v>0</v>
      </c>
      <c r="S524" s="32">
        <v>0</v>
      </c>
      <c r="T524" s="32">
        <v>0</v>
      </c>
      <c r="U524" s="32">
        <v>145199.79999999999</v>
      </c>
      <c r="V524" s="32">
        <v>0</v>
      </c>
      <c r="W524" s="32">
        <v>4355.9939999999997</v>
      </c>
      <c r="X524" s="32">
        <v>140843.80599999998</v>
      </c>
      <c r="Y524" s="32">
        <v>140843.80599999998</v>
      </c>
      <c r="Z524" s="32">
        <v>0</v>
      </c>
      <c r="AA524" s="32">
        <v>0</v>
      </c>
      <c r="AB524" s="32">
        <v>145199.79999999999</v>
      </c>
      <c r="AC524" s="32" t="s">
        <v>475</v>
      </c>
      <c r="AD524" s="32"/>
      <c r="AE524" s="32">
        <v>0</v>
      </c>
    </row>
    <row r="525" spans="1:31" x14ac:dyDescent="0.25">
      <c r="A525">
        <v>10454</v>
      </c>
      <c r="B525" t="s">
        <v>195</v>
      </c>
      <c r="C525" t="s">
        <v>196</v>
      </c>
      <c r="D525" s="35">
        <v>85824.21</v>
      </c>
      <c r="E525">
        <v>1246058924</v>
      </c>
      <c r="F525" s="328">
        <v>45229</v>
      </c>
      <c r="H525" t="s">
        <v>173</v>
      </c>
      <c r="I525" t="s">
        <v>174</v>
      </c>
      <c r="J525">
        <v>20209</v>
      </c>
      <c r="K525" s="328">
        <v>44910</v>
      </c>
      <c r="L525">
        <v>1010100</v>
      </c>
      <c r="M525" t="s">
        <v>35</v>
      </c>
      <c r="N525">
        <v>883</v>
      </c>
      <c r="O525" s="32">
        <v>0</v>
      </c>
      <c r="P525" s="32">
        <v>85824.209999999992</v>
      </c>
      <c r="Q525" s="32">
        <v>0</v>
      </c>
      <c r="R525" s="32">
        <v>0</v>
      </c>
      <c r="S525" s="32">
        <v>0</v>
      </c>
      <c r="T525" s="32">
        <v>0</v>
      </c>
      <c r="U525" s="32">
        <v>85824.21</v>
      </c>
      <c r="V525" s="32">
        <v>0</v>
      </c>
      <c r="W525" s="32">
        <v>2574.7263000000003</v>
      </c>
      <c r="X525" s="32">
        <v>83249.483699999997</v>
      </c>
      <c r="Y525" s="32">
        <v>83249.483699999997</v>
      </c>
      <c r="Z525" s="32">
        <v>0</v>
      </c>
      <c r="AA525" s="32">
        <v>0</v>
      </c>
      <c r="AB525" s="32">
        <v>85824.209999999992</v>
      </c>
      <c r="AC525" s="32" t="s">
        <v>475</v>
      </c>
      <c r="AD525" s="32"/>
      <c r="AE525" s="32">
        <v>0</v>
      </c>
    </row>
    <row r="526" spans="1:31" x14ac:dyDescent="0.25">
      <c r="A526">
        <v>10454</v>
      </c>
      <c r="B526" t="s">
        <v>195</v>
      </c>
      <c r="C526" t="s">
        <v>196</v>
      </c>
      <c r="D526" s="35">
        <v>154779.14000000001</v>
      </c>
      <c r="E526">
        <v>1246058289</v>
      </c>
      <c r="F526" s="328">
        <v>45229</v>
      </c>
      <c r="H526" t="s">
        <v>173</v>
      </c>
      <c r="I526" t="s">
        <v>174</v>
      </c>
      <c r="J526">
        <v>20187</v>
      </c>
      <c r="K526" s="328">
        <v>44908</v>
      </c>
      <c r="L526">
        <v>1010100</v>
      </c>
      <c r="M526" t="s">
        <v>35</v>
      </c>
      <c r="N526">
        <v>883</v>
      </c>
      <c r="O526" s="32">
        <v>0</v>
      </c>
      <c r="P526" s="32">
        <v>154779.14000000001</v>
      </c>
      <c r="Q526" s="32">
        <v>0</v>
      </c>
      <c r="R526" s="32">
        <v>0</v>
      </c>
      <c r="S526" s="32">
        <v>0</v>
      </c>
      <c r="T526" s="32">
        <v>0</v>
      </c>
      <c r="U526" s="32">
        <v>154779.14000000001</v>
      </c>
      <c r="V526" s="32">
        <v>0</v>
      </c>
      <c r="W526" s="32">
        <v>4643.3742000000002</v>
      </c>
      <c r="X526" s="32">
        <v>150135.76580000002</v>
      </c>
      <c r="Y526" s="32">
        <v>150135.76580000002</v>
      </c>
      <c r="Z526" s="32">
        <v>0</v>
      </c>
      <c r="AA526" s="32">
        <v>0</v>
      </c>
      <c r="AB526" s="32">
        <v>154779.14000000001</v>
      </c>
      <c r="AC526" s="32" t="s">
        <v>475</v>
      </c>
      <c r="AD526" s="32"/>
      <c r="AE526" s="32">
        <v>0</v>
      </c>
    </row>
    <row r="527" spans="1:31" x14ac:dyDescent="0.25">
      <c r="A527">
        <v>10454</v>
      </c>
      <c r="B527" t="s">
        <v>195</v>
      </c>
      <c r="C527" t="s">
        <v>196</v>
      </c>
      <c r="D527" s="35">
        <v>166124.28999999998</v>
      </c>
      <c r="E527">
        <v>1246066059</v>
      </c>
      <c r="F527" s="328">
        <v>45229</v>
      </c>
      <c r="H527" t="s">
        <v>173</v>
      </c>
      <c r="I527" t="s">
        <v>174</v>
      </c>
      <c r="J527">
        <v>20622</v>
      </c>
      <c r="K527" s="328">
        <v>44963</v>
      </c>
      <c r="L527">
        <v>1010100</v>
      </c>
      <c r="M527" t="s">
        <v>35</v>
      </c>
      <c r="N527">
        <v>883</v>
      </c>
      <c r="O527" s="32">
        <v>0</v>
      </c>
      <c r="P527" s="32">
        <v>166124.28999999998</v>
      </c>
      <c r="Q527" s="32">
        <v>0</v>
      </c>
      <c r="R527" s="32">
        <v>0</v>
      </c>
      <c r="S527" s="32">
        <v>0</v>
      </c>
      <c r="T527" s="32">
        <v>0</v>
      </c>
      <c r="U527" s="32">
        <v>166124.28999999998</v>
      </c>
      <c r="V527" s="32">
        <v>0</v>
      </c>
      <c r="W527" s="32">
        <v>4983.7286999999988</v>
      </c>
      <c r="X527" s="32">
        <v>161140.56129999997</v>
      </c>
      <c r="Y527" s="32">
        <v>161140.56129999997</v>
      </c>
      <c r="Z527" s="32">
        <v>0</v>
      </c>
      <c r="AA527" s="32">
        <v>0</v>
      </c>
      <c r="AB527" s="32">
        <v>166124.28999999998</v>
      </c>
      <c r="AC527" s="32" t="s">
        <v>475</v>
      </c>
      <c r="AD527" s="32"/>
      <c r="AE527" s="32">
        <v>0</v>
      </c>
    </row>
    <row r="528" spans="1:31" x14ac:dyDescent="0.25">
      <c r="A528">
        <v>10454</v>
      </c>
      <c r="B528" t="s">
        <v>195</v>
      </c>
      <c r="C528" t="s">
        <v>196</v>
      </c>
      <c r="D528" s="35">
        <v>151240.47</v>
      </c>
      <c r="E528">
        <v>1246059634</v>
      </c>
      <c r="F528" s="328">
        <v>45229</v>
      </c>
      <c r="H528" t="s">
        <v>173</v>
      </c>
      <c r="I528" t="s">
        <v>174</v>
      </c>
      <c r="J528">
        <v>20268</v>
      </c>
      <c r="K528" s="328">
        <v>44916</v>
      </c>
      <c r="L528">
        <v>1010100</v>
      </c>
      <c r="M528" t="s">
        <v>35</v>
      </c>
      <c r="N528">
        <v>883</v>
      </c>
      <c r="O528" s="32">
        <v>0</v>
      </c>
      <c r="P528" s="32">
        <v>151240.47</v>
      </c>
      <c r="Q528" s="32">
        <v>0</v>
      </c>
      <c r="R528" s="32">
        <v>0</v>
      </c>
      <c r="S528" s="32">
        <v>0</v>
      </c>
      <c r="T528" s="32">
        <v>0</v>
      </c>
      <c r="U528" s="32">
        <v>151240.47</v>
      </c>
      <c r="V528" s="32">
        <v>0</v>
      </c>
      <c r="W528" s="32">
        <v>4537.2141000000001</v>
      </c>
      <c r="X528" s="32">
        <v>146703.25589999999</v>
      </c>
      <c r="Y528" s="32">
        <v>146703.25589999999</v>
      </c>
      <c r="Z528" s="32">
        <v>0</v>
      </c>
      <c r="AA528" s="32">
        <v>0</v>
      </c>
      <c r="AB528" s="32">
        <v>151240.47</v>
      </c>
      <c r="AC528" s="32" t="s">
        <v>475</v>
      </c>
      <c r="AD528" s="32"/>
      <c r="AE528" s="32">
        <v>0</v>
      </c>
    </row>
    <row r="529" spans="1:31" x14ac:dyDescent="0.25">
      <c r="A529">
        <v>10454</v>
      </c>
      <c r="B529" t="s">
        <v>195</v>
      </c>
      <c r="C529" t="s">
        <v>196</v>
      </c>
      <c r="D529" s="35">
        <v>102193.68</v>
      </c>
      <c r="E529">
        <v>1246216830</v>
      </c>
      <c r="F529" s="328">
        <v>45168</v>
      </c>
      <c r="H529" t="s">
        <v>173</v>
      </c>
      <c r="I529" t="s">
        <v>174</v>
      </c>
      <c r="J529">
        <v>19263</v>
      </c>
      <c r="K529" s="328">
        <v>44824</v>
      </c>
      <c r="L529">
        <v>1010100</v>
      </c>
      <c r="M529" t="s">
        <v>35</v>
      </c>
      <c r="N529">
        <v>944</v>
      </c>
      <c r="O529" s="32">
        <v>0</v>
      </c>
      <c r="P529" s="32">
        <v>102193.68</v>
      </c>
      <c r="Q529" s="32">
        <v>0</v>
      </c>
      <c r="R529" s="32">
        <v>0</v>
      </c>
      <c r="S529" s="32">
        <v>0</v>
      </c>
      <c r="T529" s="32">
        <v>0</v>
      </c>
      <c r="U529" s="32">
        <v>102193.68</v>
      </c>
      <c r="V529" s="32">
        <v>0</v>
      </c>
      <c r="W529" s="32">
        <v>3065.8103999999998</v>
      </c>
      <c r="X529" s="32">
        <v>99127.869599999991</v>
      </c>
      <c r="Y529" s="32">
        <v>99127.869599999991</v>
      </c>
      <c r="Z529" s="32">
        <v>0</v>
      </c>
      <c r="AA529" s="32">
        <v>0</v>
      </c>
      <c r="AB529" s="32">
        <v>102193.68</v>
      </c>
      <c r="AC529" s="32" t="s">
        <v>475</v>
      </c>
      <c r="AD529" s="32"/>
      <c r="AE529" s="32">
        <v>0</v>
      </c>
    </row>
    <row r="530" spans="1:31" x14ac:dyDescent="0.25">
      <c r="A530">
        <v>11326</v>
      </c>
      <c r="B530" t="s">
        <v>197</v>
      </c>
      <c r="C530" t="s">
        <v>198</v>
      </c>
      <c r="D530" s="35">
        <v>131680</v>
      </c>
      <c r="E530">
        <v>1246234342</v>
      </c>
      <c r="F530" s="328">
        <v>46264</v>
      </c>
      <c r="H530" t="s">
        <v>173</v>
      </c>
      <c r="I530" t="s">
        <v>174</v>
      </c>
      <c r="J530">
        <v>9141</v>
      </c>
      <c r="K530" s="328">
        <v>45901</v>
      </c>
      <c r="L530">
        <v>1010100</v>
      </c>
      <c r="M530" t="s">
        <v>35</v>
      </c>
      <c r="N530">
        <v>-152</v>
      </c>
      <c r="O530" s="32">
        <v>0</v>
      </c>
      <c r="P530" s="32">
        <v>0</v>
      </c>
      <c r="Q530" s="32">
        <v>131680</v>
      </c>
      <c r="R530" s="32">
        <v>0</v>
      </c>
      <c r="S530" s="32">
        <v>0</v>
      </c>
      <c r="T530" s="32">
        <v>0</v>
      </c>
      <c r="U530" s="32">
        <v>0</v>
      </c>
      <c r="V530" s="32">
        <v>0</v>
      </c>
      <c r="W530" s="32">
        <v>0</v>
      </c>
      <c r="X530" s="32">
        <v>0</v>
      </c>
      <c r="Y530" s="32">
        <v>0</v>
      </c>
      <c r="Z530" s="32">
        <v>0</v>
      </c>
      <c r="AA530" s="32">
        <v>0</v>
      </c>
      <c r="AB530" s="32">
        <v>0</v>
      </c>
      <c r="AC530" s="32" t="s">
        <v>475</v>
      </c>
      <c r="AD530" s="32"/>
      <c r="AE530" s="32">
        <v>0</v>
      </c>
    </row>
    <row r="531" spans="1:31" x14ac:dyDescent="0.25">
      <c r="A531">
        <v>11326</v>
      </c>
      <c r="B531" t="s">
        <v>197</v>
      </c>
      <c r="C531" t="s">
        <v>198</v>
      </c>
      <c r="D531" s="35">
        <v>137376</v>
      </c>
      <c r="E531">
        <v>1246222833</v>
      </c>
      <c r="F531" s="328">
        <v>46143</v>
      </c>
      <c r="H531" t="s">
        <v>173</v>
      </c>
      <c r="I531" t="s">
        <v>174</v>
      </c>
      <c r="J531">
        <v>8351</v>
      </c>
      <c r="K531" s="328">
        <v>45841</v>
      </c>
      <c r="L531">
        <v>1010100</v>
      </c>
      <c r="M531" t="s">
        <v>35</v>
      </c>
      <c r="N531">
        <v>-31</v>
      </c>
      <c r="O531" s="32">
        <v>0</v>
      </c>
      <c r="P531" s="32">
        <v>0</v>
      </c>
      <c r="Q531" s="32">
        <v>137376</v>
      </c>
      <c r="R531" s="32">
        <v>0</v>
      </c>
      <c r="S531" s="32">
        <v>0</v>
      </c>
      <c r="T531" s="32">
        <v>0</v>
      </c>
      <c r="U531" s="32">
        <v>0</v>
      </c>
      <c r="V531" s="32">
        <v>0</v>
      </c>
      <c r="W531" s="32">
        <v>0</v>
      </c>
      <c r="X531" s="32">
        <v>0</v>
      </c>
      <c r="Y531" s="32">
        <v>0</v>
      </c>
      <c r="Z531" s="32">
        <v>0</v>
      </c>
      <c r="AA531" s="32">
        <v>0</v>
      </c>
      <c r="AB531" s="32">
        <v>0</v>
      </c>
      <c r="AC531" s="32" t="s">
        <v>475</v>
      </c>
      <c r="AD531" s="32"/>
      <c r="AE531" s="32">
        <v>0</v>
      </c>
    </row>
    <row r="532" spans="1:31" x14ac:dyDescent="0.25">
      <c r="A532">
        <v>10456</v>
      </c>
      <c r="B532" t="s">
        <v>199</v>
      </c>
      <c r="C532" t="s">
        <v>200</v>
      </c>
      <c r="D532" s="35">
        <v>111322.27</v>
      </c>
      <c r="E532">
        <v>1246093334</v>
      </c>
      <c r="F532" s="328">
        <v>45537</v>
      </c>
      <c r="H532" t="s">
        <v>173</v>
      </c>
      <c r="I532" t="s">
        <v>174</v>
      </c>
      <c r="J532">
        <v>251</v>
      </c>
      <c r="K532" s="328">
        <v>45127</v>
      </c>
      <c r="L532">
        <v>1010100</v>
      </c>
      <c r="M532" t="s">
        <v>35</v>
      </c>
      <c r="N532">
        <v>575</v>
      </c>
      <c r="O532" s="32">
        <v>0</v>
      </c>
      <c r="P532" s="32">
        <v>111322.27</v>
      </c>
      <c r="Q532" s="32">
        <v>0</v>
      </c>
      <c r="R532" s="32">
        <v>0</v>
      </c>
      <c r="S532" s="32">
        <v>0</v>
      </c>
      <c r="T532" s="32">
        <v>0</v>
      </c>
      <c r="U532" s="32">
        <v>111322.27</v>
      </c>
      <c r="V532" s="32">
        <v>0</v>
      </c>
      <c r="W532" s="32">
        <v>0</v>
      </c>
      <c r="X532" s="32">
        <v>0</v>
      </c>
      <c r="Y532" s="32">
        <v>0</v>
      </c>
      <c r="Z532" s="32">
        <v>111322.27</v>
      </c>
      <c r="AA532" s="32">
        <v>111322.27</v>
      </c>
      <c r="AB532" s="32">
        <v>111322.27</v>
      </c>
      <c r="AC532" s="32" t="s">
        <v>541</v>
      </c>
      <c r="AD532" s="32"/>
      <c r="AE532" s="32">
        <v>111322.27</v>
      </c>
    </row>
    <row r="533" spans="1:31" x14ac:dyDescent="0.25">
      <c r="A533">
        <v>10456</v>
      </c>
      <c r="B533" t="s">
        <v>199</v>
      </c>
      <c r="C533" t="s">
        <v>200</v>
      </c>
      <c r="D533" s="35">
        <v>118491.86</v>
      </c>
      <c r="E533">
        <v>1246097861</v>
      </c>
      <c r="F533" s="328">
        <v>45565</v>
      </c>
      <c r="H533" t="s">
        <v>173</v>
      </c>
      <c r="I533" t="s">
        <v>174</v>
      </c>
      <c r="J533">
        <v>683</v>
      </c>
      <c r="K533" s="328">
        <v>45152</v>
      </c>
      <c r="L533">
        <v>1010100</v>
      </c>
      <c r="M533" t="s">
        <v>35</v>
      </c>
      <c r="N533">
        <v>547</v>
      </c>
      <c r="O533" s="32">
        <v>0</v>
      </c>
      <c r="P533" s="32">
        <v>118491.86</v>
      </c>
      <c r="Q533" s="32">
        <v>0</v>
      </c>
      <c r="R533" s="32">
        <v>0</v>
      </c>
      <c r="S533" s="32">
        <v>0</v>
      </c>
      <c r="T533" s="32">
        <v>0</v>
      </c>
      <c r="U533" s="32">
        <v>118491.86</v>
      </c>
      <c r="V533" s="32">
        <v>0</v>
      </c>
      <c r="W533" s="32">
        <v>0</v>
      </c>
      <c r="X533" s="32">
        <v>0</v>
      </c>
      <c r="Y533" s="32">
        <v>0</v>
      </c>
      <c r="Z533" s="32">
        <v>118491.86</v>
      </c>
      <c r="AA533" s="32">
        <v>118491.86</v>
      </c>
      <c r="AB533" s="32">
        <v>118491.86</v>
      </c>
      <c r="AC533" s="32" t="s">
        <v>541</v>
      </c>
      <c r="AD533" s="32"/>
      <c r="AE533" s="32">
        <v>118491.86</v>
      </c>
    </row>
    <row r="534" spans="1:31" x14ac:dyDescent="0.25">
      <c r="A534">
        <v>10456</v>
      </c>
      <c r="B534" t="s">
        <v>199</v>
      </c>
      <c r="C534" t="s">
        <v>200</v>
      </c>
      <c r="D534" s="35">
        <v>117498.04</v>
      </c>
      <c r="E534">
        <v>1246099432</v>
      </c>
      <c r="F534" s="328">
        <v>45545</v>
      </c>
      <c r="H534" t="s">
        <v>173</v>
      </c>
      <c r="I534" t="s">
        <v>174</v>
      </c>
      <c r="J534">
        <v>787</v>
      </c>
      <c r="K534" s="328">
        <v>45160</v>
      </c>
      <c r="L534">
        <v>1010100</v>
      </c>
      <c r="M534" t="s">
        <v>35</v>
      </c>
      <c r="N534">
        <v>567</v>
      </c>
      <c r="O534" s="32">
        <v>0</v>
      </c>
      <c r="P534" s="32">
        <v>117498.04</v>
      </c>
      <c r="Q534" s="32">
        <v>0</v>
      </c>
      <c r="R534" s="32">
        <v>0</v>
      </c>
      <c r="S534" s="32">
        <v>0</v>
      </c>
      <c r="T534" s="32">
        <v>0</v>
      </c>
      <c r="U534" s="32">
        <v>117498.04</v>
      </c>
      <c r="V534" s="32">
        <v>0</v>
      </c>
      <c r="W534" s="32">
        <v>0</v>
      </c>
      <c r="X534" s="32">
        <v>0</v>
      </c>
      <c r="Y534" s="32">
        <v>0</v>
      </c>
      <c r="Z534" s="32">
        <v>117498.04</v>
      </c>
      <c r="AA534" s="32">
        <v>117498.04</v>
      </c>
      <c r="AB534" s="32">
        <v>117498.04</v>
      </c>
      <c r="AC534" s="32" t="s">
        <v>541</v>
      </c>
      <c r="AD534" s="32"/>
      <c r="AE534" s="32">
        <v>117498.04</v>
      </c>
    </row>
    <row r="535" spans="1:31" x14ac:dyDescent="0.25">
      <c r="A535">
        <v>10456</v>
      </c>
      <c r="B535" t="s">
        <v>199</v>
      </c>
      <c r="C535" t="s">
        <v>200</v>
      </c>
      <c r="D535" s="35">
        <v>100560.82</v>
      </c>
      <c r="E535">
        <v>1246100417</v>
      </c>
      <c r="F535" s="328">
        <v>45548</v>
      </c>
      <c r="H535" t="s">
        <v>173</v>
      </c>
      <c r="I535" t="s">
        <v>174</v>
      </c>
      <c r="J535">
        <v>183</v>
      </c>
      <c r="K535" s="328">
        <v>45163</v>
      </c>
      <c r="L535">
        <v>1010100</v>
      </c>
      <c r="M535" t="s">
        <v>35</v>
      </c>
      <c r="N535">
        <v>564</v>
      </c>
      <c r="O535" s="32">
        <v>0</v>
      </c>
      <c r="P535" s="32">
        <v>100560.82</v>
      </c>
      <c r="Q535" s="32">
        <v>0</v>
      </c>
      <c r="R535" s="32">
        <v>0</v>
      </c>
      <c r="S535" s="32">
        <v>0</v>
      </c>
      <c r="T535" s="32">
        <v>0</v>
      </c>
      <c r="U535" s="32">
        <v>100560.82</v>
      </c>
      <c r="V535" s="32">
        <v>0</v>
      </c>
      <c r="W535" s="32">
        <v>0</v>
      </c>
      <c r="X535" s="32">
        <v>0</v>
      </c>
      <c r="Y535" s="32">
        <v>0</v>
      </c>
      <c r="Z535" s="32">
        <v>100560.82</v>
      </c>
      <c r="AA535" s="32">
        <v>100560.82</v>
      </c>
      <c r="AB535" s="32">
        <v>100560.82</v>
      </c>
      <c r="AC535" s="32" t="s">
        <v>541</v>
      </c>
      <c r="AD535" s="32"/>
      <c r="AE535" s="32">
        <v>100560.82</v>
      </c>
    </row>
    <row r="536" spans="1:31" x14ac:dyDescent="0.25">
      <c r="A536">
        <v>10456</v>
      </c>
      <c r="B536" t="s">
        <v>199</v>
      </c>
      <c r="C536" t="s">
        <v>200</v>
      </c>
      <c r="D536" s="35">
        <v>61416.78</v>
      </c>
      <c r="E536">
        <v>1246065449</v>
      </c>
      <c r="F536" s="328">
        <v>45199</v>
      </c>
      <c r="H536" t="s">
        <v>173</v>
      </c>
      <c r="I536" t="s">
        <v>174</v>
      </c>
      <c r="J536">
        <v>20596</v>
      </c>
      <c r="K536" s="328">
        <v>44958</v>
      </c>
      <c r="L536">
        <v>1010100</v>
      </c>
      <c r="M536" t="s">
        <v>35</v>
      </c>
      <c r="N536">
        <v>913</v>
      </c>
      <c r="O536" s="32">
        <v>0</v>
      </c>
      <c r="P536" s="32">
        <v>61416.78</v>
      </c>
      <c r="Q536" s="32">
        <v>0</v>
      </c>
      <c r="R536" s="32">
        <v>0</v>
      </c>
      <c r="S536" s="32">
        <v>0</v>
      </c>
      <c r="T536" s="32">
        <v>0</v>
      </c>
      <c r="U536" s="32">
        <v>61416.78</v>
      </c>
      <c r="V536" s="32">
        <v>0</v>
      </c>
      <c r="W536" s="32">
        <v>0</v>
      </c>
      <c r="X536" s="32">
        <v>0</v>
      </c>
      <c r="Y536" s="32">
        <v>0</v>
      </c>
      <c r="Z536" s="32">
        <v>61416.78</v>
      </c>
      <c r="AA536" s="32">
        <v>61416.78</v>
      </c>
      <c r="AB536" s="32">
        <v>61416.78</v>
      </c>
      <c r="AC536" s="32" t="s">
        <v>541</v>
      </c>
      <c r="AD536" s="32"/>
      <c r="AE536" s="32">
        <v>61416.78</v>
      </c>
    </row>
    <row r="537" spans="1:31" x14ac:dyDescent="0.25">
      <c r="A537">
        <v>10456</v>
      </c>
      <c r="B537" t="s">
        <v>199</v>
      </c>
      <c r="C537" t="s">
        <v>200</v>
      </c>
      <c r="D537" s="35">
        <v>106537.82</v>
      </c>
      <c r="E537">
        <v>1246110763</v>
      </c>
      <c r="F537" s="328">
        <v>45534</v>
      </c>
      <c r="H537" t="s">
        <v>173</v>
      </c>
      <c r="I537" t="s">
        <v>174</v>
      </c>
      <c r="J537">
        <v>1702</v>
      </c>
      <c r="K537" s="328">
        <v>45222</v>
      </c>
      <c r="L537">
        <v>1010100</v>
      </c>
      <c r="M537" t="s">
        <v>35</v>
      </c>
      <c r="N537">
        <v>578</v>
      </c>
      <c r="O537" s="32">
        <v>0</v>
      </c>
      <c r="P537" s="32">
        <v>106537.82</v>
      </c>
      <c r="Q537" s="32">
        <v>0</v>
      </c>
      <c r="R537" s="32">
        <v>0</v>
      </c>
      <c r="S537" s="32">
        <v>0</v>
      </c>
      <c r="T537" s="32">
        <v>0</v>
      </c>
      <c r="U537" s="32">
        <v>106537.82</v>
      </c>
      <c r="V537" s="32">
        <v>0</v>
      </c>
      <c r="W537" s="32">
        <v>0</v>
      </c>
      <c r="X537" s="32">
        <v>0</v>
      </c>
      <c r="Y537" s="32">
        <v>0</v>
      </c>
      <c r="Z537" s="32">
        <v>106537.82</v>
      </c>
      <c r="AA537" s="32">
        <v>106537.82</v>
      </c>
      <c r="AB537" s="32">
        <v>106537.82</v>
      </c>
      <c r="AC537" s="32" t="s">
        <v>541</v>
      </c>
      <c r="AD537" s="32"/>
      <c r="AE537" s="32">
        <v>106537.82</v>
      </c>
    </row>
    <row r="538" spans="1:31" x14ac:dyDescent="0.25">
      <c r="A538">
        <v>10456</v>
      </c>
      <c r="B538" t="s">
        <v>199</v>
      </c>
      <c r="C538" t="s">
        <v>200</v>
      </c>
      <c r="D538" s="35">
        <v>110173.77</v>
      </c>
      <c r="E538">
        <v>1246067444</v>
      </c>
      <c r="F538" s="328">
        <v>45199</v>
      </c>
      <c r="H538" t="s">
        <v>173</v>
      </c>
      <c r="I538" t="s">
        <v>174</v>
      </c>
      <c r="J538">
        <v>20680</v>
      </c>
      <c r="K538" s="328">
        <v>44971</v>
      </c>
      <c r="L538">
        <v>1010100</v>
      </c>
      <c r="M538" t="s">
        <v>35</v>
      </c>
      <c r="N538">
        <v>913</v>
      </c>
      <c r="O538" s="32">
        <v>0</v>
      </c>
      <c r="P538" s="32">
        <v>110173.77</v>
      </c>
      <c r="Q538" s="32">
        <v>0</v>
      </c>
      <c r="R538" s="32">
        <v>0</v>
      </c>
      <c r="S538" s="32">
        <v>0</v>
      </c>
      <c r="T538" s="32">
        <v>0</v>
      </c>
      <c r="U538" s="32">
        <v>110173.77</v>
      </c>
      <c r="V538" s="32">
        <v>0</v>
      </c>
      <c r="W538" s="32">
        <v>0</v>
      </c>
      <c r="X538" s="32">
        <v>0</v>
      </c>
      <c r="Y538" s="32">
        <v>0</v>
      </c>
      <c r="Z538" s="32">
        <v>110173.77</v>
      </c>
      <c r="AA538" s="32">
        <v>110173.77</v>
      </c>
      <c r="AB538" s="32">
        <v>110173.77</v>
      </c>
      <c r="AC538" s="32" t="s">
        <v>541</v>
      </c>
      <c r="AD538" s="32"/>
      <c r="AE538" s="32">
        <v>110173.77</v>
      </c>
    </row>
    <row r="539" spans="1:31" x14ac:dyDescent="0.25">
      <c r="A539">
        <v>10456</v>
      </c>
      <c r="B539" t="s">
        <v>199</v>
      </c>
      <c r="C539" t="s">
        <v>200</v>
      </c>
      <c r="D539" s="35">
        <v>153644.62</v>
      </c>
      <c r="E539">
        <v>1246066037</v>
      </c>
      <c r="F539" s="328">
        <v>45199</v>
      </c>
      <c r="H539" t="s">
        <v>173</v>
      </c>
      <c r="I539" t="s">
        <v>174</v>
      </c>
      <c r="J539">
        <v>20619</v>
      </c>
      <c r="K539" s="328">
        <v>44963</v>
      </c>
      <c r="L539">
        <v>1010100</v>
      </c>
      <c r="M539" t="s">
        <v>35</v>
      </c>
      <c r="N539">
        <v>913</v>
      </c>
      <c r="O539" s="32">
        <v>0</v>
      </c>
      <c r="P539" s="32">
        <v>153644.62</v>
      </c>
      <c r="Q539" s="32">
        <v>0</v>
      </c>
      <c r="R539" s="32">
        <v>0</v>
      </c>
      <c r="S539" s="32">
        <v>0</v>
      </c>
      <c r="T539" s="32">
        <v>0</v>
      </c>
      <c r="U539" s="32">
        <v>153644.62</v>
      </c>
      <c r="V539" s="32">
        <v>0</v>
      </c>
      <c r="W539" s="32">
        <v>0</v>
      </c>
      <c r="X539" s="32">
        <v>0</v>
      </c>
      <c r="Y539" s="32">
        <v>0</v>
      </c>
      <c r="Z539" s="32">
        <v>153644.62</v>
      </c>
      <c r="AA539" s="32">
        <v>153644.62</v>
      </c>
      <c r="AB539" s="32">
        <v>153644.62</v>
      </c>
      <c r="AC539" s="32" t="s">
        <v>541</v>
      </c>
      <c r="AD539" s="32"/>
      <c r="AE539" s="32">
        <v>153644.62</v>
      </c>
    </row>
    <row r="540" spans="1:31" x14ac:dyDescent="0.25">
      <c r="A540">
        <v>10456</v>
      </c>
      <c r="B540" t="s">
        <v>199</v>
      </c>
      <c r="C540" t="s">
        <v>200</v>
      </c>
      <c r="D540" s="35">
        <v>121627.64</v>
      </c>
      <c r="E540">
        <v>1246061337</v>
      </c>
      <c r="F540" s="328">
        <v>45199</v>
      </c>
      <c r="H540" t="s">
        <v>173</v>
      </c>
      <c r="I540" t="s">
        <v>174</v>
      </c>
      <c r="J540">
        <v>20371</v>
      </c>
      <c r="K540" s="328">
        <v>44930</v>
      </c>
      <c r="L540">
        <v>1010100</v>
      </c>
      <c r="M540" t="s">
        <v>35</v>
      </c>
      <c r="N540">
        <v>913</v>
      </c>
      <c r="O540" s="32">
        <v>0</v>
      </c>
      <c r="P540" s="32">
        <v>121627.64</v>
      </c>
      <c r="Q540" s="32">
        <v>0</v>
      </c>
      <c r="R540" s="32">
        <v>0</v>
      </c>
      <c r="S540" s="32">
        <v>0</v>
      </c>
      <c r="T540" s="32">
        <v>0</v>
      </c>
      <c r="U540" s="32">
        <v>121627.64</v>
      </c>
      <c r="V540" s="32">
        <v>0</v>
      </c>
      <c r="W540" s="32">
        <v>0</v>
      </c>
      <c r="X540" s="32">
        <v>0</v>
      </c>
      <c r="Y540" s="32">
        <v>0</v>
      </c>
      <c r="Z540" s="32">
        <v>121627.64</v>
      </c>
      <c r="AA540" s="32">
        <v>121627.64</v>
      </c>
      <c r="AB540" s="32">
        <v>121627.64</v>
      </c>
      <c r="AC540" s="32" t="s">
        <v>541</v>
      </c>
      <c r="AD540" s="32"/>
      <c r="AE540" s="32">
        <v>121627.64</v>
      </c>
    </row>
    <row r="541" spans="1:31" x14ac:dyDescent="0.25">
      <c r="A541">
        <v>10456</v>
      </c>
      <c r="B541" t="s">
        <v>199</v>
      </c>
      <c r="C541" t="s">
        <v>200</v>
      </c>
      <c r="D541" s="35">
        <v>119763.56</v>
      </c>
      <c r="E541">
        <v>1246107272</v>
      </c>
      <c r="F541" s="328">
        <v>45536</v>
      </c>
      <c r="H541" t="s">
        <v>173</v>
      </c>
      <c r="I541" t="s">
        <v>174</v>
      </c>
      <c r="J541">
        <v>1444</v>
      </c>
      <c r="K541" s="328">
        <v>45201</v>
      </c>
      <c r="L541">
        <v>1010100</v>
      </c>
      <c r="M541" t="s">
        <v>35</v>
      </c>
      <c r="N541">
        <v>576</v>
      </c>
      <c r="O541" s="32">
        <v>0</v>
      </c>
      <c r="P541" s="32">
        <v>119763.56</v>
      </c>
      <c r="Q541" s="32">
        <v>0</v>
      </c>
      <c r="R541" s="32">
        <v>0</v>
      </c>
      <c r="S541" s="32">
        <v>0</v>
      </c>
      <c r="T541" s="32">
        <v>0</v>
      </c>
      <c r="U541" s="32">
        <v>119763.56</v>
      </c>
      <c r="V541" s="32">
        <v>0</v>
      </c>
      <c r="W541" s="32">
        <v>0</v>
      </c>
      <c r="X541" s="32">
        <v>0</v>
      </c>
      <c r="Y541" s="32">
        <v>0</v>
      </c>
      <c r="Z541" s="32">
        <v>119763.56</v>
      </c>
      <c r="AA541" s="32">
        <v>119763.56</v>
      </c>
      <c r="AB541" s="32">
        <v>119763.56</v>
      </c>
      <c r="AC541" s="32" t="s">
        <v>541</v>
      </c>
      <c r="AD541" s="32"/>
      <c r="AE541" s="32">
        <v>119763.56</v>
      </c>
    </row>
    <row r="542" spans="1:31" x14ac:dyDescent="0.25">
      <c r="A542">
        <v>10456</v>
      </c>
      <c r="B542" t="s">
        <v>199</v>
      </c>
      <c r="C542" t="s">
        <v>200</v>
      </c>
      <c r="D542" s="35">
        <v>129996.55</v>
      </c>
      <c r="E542">
        <v>1246063009</v>
      </c>
      <c r="F542" s="328">
        <v>45199</v>
      </c>
      <c r="H542" t="s">
        <v>173</v>
      </c>
      <c r="I542" t="s">
        <v>174</v>
      </c>
      <c r="J542">
        <v>20458</v>
      </c>
      <c r="K542" s="328">
        <v>44943</v>
      </c>
      <c r="L542">
        <v>1010100</v>
      </c>
      <c r="M542" t="s">
        <v>35</v>
      </c>
      <c r="N542">
        <v>913</v>
      </c>
      <c r="O542" s="32">
        <v>0</v>
      </c>
      <c r="P542" s="32">
        <v>129996.55</v>
      </c>
      <c r="Q542" s="32">
        <v>0</v>
      </c>
      <c r="R542" s="32">
        <v>0</v>
      </c>
      <c r="S542" s="32">
        <v>0</v>
      </c>
      <c r="T542" s="32">
        <v>0</v>
      </c>
      <c r="U542" s="32">
        <v>129996.55</v>
      </c>
      <c r="V542" s="32">
        <v>0</v>
      </c>
      <c r="W542" s="32">
        <v>0</v>
      </c>
      <c r="X542" s="32">
        <v>0</v>
      </c>
      <c r="Y542" s="32">
        <v>0</v>
      </c>
      <c r="Z542" s="32">
        <v>129996.55</v>
      </c>
      <c r="AA542" s="32">
        <v>129996.55</v>
      </c>
      <c r="AB542" s="32">
        <v>129996.55</v>
      </c>
      <c r="AC542" s="32" t="s">
        <v>541</v>
      </c>
      <c r="AD542" s="32"/>
      <c r="AE542" s="32">
        <v>129996.55</v>
      </c>
    </row>
    <row r="543" spans="1:31" x14ac:dyDescent="0.25">
      <c r="A543">
        <v>10456</v>
      </c>
      <c r="B543" t="s">
        <v>199</v>
      </c>
      <c r="C543" t="s">
        <v>200</v>
      </c>
      <c r="D543" s="35">
        <v>61021.61</v>
      </c>
      <c r="E543">
        <v>1246063058</v>
      </c>
      <c r="F543" s="328">
        <v>45199</v>
      </c>
      <c r="H543" t="s">
        <v>173</v>
      </c>
      <c r="I543" t="s">
        <v>174</v>
      </c>
      <c r="J543">
        <v>20480</v>
      </c>
      <c r="K543" s="328">
        <v>44943</v>
      </c>
      <c r="L543">
        <v>1010100</v>
      </c>
      <c r="M543" t="s">
        <v>35</v>
      </c>
      <c r="N543">
        <v>913</v>
      </c>
      <c r="O543" s="32">
        <v>0</v>
      </c>
      <c r="P543" s="32">
        <v>61021.61</v>
      </c>
      <c r="Q543" s="32">
        <v>0</v>
      </c>
      <c r="R543" s="32">
        <v>0</v>
      </c>
      <c r="S543" s="32">
        <v>0</v>
      </c>
      <c r="T543" s="32">
        <v>0</v>
      </c>
      <c r="U543" s="32">
        <v>61021.61</v>
      </c>
      <c r="V543" s="32">
        <v>0</v>
      </c>
      <c r="W543" s="32">
        <v>0</v>
      </c>
      <c r="X543" s="32">
        <v>0</v>
      </c>
      <c r="Y543" s="32">
        <v>0</v>
      </c>
      <c r="Z543" s="32">
        <v>61021.61</v>
      </c>
      <c r="AA543" s="32">
        <v>61021.61</v>
      </c>
      <c r="AB543" s="32">
        <v>61021.61</v>
      </c>
      <c r="AC543" s="32" t="s">
        <v>541</v>
      </c>
      <c r="AD543" s="32"/>
      <c r="AE543" s="32">
        <v>61021.61</v>
      </c>
    </row>
    <row r="544" spans="1:31" x14ac:dyDescent="0.25">
      <c r="A544">
        <v>10456</v>
      </c>
      <c r="B544" t="s">
        <v>199</v>
      </c>
      <c r="C544" t="s">
        <v>200</v>
      </c>
      <c r="D544" s="35">
        <v>111090.76</v>
      </c>
      <c r="E544">
        <v>1246063995</v>
      </c>
      <c r="F544" s="328">
        <v>45199</v>
      </c>
      <c r="H544" t="s">
        <v>173</v>
      </c>
      <c r="I544" t="s">
        <v>174</v>
      </c>
      <c r="J544">
        <v>20513</v>
      </c>
      <c r="K544" s="328">
        <v>44949</v>
      </c>
      <c r="L544">
        <v>1010100</v>
      </c>
      <c r="M544" t="s">
        <v>35</v>
      </c>
      <c r="N544">
        <v>913</v>
      </c>
      <c r="O544" s="32">
        <v>0</v>
      </c>
      <c r="P544" s="32">
        <v>111090.76</v>
      </c>
      <c r="Q544" s="32">
        <v>0</v>
      </c>
      <c r="R544" s="32">
        <v>0</v>
      </c>
      <c r="S544" s="32">
        <v>0</v>
      </c>
      <c r="T544" s="32">
        <v>0</v>
      </c>
      <c r="U544" s="32">
        <v>111090.76</v>
      </c>
      <c r="V544" s="32">
        <v>0</v>
      </c>
      <c r="W544" s="32">
        <v>0</v>
      </c>
      <c r="X544" s="32">
        <v>0</v>
      </c>
      <c r="Y544" s="32">
        <v>0</v>
      </c>
      <c r="Z544" s="32">
        <v>111090.76</v>
      </c>
      <c r="AA544" s="32">
        <v>111090.76</v>
      </c>
      <c r="AB544" s="32">
        <v>111090.76</v>
      </c>
      <c r="AC544" s="32" t="s">
        <v>541</v>
      </c>
      <c r="AD544" s="32"/>
      <c r="AE544" s="32">
        <v>111090.76</v>
      </c>
    </row>
    <row r="545" spans="1:31" x14ac:dyDescent="0.25">
      <c r="A545">
        <v>10456</v>
      </c>
      <c r="B545" t="s">
        <v>199</v>
      </c>
      <c r="C545" t="s">
        <v>200</v>
      </c>
      <c r="D545" s="35">
        <v>110522.5</v>
      </c>
      <c r="E545">
        <v>1246106689</v>
      </c>
      <c r="F545" s="328">
        <v>45557</v>
      </c>
      <c r="H545" t="s">
        <v>173</v>
      </c>
      <c r="I545" t="s">
        <v>174</v>
      </c>
      <c r="J545">
        <v>1400</v>
      </c>
      <c r="K545" s="328">
        <v>45197</v>
      </c>
      <c r="L545">
        <v>1010100</v>
      </c>
      <c r="M545" t="s">
        <v>35</v>
      </c>
      <c r="N545">
        <v>555</v>
      </c>
      <c r="O545" s="32">
        <v>0</v>
      </c>
      <c r="P545" s="32">
        <v>110522.5</v>
      </c>
      <c r="Q545" s="32">
        <v>0</v>
      </c>
      <c r="R545" s="32">
        <v>0</v>
      </c>
      <c r="S545" s="32">
        <v>0</v>
      </c>
      <c r="T545" s="32">
        <v>0</v>
      </c>
      <c r="U545" s="32">
        <v>110522.5</v>
      </c>
      <c r="V545" s="32">
        <v>0</v>
      </c>
      <c r="W545" s="32">
        <v>0</v>
      </c>
      <c r="X545" s="32">
        <v>0</v>
      </c>
      <c r="Y545" s="32">
        <v>0</v>
      </c>
      <c r="Z545" s="32">
        <v>110522.5</v>
      </c>
      <c r="AA545" s="32">
        <v>110522.5</v>
      </c>
      <c r="AB545" s="32">
        <v>110522.5</v>
      </c>
      <c r="AC545" s="32" t="s">
        <v>541</v>
      </c>
      <c r="AD545" s="32"/>
      <c r="AE545" s="32">
        <v>110522.5</v>
      </c>
    </row>
    <row r="546" spans="1:31" x14ac:dyDescent="0.25">
      <c r="A546">
        <v>10456</v>
      </c>
      <c r="B546" t="s">
        <v>199</v>
      </c>
      <c r="C546" t="s">
        <v>200</v>
      </c>
      <c r="D546" s="35">
        <v>94275.76</v>
      </c>
      <c r="E546">
        <v>1246103838</v>
      </c>
      <c r="F546" s="328">
        <v>45543</v>
      </c>
      <c r="H546" t="s">
        <v>173</v>
      </c>
      <c r="I546" t="s">
        <v>174</v>
      </c>
      <c r="J546">
        <v>1159</v>
      </c>
      <c r="K546" s="328">
        <v>45183</v>
      </c>
      <c r="L546">
        <v>1010100</v>
      </c>
      <c r="M546" t="s">
        <v>35</v>
      </c>
      <c r="N546">
        <v>569</v>
      </c>
      <c r="O546" s="32">
        <v>0</v>
      </c>
      <c r="P546" s="32">
        <v>94275.76</v>
      </c>
      <c r="Q546" s="32">
        <v>0</v>
      </c>
      <c r="R546" s="32">
        <v>0</v>
      </c>
      <c r="S546" s="32">
        <v>0</v>
      </c>
      <c r="T546" s="32">
        <v>0</v>
      </c>
      <c r="U546" s="32">
        <v>94275.76</v>
      </c>
      <c r="V546" s="32">
        <v>0</v>
      </c>
      <c r="W546" s="32">
        <v>0</v>
      </c>
      <c r="X546" s="32">
        <v>0</v>
      </c>
      <c r="Y546" s="32">
        <v>0</v>
      </c>
      <c r="Z546" s="32">
        <v>94275.76</v>
      </c>
      <c r="AA546" s="32">
        <v>94275.76</v>
      </c>
      <c r="AB546" s="32">
        <v>94275.76</v>
      </c>
      <c r="AC546" s="32" t="s">
        <v>541</v>
      </c>
      <c r="AD546" s="32"/>
      <c r="AE546" s="32">
        <v>94275.76</v>
      </c>
    </row>
    <row r="547" spans="1:31" x14ac:dyDescent="0.25">
      <c r="A547">
        <v>10456</v>
      </c>
      <c r="B547" t="s">
        <v>199</v>
      </c>
      <c r="C547" t="s">
        <v>200</v>
      </c>
      <c r="D547" s="35">
        <v>74904.38</v>
      </c>
      <c r="E547">
        <v>1246269261</v>
      </c>
      <c r="F547" s="328">
        <v>45199</v>
      </c>
      <c r="H547" t="s">
        <v>173</v>
      </c>
      <c r="I547" t="s">
        <v>174</v>
      </c>
      <c r="J547">
        <v>20898</v>
      </c>
      <c r="K547" s="328">
        <v>45000</v>
      </c>
      <c r="L547">
        <v>1010100</v>
      </c>
      <c r="M547" t="s">
        <v>35</v>
      </c>
      <c r="N547">
        <v>913</v>
      </c>
      <c r="O547" s="32">
        <v>0</v>
      </c>
      <c r="P547" s="32">
        <v>74904.38</v>
      </c>
      <c r="Q547" s="32">
        <v>0</v>
      </c>
      <c r="R547" s="32">
        <v>0</v>
      </c>
      <c r="S547" s="32">
        <v>0</v>
      </c>
      <c r="T547" s="32">
        <v>0</v>
      </c>
      <c r="U547" s="32">
        <v>74904.38</v>
      </c>
      <c r="V547" s="32">
        <v>0</v>
      </c>
      <c r="W547" s="32">
        <v>2247.1314000000002</v>
      </c>
      <c r="X547" s="32">
        <v>72657.248600000006</v>
      </c>
      <c r="Y547" s="32">
        <v>72657.248600000006</v>
      </c>
      <c r="Z547" s="32">
        <v>74904.38</v>
      </c>
      <c r="AA547" s="32">
        <v>0</v>
      </c>
      <c r="AB547" s="32">
        <v>74904.38</v>
      </c>
      <c r="AC547" s="32" t="s">
        <v>541</v>
      </c>
      <c r="AD547" s="32"/>
      <c r="AE547" s="32">
        <v>74904.38</v>
      </c>
    </row>
    <row r="548" spans="1:31" x14ac:dyDescent="0.25">
      <c r="A548">
        <v>11637</v>
      </c>
      <c r="B548" t="s">
        <v>735</v>
      </c>
      <c r="C548" t="s">
        <v>898</v>
      </c>
      <c r="D548" s="35">
        <v>207000</v>
      </c>
      <c r="E548">
        <v>1246268339</v>
      </c>
      <c r="F548" s="328">
        <v>46128</v>
      </c>
      <c r="H548" t="s">
        <v>28</v>
      </c>
      <c r="I548" t="s">
        <v>29</v>
      </c>
      <c r="J548">
        <v>2827</v>
      </c>
      <c r="K548" s="328">
        <v>46100</v>
      </c>
      <c r="L548">
        <v>1010100</v>
      </c>
      <c r="M548" t="s">
        <v>35</v>
      </c>
      <c r="N548">
        <v>-16</v>
      </c>
      <c r="O548" s="32">
        <v>0</v>
      </c>
      <c r="P548" s="32">
        <v>0</v>
      </c>
      <c r="Q548" s="32">
        <v>207000</v>
      </c>
      <c r="R548" s="32">
        <v>0</v>
      </c>
      <c r="S548" s="32">
        <v>0</v>
      </c>
      <c r="T548" s="32">
        <v>0</v>
      </c>
      <c r="U548" s="32">
        <v>0</v>
      </c>
      <c r="V548" s="32">
        <v>0</v>
      </c>
      <c r="W548" s="32">
        <v>0</v>
      </c>
      <c r="X548" s="32">
        <v>0</v>
      </c>
      <c r="Y548" s="32">
        <v>0</v>
      </c>
      <c r="Z548" s="32">
        <v>0</v>
      </c>
      <c r="AA548" s="32">
        <v>0</v>
      </c>
      <c r="AB548" s="32">
        <v>0</v>
      </c>
      <c r="AC548" s="32" t="s">
        <v>475</v>
      </c>
      <c r="AD548" s="32"/>
      <c r="AE548" s="32">
        <v>0</v>
      </c>
    </row>
    <row r="549" spans="1:31" x14ac:dyDescent="0.25">
      <c r="A549">
        <v>11637</v>
      </c>
      <c r="B549" t="s">
        <v>735</v>
      </c>
      <c r="C549" t="s">
        <v>898</v>
      </c>
      <c r="D549" s="35">
        <v>11160</v>
      </c>
      <c r="E549">
        <v>1246268383</v>
      </c>
      <c r="F549" s="328">
        <v>46128</v>
      </c>
      <c r="H549" t="s">
        <v>28</v>
      </c>
      <c r="I549" t="s">
        <v>29</v>
      </c>
      <c r="J549">
        <v>10927</v>
      </c>
      <c r="K549" s="328">
        <v>46100</v>
      </c>
      <c r="L549">
        <v>1010100</v>
      </c>
      <c r="M549" t="s">
        <v>35</v>
      </c>
      <c r="N549">
        <v>-16</v>
      </c>
      <c r="O549" s="32">
        <v>0</v>
      </c>
      <c r="P549" s="32">
        <v>0</v>
      </c>
      <c r="Q549" s="32">
        <v>11160</v>
      </c>
      <c r="R549" s="32">
        <v>0</v>
      </c>
      <c r="S549" s="32">
        <v>0</v>
      </c>
      <c r="T549" s="32">
        <v>0</v>
      </c>
      <c r="U549" s="32">
        <v>0</v>
      </c>
      <c r="V549" s="32">
        <v>0</v>
      </c>
      <c r="W549" s="32">
        <v>0</v>
      </c>
      <c r="X549" s="32">
        <v>0</v>
      </c>
      <c r="Y549" s="32">
        <v>0</v>
      </c>
      <c r="Z549" s="32">
        <v>0</v>
      </c>
      <c r="AA549" s="32">
        <v>0</v>
      </c>
      <c r="AB549" s="32">
        <v>0</v>
      </c>
      <c r="AC549" s="32" t="s">
        <v>475</v>
      </c>
      <c r="AD549" s="32"/>
      <c r="AE549" s="32">
        <v>0</v>
      </c>
    </row>
    <row r="550" spans="1:31" x14ac:dyDescent="0.25">
      <c r="A550">
        <v>12943</v>
      </c>
      <c r="B550" t="s">
        <v>294</v>
      </c>
      <c r="C550" t="s">
        <v>401</v>
      </c>
      <c r="D550" s="35">
        <v>82290</v>
      </c>
      <c r="E550">
        <v>1246187828</v>
      </c>
      <c r="F550" s="328">
        <v>45667</v>
      </c>
      <c r="H550" t="s">
        <v>28</v>
      </c>
      <c r="I550" t="s">
        <v>29</v>
      </c>
      <c r="J550">
        <v>1585</v>
      </c>
      <c r="K550" s="328">
        <v>45639</v>
      </c>
      <c r="L550">
        <v>1010100</v>
      </c>
      <c r="M550" t="s">
        <v>35</v>
      </c>
      <c r="N550">
        <v>445</v>
      </c>
      <c r="O550" s="32">
        <v>0</v>
      </c>
      <c r="P550" s="32">
        <v>82290</v>
      </c>
      <c r="Q550" s="32">
        <v>0</v>
      </c>
      <c r="R550" s="32">
        <v>0</v>
      </c>
      <c r="S550" s="32">
        <v>0</v>
      </c>
      <c r="T550" s="32">
        <v>0</v>
      </c>
      <c r="U550" s="32">
        <v>82290</v>
      </c>
      <c r="V550" s="32">
        <v>0</v>
      </c>
      <c r="W550" s="32">
        <v>2468.6999999999998</v>
      </c>
      <c r="X550" s="32">
        <v>79821.3</v>
      </c>
      <c r="Y550" s="32">
        <v>79821.3</v>
      </c>
      <c r="Z550" s="32">
        <v>82290</v>
      </c>
      <c r="AA550" s="32">
        <v>0</v>
      </c>
      <c r="AB550" s="32">
        <v>82290</v>
      </c>
      <c r="AC550" s="32" t="s">
        <v>540</v>
      </c>
      <c r="AD550" s="32"/>
      <c r="AE550" s="32">
        <v>82290</v>
      </c>
    </row>
    <row r="551" spans="1:31" x14ac:dyDescent="0.25">
      <c r="A551">
        <v>12943</v>
      </c>
      <c r="B551" t="s">
        <v>294</v>
      </c>
      <c r="C551" t="s">
        <v>401</v>
      </c>
      <c r="D551" s="35">
        <v>82290</v>
      </c>
      <c r="E551">
        <v>1246187829</v>
      </c>
      <c r="F551" s="328">
        <v>45695</v>
      </c>
      <c r="H551" t="s">
        <v>28</v>
      </c>
      <c r="I551" t="s">
        <v>29</v>
      </c>
      <c r="J551">
        <v>1585</v>
      </c>
      <c r="K551" s="328">
        <v>45639</v>
      </c>
      <c r="L551">
        <v>1010100</v>
      </c>
      <c r="M551" t="s">
        <v>35</v>
      </c>
      <c r="N551">
        <v>417</v>
      </c>
      <c r="O551" s="32">
        <v>0</v>
      </c>
      <c r="P551" s="32">
        <v>82290</v>
      </c>
      <c r="Q551" s="32">
        <v>0</v>
      </c>
      <c r="R551" s="32">
        <v>0</v>
      </c>
      <c r="S551" s="32">
        <v>0</v>
      </c>
      <c r="T551" s="32">
        <v>0</v>
      </c>
      <c r="U551" s="32">
        <v>82290</v>
      </c>
      <c r="V551" s="32">
        <v>0</v>
      </c>
      <c r="W551" s="32">
        <v>2468.6999999999998</v>
      </c>
      <c r="X551" s="32">
        <v>79821.3</v>
      </c>
      <c r="Y551" s="32">
        <v>79821.3</v>
      </c>
      <c r="Z551" s="32">
        <v>82290</v>
      </c>
      <c r="AA551" s="32">
        <v>0</v>
      </c>
      <c r="AB551" s="32">
        <v>82290</v>
      </c>
      <c r="AC551" s="32" t="s">
        <v>540</v>
      </c>
      <c r="AD551" s="32"/>
      <c r="AE551" s="32">
        <v>82290</v>
      </c>
    </row>
    <row r="552" spans="1:31" x14ac:dyDescent="0.25">
      <c r="A552">
        <v>12943</v>
      </c>
      <c r="B552" t="s">
        <v>294</v>
      </c>
      <c r="C552" t="s">
        <v>401</v>
      </c>
      <c r="D552" s="35">
        <v>49170</v>
      </c>
      <c r="E552">
        <v>1246183176</v>
      </c>
      <c r="F552" s="328">
        <v>45642</v>
      </c>
      <c r="H552" t="s">
        <v>28</v>
      </c>
      <c r="I552" t="s">
        <v>29</v>
      </c>
      <c r="J552">
        <v>6129</v>
      </c>
      <c r="K552" s="328">
        <v>45614</v>
      </c>
      <c r="L552">
        <v>1010100</v>
      </c>
      <c r="M552" t="s">
        <v>35</v>
      </c>
      <c r="N552">
        <v>470</v>
      </c>
      <c r="O552" s="32">
        <v>0</v>
      </c>
      <c r="P552" s="32">
        <v>49170</v>
      </c>
      <c r="Q552" s="32">
        <v>0</v>
      </c>
      <c r="R552" s="32">
        <v>0</v>
      </c>
      <c r="S552" s="32">
        <v>0</v>
      </c>
      <c r="T552" s="32">
        <v>0</v>
      </c>
      <c r="U552" s="32">
        <v>49170</v>
      </c>
      <c r="V552" s="32">
        <v>0</v>
      </c>
      <c r="W552" s="32">
        <v>1475.1</v>
      </c>
      <c r="X552" s="32">
        <v>47694.9</v>
      </c>
      <c r="Y552" s="32">
        <v>47694.9</v>
      </c>
      <c r="Z552" s="32">
        <v>49170</v>
      </c>
      <c r="AA552" s="32">
        <v>0</v>
      </c>
      <c r="AB552" s="32">
        <v>49170</v>
      </c>
      <c r="AC552" s="32" t="s">
        <v>540</v>
      </c>
      <c r="AD552" s="32"/>
      <c r="AE552" s="32">
        <v>49170</v>
      </c>
    </row>
    <row r="553" spans="1:31" x14ac:dyDescent="0.25">
      <c r="A553">
        <v>12629</v>
      </c>
      <c r="B553" t="s">
        <v>120</v>
      </c>
      <c r="C553" t="s">
        <v>474</v>
      </c>
      <c r="D553" s="35">
        <v>162357</v>
      </c>
      <c r="E553">
        <v>1246266378</v>
      </c>
      <c r="F553" s="328">
        <v>46115</v>
      </c>
      <c r="H553" t="s">
        <v>28</v>
      </c>
      <c r="I553" t="s">
        <v>29</v>
      </c>
      <c r="J553">
        <v>10815</v>
      </c>
      <c r="K553" s="328">
        <v>46085</v>
      </c>
      <c r="L553">
        <v>1010100</v>
      </c>
      <c r="M553" t="s">
        <v>35</v>
      </c>
      <c r="N553">
        <v>-3</v>
      </c>
      <c r="O553" s="32">
        <v>0</v>
      </c>
      <c r="P553" s="32">
        <v>0</v>
      </c>
      <c r="Q553" s="32">
        <v>162357</v>
      </c>
      <c r="R553" s="32">
        <v>0</v>
      </c>
      <c r="S553" s="32">
        <v>0</v>
      </c>
      <c r="T553" s="32">
        <v>0</v>
      </c>
      <c r="U553" s="32">
        <v>0</v>
      </c>
      <c r="V553" s="32">
        <v>0</v>
      </c>
      <c r="W553" s="32">
        <v>0</v>
      </c>
      <c r="X553" s="32">
        <v>0</v>
      </c>
      <c r="Y553" s="32">
        <v>0</v>
      </c>
      <c r="Z553" s="32">
        <v>0</v>
      </c>
      <c r="AA553" s="32">
        <v>0</v>
      </c>
      <c r="AB553" s="32">
        <v>0</v>
      </c>
      <c r="AC553" s="32" t="s">
        <v>475</v>
      </c>
      <c r="AD553" s="32"/>
      <c r="AE553" s="32">
        <v>0</v>
      </c>
    </row>
    <row r="554" spans="1:31" x14ac:dyDescent="0.25">
      <c r="A554">
        <v>12629</v>
      </c>
      <c r="B554" t="s">
        <v>120</v>
      </c>
      <c r="C554" t="s">
        <v>474</v>
      </c>
      <c r="D554" s="35">
        <v>162791.4</v>
      </c>
      <c r="E554">
        <v>1246267013</v>
      </c>
      <c r="F554" s="328">
        <v>46120</v>
      </c>
      <c r="H554" t="s">
        <v>28</v>
      </c>
      <c r="I554" t="s">
        <v>29</v>
      </c>
      <c r="J554">
        <v>10843</v>
      </c>
      <c r="K554" s="328">
        <v>46090</v>
      </c>
      <c r="L554">
        <v>1010100</v>
      </c>
      <c r="M554" t="s">
        <v>35</v>
      </c>
      <c r="N554">
        <v>-8</v>
      </c>
      <c r="O554" s="32">
        <v>0</v>
      </c>
      <c r="P554" s="32">
        <v>0</v>
      </c>
      <c r="Q554" s="32">
        <v>162791.4</v>
      </c>
      <c r="R554" s="32">
        <v>0</v>
      </c>
      <c r="S554" s="32">
        <v>0</v>
      </c>
      <c r="T554" s="32">
        <v>0</v>
      </c>
      <c r="U554" s="32">
        <v>0</v>
      </c>
      <c r="V554" s="32">
        <v>0</v>
      </c>
      <c r="W554" s="32">
        <v>0</v>
      </c>
      <c r="X554" s="32">
        <v>0</v>
      </c>
      <c r="Y554" s="32">
        <v>0</v>
      </c>
      <c r="Z554" s="32">
        <v>0</v>
      </c>
      <c r="AA554" s="32">
        <v>0</v>
      </c>
      <c r="AB554" s="32">
        <v>0</v>
      </c>
      <c r="AC554" s="32" t="s">
        <v>475</v>
      </c>
      <c r="AD554" s="32"/>
      <c r="AE554" s="32">
        <v>0</v>
      </c>
    </row>
    <row r="555" spans="1:31" x14ac:dyDescent="0.25">
      <c r="A555">
        <v>12629</v>
      </c>
      <c r="B555" t="s">
        <v>120</v>
      </c>
      <c r="C555" t="s">
        <v>474</v>
      </c>
      <c r="D555" s="35">
        <v>150519.6</v>
      </c>
      <c r="E555">
        <v>1246267963</v>
      </c>
      <c r="F555" s="328">
        <v>46127</v>
      </c>
      <c r="H555" t="s">
        <v>28</v>
      </c>
      <c r="I555" t="s">
        <v>29</v>
      </c>
      <c r="J555">
        <v>10900</v>
      </c>
      <c r="K555" s="328">
        <v>46097</v>
      </c>
      <c r="L555">
        <v>1010100</v>
      </c>
      <c r="M555" t="s">
        <v>35</v>
      </c>
      <c r="N555">
        <v>-15</v>
      </c>
      <c r="O555" s="32">
        <v>0</v>
      </c>
      <c r="P555" s="32">
        <v>0</v>
      </c>
      <c r="Q555" s="32">
        <v>150519.6</v>
      </c>
      <c r="R555" s="32">
        <v>0</v>
      </c>
      <c r="S555" s="32">
        <v>0</v>
      </c>
      <c r="T555" s="32">
        <v>0</v>
      </c>
      <c r="U555" s="32">
        <v>0</v>
      </c>
      <c r="V555" s="32">
        <v>0</v>
      </c>
      <c r="W555" s="32">
        <v>0</v>
      </c>
      <c r="X555" s="32">
        <v>0</v>
      </c>
      <c r="Y555" s="32">
        <v>0</v>
      </c>
      <c r="Z555" s="32">
        <v>0</v>
      </c>
      <c r="AA555" s="32">
        <v>0</v>
      </c>
      <c r="AB555" s="32">
        <v>0</v>
      </c>
      <c r="AC555" s="32" t="s">
        <v>475</v>
      </c>
      <c r="AD555" s="32"/>
      <c r="AE555" s="32">
        <v>0</v>
      </c>
    </row>
    <row r="556" spans="1:31" x14ac:dyDescent="0.25">
      <c r="A556">
        <v>12629</v>
      </c>
      <c r="B556" t="s">
        <v>120</v>
      </c>
      <c r="C556" t="s">
        <v>474</v>
      </c>
      <c r="D556" s="35">
        <v>6516</v>
      </c>
      <c r="E556">
        <v>1246265830</v>
      </c>
      <c r="F556" s="328">
        <v>46113</v>
      </c>
      <c r="H556" t="s">
        <v>28</v>
      </c>
      <c r="I556" t="s">
        <v>29</v>
      </c>
      <c r="J556">
        <v>10586</v>
      </c>
      <c r="K556" s="328">
        <v>46049</v>
      </c>
      <c r="L556">
        <v>1010100</v>
      </c>
      <c r="M556" t="s">
        <v>35</v>
      </c>
      <c r="N556">
        <v>-1</v>
      </c>
      <c r="O556" s="32">
        <v>0</v>
      </c>
      <c r="P556" s="32">
        <v>0</v>
      </c>
      <c r="Q556" s="32">
        <v>6516</v>
      </c>
      <c r="R556" s="32">
        <v>0</v>
      </c>
      <c r="S556" s="32">
        <v>0</v>
      </c>
      <c r="T556" s="32">
        <v>0</v>
      </c>
      <c r="U556" s="32">
        <v>0</v>
      </c>
      <c r="V556" s="32">
        <v>0</v>
      </c>
      <c r="W556" s="32">
        <v>0</v>
      </c>
      <c r="X556" s="32">
        <v>0</v>
      </c>
      <c r="Y556" s="32">
        <v>0</v>
      </c>
      <c r="Z556" s="32">
        <v>0</v>
      </c>
      <c r="AA556" s="32">
        <v>0</v>
      </c>
      <c r="AB556" s="32">
        <v>0</v>
      </c>
      <c r="AC556" s="32" t="s">
        <v>475</v>
      </c>
      <c r="AD556" s="32"/>
      <c r="AE556" s="32">
        <v>0</v>
      </c>
    </row>
    <row r="557" spans="1:31" x14ac:dyDescent="0.25">
      <c r="A557">
        <v>12629</v>
      </c>
      <c r="B557" t="s">
        <v>120</v>
      </c>
      <c r="C557" t="s">
        <v>474</v>
      </c>
      <c r="D557" s="35">
        <v>153506.1</v>
      </c>
      <c r="E557">
        <v>1246268563</v>
      </c>
      <c r="F557" s="328">
        <v>46131</v>
      </c>
      <c r="H557" t="s">
        <v>28</v>
      </c>
      <c r="I557" t="s">
        <v>29</v>
      </c>
      <c r="J557">
        <v>10948</v>
      </c>
      <c r="K557" s="328">
        <v>46101</v>
      </c>
      <c r="L557">
        <v>1010100</v>
      </c>
      <c r="M557" t="s">
        <v>35</v>
      </c>
      <c r="N557">
        <v>-19</v>
      </c>
      <c r="O557" s="32">
        <v>0</v>
      </c>
      <c r="P557" s="32">
        <v>0</v>
      </c>
      <c r="Q557" s="32">
        <v>153506.1</v>
      </c>
      <c r="R557" s="32">
        <v>0</v>
      </c>
      <c r="S557" s="32">
        <v>0</v>
      </c>
      <c r="T557" s="32">
        <v>0</v>
      </c>
      <c r="U557" s="32">
        <v>0</v>
      </c>
      <c r="V557" s="32">
        <v>0</v>
      </c>
      <c r="W557" s="32">
        <v>0</v>
      </c>
      <c r="X557" s="32">
        <v>0</v>
      </c>
      <c r="Y557" s="32">
        <v>0</v>
      </c>
      <c r="Z557" s="32">
        <v>0</v>
      </c>
      <c r="AA557" s="32">
        <v>0</v>
      </c>
      <c r="AB557" s="32">
        <v>0</v>
      </c>
      <c r="AC557" s="32" t="s">
        <v>475</v>
      </c>
      <c r="AD557" s="32"/>
      <c r="AE557" s="32">
        <v>0</v>
      </c>
    </row>
    <row r="558" spans="1:31" x14ac:dyDescent="0.25">
      <c r="A558">
        <v>12629</v>
      </c>
      <c r="B558" t="s">
        <v>120</v>
      </c>
      <c r="C558" t="s">
        <v>474</v>
      </c>
      <c r="D558" s="35">
        <v>162465.60000000001</v>
      </c>
      <c r="E558">
        <v>1246269412</v>
      </c>
      <c r="F558" s="328">
        <v>46138</v>
      </c>
      <c r="H558" t="s">
        <v>28</v>
      </c>
      <c r="I558" t="s">
        <v>29</v>
      </c>
      <c r="J558">
        <v>10987</v>
      </c>
      <c r="K558" s="328">
        <v>46108</v>
      </c>
      <c r="L558">
        <v>1010100</v>
      </c>
      <c r="M558" t="s">
        <v>35</v>
      </c>
      <c r="N558">
        <v>-26</v>
      </c>
      <c r="O558" s="32">
        <v>0</v>
      </c>
      <c r="P558" s="32">
        <v>0</v>
      </c>
      <c r="Q558" s="32">
        <v>162465.60000000001</v>
      </c>
      <c r="R558" s="32">
        <v>0</v>
      </c>
      <c r="S558" s="32">
        <v>0</v>
      </c>
      <c r="T558" s="32">
        <v>0</v>
      </c>
      <c r="U558" s="32">
        <v>0</v>
      </c>
      <c r="V558" s="32">
        <v>0</v>
      </c>
      <c r="W558" s="32">
        <v>0</v>
      </c>
      <c r="X558" s="32">
        <v>0</v>
      </c>
      <c r="Y558" s="32">
        <v>0</v>
      </c>
      <c r="Z558" s="32">
        <v>0</v>
      </c>
      <c r="AA558" s="32">
        <v>0</v>
      </c>
      <c r="AB558" s="32">
        <v>0</v>
      </c>
      <c r="AC558" s="32" t="s">
        <v>475</v>
      </c>
      <c r="AD558" s="32"/>
      <c r="AE558" s="32">
        <v>0</v>
      </c>
    </row>
    <row r="559" spans="1:31" x14ac:dyDescent="0.25">
      <c r="A559">
        <v>12295</v>
      </c>
      <c r="B559" t="s">
        <v>207</v>
      </c>
      <c r="C559" t="s">
        <v>208</v>
      </c>
      <c r="D559" s="35">
        <v>129728</v>
      </c>
      <c r="E559">
        <v>1246100036</v>
      </c>
      <c r="F559" s="328">
        <v>45547</v>
      </c>
      <c r="H559" t="s">
        <v>173</v>
      </c>
      <c r="I559" t="s">
        <v>174</v>
      </c>
      <c r="J559">
        <v>843</v>
      </c>
      <c r="K559" s="328">
        <v>45162</v>
      </c>
      <c r="L559">
        <v>1010100</v>
      </c>
      <c r="M559" t="s">
        <v>35</v>
      </c>
      <c r="N559">
        <v>565</v>
      </c>
      <c r="O559" s="32">
        <v>0</v>
      </c>
      <c r="P559" s="32">
        <v>0</v>
      </c>
      <c r="Q559" s="32">
        <v>0</v>
      </c>
      <c r="R559" s="32">
        <v>0</v>
      </c>
      <c r="S559" s="32">
        <v>0</v>
      </c>
      <c r="T559" s="32">
        <v>0</v>
      </c>
      <c r="U559" s="32">
        <v>129728</v>
      </c>
      <c r="V559" s="32">
        <v>0</v>
      </c>
      <c r="W559" s="32">
        <v>3891.8399999999997</v>
      </c>
      <c r="X559" s="32">
        <v>125836.16</v>
      </c>
      <c r="Y559" s="32">
        <v>125836.16</v>
      </c>
      <c r="Z559" s="32">
        <v>129728</v>
      </c>
      <c r="AA559" s="32">
        <v>-129728</v>
      </c>
      <c r="AB559" s="32">
        <v>0</v>
      </c>
      <c r="AC559" s="32" t="s">
        <v>541</v>
      </c>
      <c r="AD559" s="32"/>
      <c r="AE559" s="32">
        <v>0</v>
      </c>
    </row>
    <row r="560" spans="1:31" x14ac:dyDescent="0.25">
      <c r="A560">
        <v>12295</v>
      </c>
      <c r="B560" t="s">
        <v>207</v>
      </c>
      <c r="C560" t="s">
        <v>208</v>
      </c>
      <c r="D560" s="35">
        <v>126208</v>
      </c>
      <c r="E560">
        <v>1246106003</v>
      </c>
      <c r="F560" s="328">
        <v>45559</v>
      </c>
      <c r="H560" t="s">
        <v>173</v>
      </c>
      <c r="I560" t="s">
        <v>174</v>
      </c>
      <c r="J560">
        <v>1328</v>
      </c>
      <c r="K560" s="328">
        <v>45194</v>
      </c>
      <c r="L560">
        <v>1010100</v>
      </c>
      <c r="M560" t="s">
        <v>35</v>
      </c>
      <c r="N560">
        <v>553</v>
      </c>
      <c r="O560" s="32">
        <v>0</v>
      </c>
      <c r="P560" s="32">
        <v>0</v>
      </c>
      <c r="Q560" s="32">
        <v>0</v>
      </c>
      <c r="R560" s="32">
        <v>0</v>
      </c>
      <c r="S560" s="32">
        <v>0</v>
      </c>
      <c r="T560" s="32">
        <v>0</v>
      </c>
      <c r="U560" s="32">
        <v>126208</v>
      </c>
      <c r="V560" s="32">
        <v>0</v>
      </c>
      <c r="W560" s="32">
        <v>3786.24</v>
      </c>
      <c r="X560" s="32">
        <v>122421.75999999999</v>
      </c>
      <c r="Y560" s="32">
        <v>122421.75999999999</v>
      </c>
      <c r="Z560" s="32">
        <v>126208</v>
      </c>
      <c r="AA560" s="32">
        <v>-126208</v>
      </c>
      <c r="AB560" s="32">
        <v>0</v>
      </c>
      <c r="AC560" s="32" t="s">
        <v>541</v>
      </c>
      <c r="AD560" s="32"/>
      <c r="AE560" s="32">
        <v>0</v>
      </c>
    </row>
    <row r="561" spans="1:31" x14ac:dyDescent="0.25">
      <c r="A561">
        <v>12295</v>
      </c>
      <c r="B561" t="s">
        <v>207</v>
      </c>
      <c r="C561" t="s">
        <v>208</v>
      </c>
      <c r="D561" s="35">
        <v>19965</v>
      </c>
      <c r="E561">
        <v>1246100409</v>
      </c>
      <c r="F561" s="328">
        <v>45548</v>
      </c>
      <c r="H561" t="s">
        <v>173</v>
      </c>
      <c r="I561" t="s">
        <v>174</v>
      </c>
      <c r="J561">
        <v>864</v>
      </c>
      <c r="K561" s="328">
        <v>45163</v>
      </c>
      <c r="L561">
        <v>1010100</v>
      </c>
      <c r="M561" t="s">
        <v>35</v>
      </c>
      <c r="N561">
        <v>564</v>
      </c>
      <c r="O561" s="32">
        <v>0</v>
      </c>
      <c r="P561" s="32">
        <v>0</v>
      </c>
      <c r="Q561" s="32">
        <v>0</v>
      </c>
      <c r="R561" s="32">
        <v>0</v>
      </c>
      <c r="S561" s="32">
        <v>0</v>
      </c>
      <c r="T561" s="32">
        <v>0</v>
      </c>
      <c r="U561" s="32">
        <v>19965</v>
      </c>
      <c r="V561" s="32">
        <v>0</v>
      </c>
      <c r="W561" s="32">
        <v>598.94999999999993</v>
      </c>
      <c r="X561" s="32">
        <v>19366.05</v>
      </c>
      <c r="Y561" s="32">
        <v>19366.05</v>
      </c>
      <c r="Z561" s="32">
        <v>19965</v>
      </c>
      <c r="AA561" s="32">
        <v>-19965</v>
      </c>
      <c r="AB561" s="32">
        <v>0</v>
      </c>
      <c r="AC561" s="32" t="s">
        <v>541</v>
      </c>
      <c r="AD561" s="32"/>
      <c r="AE561" s="32">
        <v>0</v>
      </c>
    </row>
    <row r="562" spans="1:31" x14ac:dyDescent="0.25">
      <c r="A562">
        <v>12295</v>
      </c>
      <c r="B562" t="s">
        <v>207</v>
      </c>
      <c r="C562" t="s">
        <v>208</v>
      </c>
      <c r="D562" s="35">
        <v>102625</v>
      </c>
      <c r="E562">
        <v>1246100411</v>
      </c>
      <c r="F562" s="328">
        <v>45548</v>
      </c>
      <c r="H562" t="s">
        <v>173</v>
      </c>
      <c r="I562" t="s">
        <v>174</v>
      </c>
      <c r="J562">
        <v>865</v>
      </c>
      <c r="K562" s="328">
        <v>45163</v>
      </c>
      <c r="L562">
        <v>1010100</v>
      </c>
      <c r="M562" t="s">
        <v>35</v>
      </c>
      <c r="N562">
        <v>564</v>
      </c>
      <c r="O562" s="32">
        <v>0</v>
      </c>
      <c r="P562" s="32">
        <v>0</v>
      </c>
      <c r="Q562" s="32">
        <v>0</v>
      </c>
      <c r="R562" s="32">
        <v>0</v>
      </c>
      <c r="S562" s="32">
        <v>0</v>
      </c>
      <c r="T562" s="32">
        <v>0</v>
      </c>
      <c r="U562" s="32">
        <v>102625</v>
      </c>
      <c r="V562" s="32">
        <v>0</v>
      </c>
      <c r="W562" s="32">
        <v>3078.75</v>
      </c>
      <c r="X562" s="32">
        <v>99546.25</v>
      </c>
      <c r="Y562" s="32">
        <v>99546.25</v>
      </c>
      <c r="Z562" s="32">
        <v>102625</v>
      </c>
      <c r="AA562" s="32">
        <v>-102625</v>
      </c>
      <c r="AB562" s="32">
        <v>0</v>
      </c>
      <c r="AC562" s="32" t="s">
        <v>541</v>
      </c>
      <c r="AD562" s="32"/>
      <c r="AE562" s="32">
        <v>0</v>
      </c>
    </row>
    <row r="563" spans="1:31" x14ac:dyDescent="0.25">
      <c r="A563">
        <v>12295</v>
      </c>
      <c r="B563" t="s">
        <v>207</v>
      </c>
      <c r="C563" t="s">
        <v>208</v>
      </c>
      <c r="D563" s="35">
        <v>23664</v>
      </c>
      <c r="E563">
        <v>1246100034</v>
      </c>
      <c r="F563" s="328">
        <v>45547</v>
      </c>
      <c r="H563" t="s">
        <v>173</v>
      </c>
      <c r="I563" t="s">
        <v>174</v>
      </c>
      <c r="J563">
        <v>842</v>
      </c>
      <c r="K563" s="328">
        <v>45162</v>
      </c>
      <c r="L563">
        <v>1010100</v>
      </c>
      <c r="M563" t="s">
        <v>35</v>
      </c>
      <c r="N563">
        <v>565</v>
      </c>
      <c r="O563" s="32">
        <v>0</v>
      </c>
      <c r="P563" s="32">
        <v>0</v>
      </c>
      <c r="Q563" s="32">
        <v>0</v>
      </c>
      <c r="R563" s="32">
        <v>0</v>
      </c>
      <c r="S563" s="32">
        <v>0</v>
      </c>
      <c r="T563" s="32">
        <v>0</v>
      </c>
      <c r="U563" s="32">
        <v>23664</v>
      </c>
      <c r="V563" s="32">
        <v>0</v>
      </c>
      <c r="W563" s="32">
        <v>709.92</v>
      </c>
      <c r="X563" s="32">
        <v>22954.079999999998</v>
      </c>
      <c r="Y563" s="32">
        <v>22954.079999999998</v>
      </c>
      <c r="Z563" s="32">
        <v>23664</v>
      </c>
      <c r="AA563" s="32">
        <v>-23664</v>
      </c>
      <c r="AB563" s="32">
        <v>0</v>
      </c>
      <c r="AC563" s="32" t="s">
        <v>541</v>
      </c>
      <c r="AD563" s="32"/>
      <c r="AE563" s="32">
        <v>0</v>
      </c>
    </row>
    <row r="564" spans="1:31" x14ac:dyDescent="0.25">
      <c r="A564">
        <v>12295</v>
      </c>
      <c r="B564" t="s">
        <v>207</v>
      </c>
      <c r="C564" t="s">
        <v>208</v>
      </c>
      <c r="D564" s="35">
        <v>126845</v>
      </c>
      <c r="E564">
        <v>1246102685</v>
      </c>
      <c r="F564" s="328">
        <v>45560</v>
      </c>
      <c r="H564" t="s">
        <v>173</v>
      </c>
      <c r="I564" t="s">
        <v>174</v>
      </c>
      <c r="J564">
        <v>1060</v>
      </c>
      <c r="K564" s="328">
        <v>45175</v>
      </c>
      <c r="L564">
        <v>1010100</v>
      </c>
      <c r="M564" t="s">
        <v>35</v>
      </c>
      <c r="N564">
        <v>552</v>
      </c>
      <c r="O564" s="32">
        <v>0</v>
      </c>
      <c r="P564" s="32">
        <v>0</v>
      </c>
      <c r="Q564" s="32">
        <v>0</v>
      </c>
      <c r="R564" s="32">
        <v>0</v>
      </c>
      <c r="S564" s="32">
        <v>0</v>
      </c>
      <c r="T564" s="32">
        <v>0</v>
      </c>
      <c r="U564" s="32">
        <v>126845</v>
      </c>
      <c r="V564" s="32">
        <v>0</v>
      </c>
      <c r="W564" s="32">
        <v>3805.35</v>
      </c>
      <c r="X564" s="32">
        <v>123039.65</v>
      </c>
      <c r="Y564" s="32">
        <v>123039.65</v>
      </c>
      <c r="Z564" s="32">
        <v>126845</v>
      </c>
      <c r="AA564" s="32">
        <v>-126845</v>
      </c>
      <c r="AB564" s="32">
        <v>0</v>
      </c>
      <c r="AC564" s="32" t="s">
        <v>541</v>
      </c>
      <c r="AD564" s="32"/>
      <c r="AE564" s="32">
        <v>0</v>
      </c>
    </row>
    <row r="565" spans="1:31" x14ac:dyDescent="0.25">
      <c r="A565">
        <v>12295</v>
      </c>
      <c r="B565" t="s">
        <v>207</v>
      </c>
      <c r="C565" t="s">
        <v>208</v>
      </c>
      <c r="D565" s="35">
        <v>119790</v>
      </c>
      <c r="E565">
        <v>1246100311</v>
      </c>
      <c r="F565" s="328">
        <v>45548</v>
      </c>
      <c r="H565" t="s">
        <v>173</v>
      </c>
      <c r="I565" t="s">
        <v>174</v>
      </c>
      <c r="J565">
        <v>851</v>
      </c>
      <c r="K565" s="328">
        <v>45163</v>
      </c>
      <c r="L565">
        <v>1010100</v>
      </c>
      <c r="M565" t="s">
        <v>35</v>
      </c>
      <c r="N565">
        <v>564</v>
      </c>
      <c r="O565" s="32">
        <v>0</v>
      </c>
      <c r="P565" s="32">
        <v>0</v>
      </c>
      <c r="Q565" s="32">
        <v>0</v>
      </c>
      <c r="R565" s="32">
        <v>0</v>
      </c>
      <c r="S565" s="32">
        <v>0</v>
      </c>
      <c r="T565" s="32">
        <v>0</v>
      </c>
      <c r="U565" s="32">
        <v>119790</v>
      </c>
      <c r="V565" s="32">
        <v>0</v>
      </c>
      <c r="W565" s="32">
        <v>3593.7</v>
      </c>
      <c r="X565" s="32">
        <v>116196.3</v>
      </c>
      <c r="Y565" s="32">
        <v>116196.3</v>
      </c>
      <c r="Z565" s="32">
        <v>119790</v>
      </c>
      <c r="AA565" s="32">
        <v>-119790</v>
      </c>
      <c r="AB565" s="32">
        <v>0</v>
      </c>
      <c r="AC565" s="32" t="s">
        <v>541</v>
      </c>
      <c r="AD565" s="32"/>
      <c r="AE565" s="32">
        <v>0</v>
      </c>
    </row>
    <row r="566" spans="1:31" x14ac:dyDescent="0.25">
      <c r="A566">
        <v>12295</v>
      </c>
      <c r="B566" t="s">
        <v>207</v>
      </c>
      <c r="C566" t="s">
        <v>208</v>
      </c>
      <c r="D566" s="35">
        <v>127776</v>
      </c>
      <c r="E566">
        <v>1246102654</v>
      </c>
      <c r="F566" s="328">
        <v>45560</v>
      </c>
      <c r="H566" t="s">
        <v>173</v>
      </c>
      <c r="I566" t="s">
        <v>174</v>
      </c>
      <c r="J566">
        <v>1053</v>
      </c>
      <c r="K566" s="328">
        <v>45175</v>
      </c>
      <c r="L566">
        <v>1010100</v>
      </c>
      <c r="M566" t="s">
        <v>35</v>
      </c>
      <c r="N566">
        <v>552</v>
      </c>
      <c r="O566" s="32">
        <v>0</v>
      </c>
      <c r="P566" s="32">
        <v>0</v>
      </c>
      <c r="Q566" s="32">
        <v>0</v>
      </c>
      <c r="R566" s="32">
        <v>0</v>
      </c>
      <c r="S566" s="32">
        <v>0</v>
      </c>
      <c r="T566" s="32">
        <v>0</v>
      </c>
      <c r="U566" s="32">
        <v>127776</v>
      </c>
      <c r="V566" s="32">
        <v>0</v>
      </c>
      <c r="W566" s="32">
        <v>3833.2799999999997</v>
      </c>
      <c r="X566" s="32">
        <v>123942.72</v>
      </c>
      <c r="Y566" s="32">
        <v>123942.72</v>
      </c>
      <c r="Z566" s="32">
        <v>127776</v>
      </c>
      <c r="AA566" s="32">
        <v>-127776</v>
      </c>
      <c r="AB566" s="32">
        <v>0</v>
      </c>
      <c r="AC566" s="32" t="s">
        <v>541</v>
      </c>
      <c r="AD566" s="32"/>
      <c r="AE566" s="32">
        <v>0</v>
      </c>
    </row>
    <row r="567" spans="1:31" x14ac:dyDescent="0.25">
      <c r="A567">
        <v>12295</v>
      </c>
      <c r="B567" t="s">
        <v>207</v>
      </c>
      <c r="C567" t="s">
        <v>208</v>
      </c>
      <c r="D567" s="35">
        <v>99410.750000000015</v>
      </c>
      <c r="E567">
        <v>1246240412</v>
      </c>
      <c r="F567" s="328">
        <v>45546</v>
      </c>
      <c r="H567" t="s">
        <v>173</v>
      </c>
      <c r="I567" t="s">
        <v>174</v>
      </c>
      <c r="J567">
        <v>176</v>
      </c>
      <c r="K567" s="328">
        <v>45161</v>
      </c>
      <c r="L567">
        <v>1010100</v>
      </c>
      <c r="M567" t="s">
        <v>35</v>
      </c>
      <c r="N567">
        <v>566</v>
      </c>
      <c r="O567" s="32">
        <v>0</v>
      </c>
      <c r="P567" s="32">
        <v>0</v>
      </c>
      <c r="Q567" s="32">
        <v>0</v>
      </c>
      <c r="R567" s="32">
        <v>0</v>
      </c>
      <c r="S567" s="32">
        <v>0</v>
      </c>
      <c r="T567" s="32">
        <v>0</v>
      </c>
      <c r="U567" s="32">
        <v>99410.750000000015</v>
      </c>
      <c r="V567" s="32">
        <v>0</v>
      </c>
      <c r="W567" s="32">
        <v>2982.3225000000002</v>
      </c>
      <c r="X567" s="32">
        <v>96428.427500000005</v>
      </c>
      <c r="Y567" s="32">
        <v>96428.427500000005</v>
      </c>
      <c r="Z567" s="32">
        <v>99410.750000000015</v>
      </c>
      <c r="AA567" s="32">
        <v>-99410.750000000015</v>
      </c>
      <c r="AB567" s="32">
        <v>0</v>
      </c>
      <c r="AC567" s="32" t="s">
        <v>541</v>
      </c>
      <c r="AD567" s="32"/>
      <c r="AE567" s="32">
        <v>0</v>
      </c>
    </row>
    <row r="568" spans="1:31" x14ac:dyDescent="0.25">
      <c r="A568">
        <v>13193</v>
      </c>
      <c r="B568" t="s">
        <v>210</v>
      </c>
      <c r="C568" t="s">
        <v>211</v>
      </c>
      <c r="D568" s="35">
        <v>39218.19</v>
      </c>
      <c r="E568">
        <v>1246129675</v>
      </c>
      <c r="F568" s="328">
        <v>45598</v>
      </c>
      <c r="H568" t="s">
        <v>173</v>
      </c>
      <c r="I568" t="s">
        <v>174</v>
      </c>
      <c r="J568">
        <v>2817</v>
      </c>
      <c r="K568" s="328">
        <v>45338</v>
      </c>
      <c r="L568">
        <v>1010100</v>
      </c>
      <c r="M568" t="s">
        <v>35</v>
      </c>
      <c r="N568">
        <v>514</v>
      </c>
      <c r="O568" s="32">
        <v>0</v>
      </c>
      <c r="P568" s="32">
        <v>39218.19</v>
      </c>
      <c r="Q568" s="32">
        <v>0</v>
      </c>
      <c r="R568" s="32">
        <v>0</v>
      </c>
      <c r="S568" s="32">
        <v>0</v>
      </c>
      <c r="T568" s="32">
        <v>0</v>
      </c>
      <c r="U568" s="32">
        <v>39218.19</v>
      </c>
      <c r="V568" s="32">
        <v>0</v>
      </c>
      <c r="W568" s="32">
        <v>1176.5457000000001</v>
      </c>
      <c r="X568" s="32">
        <v>38041.6443</v>
      </c>
      <c r="Y568" s="32">
        <v>38041.6443</v>
      </c>
      <c r="Z568" s="32">
        <v>39218.19</v>
      </c>
      <c r="AA568" s="32">
        <v>0</v>
      </c>
      <c r="AB568" s="32">
        <v>39218.19</v>
      </c>
      <c r="AC568" s="32" t="s">
        <v>541</v>
      </c>
      <c r="AD568" s="32"/>
      <c r="AE568" s="32">
        <v>39218.19</v>
      </c>
    </row>
    <row r="569" spans="1:31" x14ac:dyDescent="0.25">
      <c r="A569">
        <v>13193</v>
      </c>
      <c r="B569" t="s">
        <v>210</v>
      </c>
      <c r="C569" t="s">
        <v>211</v>
      </c>
      <c r="D569" s="35">
        <v>96537.1</v>
      </c>
      <c r="E569">
        <v>1246128994</v>
      </c>
      <c r="F569" s="328">
        <v>45599</v>
      </c>
      <c r="H569" t="s">
        <v>173</v>
      </c>
      <c r="I569" t="s">
        <v>174</v>
      </c>
      <c r="J569">
        <v>2765</v>
      </c>
      <c r="K569" s="328">
        <v>45331</v>
      </c>
      <c r="L569">
        <v>1010100</v>
      </c>
      <c r="M569" t="s">
        <v>35</v>
      </c>
      <c r="N569">
        <v>513</v>
      </c>
      <c r="O569" s="32">
        <v>0</v>
      </c>
      <c r="P569" s="32">
        <v>96537.1</v>
      </c>
      <c r="Q569" s="32">
        <v>0</v>
      </c>
      <c r="R569" s="32">
        <v>0</v>
      </c>
      <c r="S569" s="32">
        <v>0</v>
      </c>
      <c r="T569" s="32">
        <v>0</v>
      </c>
      <c r="U569" s="32">
        <v>96537.1</v>
      </c>
      <c r="V569" s="32">
        <v>0</v>
      </c>
      <c r="W569" s="32">
        <v>2896.1130000000003</v>
      </c>
      <c r="X569" s="32">
        <v>93640.987000000008</v>
      </c>
      <c r="Y569" s="32">
        <v>93640.987000000008</v>
      </c>
      <c r="Z569" s="32">
        <v>96537.1</v>
      </c>
      <c r="AA569" s="32">
        <v>0</v>
      </c>
      <c r="AB569" s="32">
        <v>96537.1</v>
      </c>
      <c r="AC569" s="32" t="s">
        <v>541</v>
      </c>
      <c r="AD569" s="32"/>
      <c r="AE569" s="32">
        <v>96537.1</v>
      </c>
    </row>
    <row r="570" spans="1:31" x14ac:dyDescent="0.25">
      <c r="A570">
        <v>13193</v>
      </c>
      <c r="B570" t="s">
        <v>210</v>
      </c>
      <c r="C570" t="s">
        <v>211</v>
      </c>
      <c r="D570" s="35">
        <v>14369.79</v>
      </c>
      <c r="E570">
        <v>1246129687</v>
      </c>
      <c r="F570" s="328">
        <v>45594</v>
      </c>
      <c r="H570" t="s">
        <v>173</v>
      </c>
      <c r="I570" t="s">
        <v>174</v>
      </c>
      <c r="J570">
        <v>2824</v>
      </c>
      <c r="K570" s="328">
        <v>45338</v>
      </c>
      <c r="L570">
        <v>1010100</v>
      </c>
      <c r="M570" t="s">
        <v>35</v>
      </c>
      <c r="N570">
        <v>518</v>
      </c>
      <c r="O570" s="32">
        <v>0</v>
      </c>
      <c r="P570" s="32">
        <v>14369.789999999999</v>
      </c>
      <c r="Q570" s="32">
        <v>0</v>
      </c>
      <c r="R570" s="32">
        <v>0</v>
      </c>
      <c r="S570" s="32">
        <v>0</v>
      </c>
      <c r="T570" s="32">
        <v>0</v>
      </c>
      <c r="U570" s="32">
        <v>14369.79</v>
      </c>
      <c r="V570" s="32">
        <v>0</v>
      </c>
      <c r="W570" s="32">
        <v>431.09370000000001</v>
      </c>
      <c r="X570" s="32">
        <v>13938.6963</v>
      </c>
      <c r="Y570" s="32">
        <v>13938.6963</v>
      </c>
      <c r="Z570" s="32">
        <v>14369.79</v>
      </c>
      <c r="AA570" s="32">
        <v>0</v>
      </c>
      <c r="AB570" s="32">
        <v>14369.789999999999</v>
      </c>
      <c r="AC570" s="32" t="s">
        <v>541</v>
      </c>
      <c r="AD570" s="32"/>
      <c r="AE570" s="32">
        <v>14369.789999999999</v>
      </c>
    </row>
    <row r="571" spans="1:31" x14ac:dyDescent="0.25">
      <c r="A571">
        <v>13193</v>
      </c>
      <c r="B571" t="s">
        <v>210</v>
      </c>
      <c r="C571" t="s">
        <v>211</v>
      </c>
      <c r="D571" s="35">
        <v>102482.69</v>
      </c>
      <c r="E571">
        <v>1246129689</v>
      </c>
      <c r="F571" s="328">
        <v>45594</v>
      </c>
      <c r="H571" t="s">
        <v>173</v>
      </c>
      <c r="I571" t="s">
        <v>174</v>
      </c>
      <c r="J571">
        <v>2825</v>
      </c>
      <c r="K571" s="328">
        <v>45338</v>
      </c>
      <c r="L571">
        <v>1010100</v>
      </c>
      <c r="M571" t="s">
        <v>35</v>
      </c>
      <c r="N571">
        <v>518</v>
      </c>
      <c r="O571" s="32">
        <v>0</v>
      </c>
      <c r="P571" s="32">
        <v>102482.69</v>
      </c>
      <c r="Q571" s="32">
        <v>0</v>
      </c>
      <c r="R571" s="32">
        <v>0</v>
      </c>
      <c r="S571" s="32">
        <v>0</v>
      </c>
      <c r="T571" s="32">
        <v>0</v>
      </c>
      <c r="U571" s="32">
        <v>102482.69</v>
      </c>
      <c r="V571" s="32">
        <v>0</v>
      </c>
      <c r="W571" s="32">
        <v>3074.4807000000001</v>
      </c>
      <c r="X571" s="32">
        <v>99408.209300000002</v>
      </c>
      <c r="Y571" s="32">
        <v>99408.209300000002</v>
      </c>
      <c r="Z571" s="32">
        <v>102482.69</v>
      </c>
      <c r="AA571" s="32">
        <v>0</v>
      </c>
      <c r="AB571" s="32">
        <v>102482.69</v>
      </c>
      <c r="AC571" s="32" t="s">
        <v>541</v>
      </c>
      <c r="AD571" s="32"/>
      <c r="AE571" s="32">
        <v>102482.69</v>
      </c>
    </row>
    <row r="572" spans="1:31" x14ac:dyDescent="0.25">
      <c r="A572">
        <v>13193</v>
      </c>
      <c r="B572" t="s">
        <v>210</v>
      </c>
      <c r="C572" t="s">
        <v>211</v>
      </c>
      <c r="D572" s="35">
        <v>96537.1</v>
      </c>
      <c r="E572">
        <v>1246128030</v>
      </c>
      <c r="F572" s="328">
        <v>45604</v>
      </c>
      <c r="H572" t="s">
        <v>173</v>
      </c>
      <c r="I572" t="s">
        <v>174</v>
      </c>
      <c r="J572">
        <v>2691</v>
      </c>
      <c r="K572" s="328">
        <v>45324</v>
      </c>
      <c r="L572">
        <v>1010100</v>
      </c>
      <c r="M572" t="s">
        <v>35</v>
      </c>
      <c r="N572">
        <v>508</v>
      </c>
      <c r="O572" s="32">
        <v>0</v>
      </c>
      <c r="P572" s="32">
        <v>96537.1</v>
      </c>
      <c r="Q572" s="32">
        <v>0</v>
      </c>
      <c r="R572" s="32">
        <v>0</v>
      </c>
      <c r="S572" s="32">
        <v>0</v>
      </c>
      <c r="T572" s="32">
        <v>0</v>
      </c>
      <c r="U572" s="32">
        <v>96537.1</v>
      </c>
      <c r="V572" s="32">
        <v>0</v>
      </c>
      <c r="W572" s="32">
        <v>2896.1130000000003</v>
      </c>
      <c r="X572" s="32">
        <v>93640.987000000008</v>
      </c>
      <c r="Y572" s="32">
        <v>93640.987000000008</v>
      </c>
      <c r="Z572" s="32">
        <v>96537.1</v>
      </c>
      <c r="AA572" s="32">
        <v>0</v>
      </c>
      <c r="AB572" s="32">
        <v>96537.1</v>
      </c>
      <c r="AC572" s="32" t="s">
        <v>541</v>
      </c>
      <c r="AD572" s="32"/>
      <c r="AE572" s="32">
        <v>96537.1</v>
      </c>
    </row>
    <row r="573" spans="1:31" x14ac:dyDescent="0.25">
      <c r="A573">
        <v>13193</v>
      </c>
      <c r="B573" t="s">
        <v>210</v>
      </c>
      <c r="C573" t="s">
        <v>211</v>
      </c>
      <c r="D573" s="35">
        <v>96537.1</v>
      </c>
      <c r="E573">
        <v>1246129535</v>
      </c>
      <c r="F573" s="328">
        <v>45597</v>
      </c>
      <c r="H573" t="s">
        <v>173</v>
      </c>
      <c r="I573" t="s">
        <v>174</v>
      </c>
      <c r="J573">
        <v>2797</v>
      </c>
      <c r="K573" s="328">
        <v>45337</v>
      </c>
      <c r="L573">
        <v>1010100</v>
      </c>
      <c r="M573" t="s">
        <v>35</v>
      </c>
      <c r="N573">
        <v>515</v>
      </c>
      <c r="O573" s="32">
        <v>0</v>
      </c>
      <c r="P573" s="32">
        <v>96537.1</v>
      </c>
      <c r="Q573" s="32">
        <v>0</v>
      </c>
      <c r="R573" s="32">
        <v>0</v>
      </c>
      <c r="S573" s="32">
        <v>0</v>
      </c>
      <c r="T573" s="32">
        <v>0</v>
      </c>
      <c r="U573" s="32">
        <v>96537.1</v>
      </c>
      <c r="V573" s="32">
        <v>0</v>
      </c>
      <c r="W573" s="32">
        <v>2896.1130000000003</v>
      </c>
      <c r="X573" s="32">
        <v>93640.987000000008</v>
      </c>
      <c r="Y573" s="32">
        <v>93640.987000000008</v>
      </c>
      <c r="Z573" s="32">
        <v>96537.1</v>
      </c>
      <c r="AA573" s="32">
        <v>0</v>
      </c>
      <c r="AB573" s="32">
        <v>96537.1</v>
      </c>
      <c r="AC573" s="32" t="s">
        <v>541</v>
      </c>
      <c r="AD573" s="32"/>
      <c r="AE573" s="32">
        <v>96537.1</v>
      </c>
    </row>
    <row r="574" spans="1:31" x14ac:dyDescent="0.25">
      <c r="A574">
        <v>13193</v>
      </c>
      <c r="B574" t="s">
        <v>210</v>
      </c>
      <c r="C574" t="s">
        <v>211</v>
      </c>
      <c r="D574" s="35">
        <v>12586.97</v>
      </c>
      <c r="E574">
        <v>1246129615</v>
      </c>
      <c r="F574" s="328">
        <v>45594</v>
      </c>
      <c r="H574" t="s">
        <v>173</v>
      </c>
      <c r="I574" t="s">
        <v>174</v>
      </c>
      <c r="J574">
        <v>2804</v>
      </c>
      <c r="K574" s="328">
        <v>45338</v>
      </c>
      <c r="L574">
        <v>1010100</v>
      </c>
      <c r="M574" t="s">
        <v>35</v>
      </c>
      <c r="N574">
        <v>518</v>
      </c>
      <c r="O574" s="32">
        <v>0</v>
      </c>
      <c r="P574" s="32">
        <v>12586.97</v>
      </c>
      <c r="Q574" s="32">
        <v>0</v>
      </c>
      <c r="R574" s="32">
        <v>0</v>
      </c>
      <c r="S574" s="32">
        <v>0</v>
      </c>
      <c r="T574" s="32">
        <v>0</v>
      </c>
      <c r="U574" s="32">
        <v>12586.97</v>
      </c>
      <c r="V574" s="32">
        <v>0</v>
      </c>
      <c r="W574" s="32">
        <v>377.60909999999996</v>
      </c>
      <c r="X574" s="32">
        <v>12209.3609</v>
      </c>
      <c r="Y574" s="32">
        <v>12209.3609</v>
      </c>
      <c r="Z574" s="32">
        <v>12586.97</v>
      </c>
      <c r="AA574" s="32">
        <v>0</v>
      </c>
      <c r="AB574" s="32">
        <v>12586.97</v>
      </c>
      <c r="AC574" s="32" t="s">
        <v>541</v>
      </c>
      <c r="AD574" s="32"/>
      <c r="AE574" s="32">
        <v>12586.97</v>
      </c>
    </row>
    <row r="575" spans="1:31" x14ac:dyDescent="0.25">
      <c r="A575">
        <v>13193</v>
      </c>
      <c r="B575" t="s">
        <v>210</v>
      </c>
      <c r="C575" t="s">
        <v>211</v>
      </c>
      <c r="D575" s="35">
        <v>96537.1</v>
      </c>
      <c r="E575">
        <v>1246129423</v>
      </c>
      <c r="F575" s="328">
        <v>45597</v>
      </c>
      <c r="H575" t="s">
        <v>173</v>
      </c>
      <c r="I575" t="s">
        <v>174</v>
      </c>
      <c r="J575">
        <v>2793</v>
      </c>
      <c r="K575" s="328">
        <v>45337</v>
      </c>
      <c r="L575">
        <v>1010100</v>
      </c>
      <c r="M575" t="s">
        <v>35</v>
      </c>
      <c r="N575">
        <v>515</v>
      </c>
      <c r="O575" s="32">
        <v>0</v>
      </c>
      <c r="P575" s="32">
        <v>96537.1</v>
      </c>
      <c r="Q575" s="32">
        <v>0</v>
      </c>
      <c r="R575" s="32">
        <v>0</v>
      </c>
      <c r="S575" s="32">
        <v>0</v>
      </c>
      <c r="T575" s="32">
        <v>0</v>
      </c>
      <c r="U575" s="32">
        <v>96537.1</v>
      </c>
      <c r="V575" s="32">
        <v>0</v>
      </c>
      <c r="W575" s="32">
        <v>2896.1130000000003</v>
      </c>
      <c r="X575" s="32">
        <v>93640.987000000008</v>
      </c>
      <c r="Y575" s="32">
        <v>93640.987000000008</v>
      </c>
      <c r="Z575" s="32">
        <v>96537.1</v>
      </c>
      <c r="AA575" s="32">
        <v>0</v>
      </c>
      <c r="AB575" s="32">
        <v>96537.1</v>
      </c>
      <c r="AC575" s="32" t="s">
        <v>541</v>
      </c>
      <c r="AD575" s="32"/>
      <c r="AE575" s="32">
        <v>96537.1</v>
      </c>
    </row>
    <row r="576" spans="1:31" x14ac:dyDescent="0.25">
      <c r="A576">
        <v>13193</v>
      </c>
      <c r="B576" t="s">
        <v>210</v>
      </c>
      <c r="C576" t="s">
        <v>211</v>
      </c>
      <c r="D576" s="35">
        <v>96537.1</v>
      </c>
      <c r="E576">
        <v>1246129513</v>
      </c>
      <c r="F576" s="328">
        <v>45605</v>
      </c>
      <c r="H576" t="s">
        <v>173</v>
      </c>
      <c r="I576" t="s">
        <v>174</v>
      </c>
      <c r="J576">
        <v>2795</v>
      </c>
      <c r="K576" s="328">
        <v>45337</v>
      </c>
      <c r="L576">
        <v>1010100</v>
      </c>
      <c r="M576" t="s">
        <v>35</v>
      </c>
      <c r="N576">
        <v>507</v>
      </c>
      <c r="O576" s="32">
        <v>0</v>
      </c>
      <c r="P576" s="32">
        <v>96537.1</v>
      </c>
      <c r="Q576" s="32">
        <v>0</v>
      </c>
      <c r="R576" s="32">
        <v>0</v>
      </c>
      <c r="S576" s="32">
        <v>0</v>
      </c>
      <c r="T576" s="32">
        <v>0</v>
      </c>
      <c r="U576" s="32">
        <v>96537.1</v>
      </c>
      <c r="V576" s="32">
        <v>0</v>
      </c>
      <c r="W576" s="32">
        <v>2896.1130000000003</v>
      </c>
      <c r="X576" s="32">
        <v>93640.987000000008</v>
      </c>
      <c r="Y576" s="32">
        <v>93640.987000000008</v>
      </c>
      <c r="Z576" s="32">
        <v>96537.1</v>
      </c>
      <c r="AA576" s="32">
        <v>0</v>
      </c>
      <c r="AB576" s="32">
        <v>96537.1</v>
      </c>
      <c r="AC576" s="32" t="s">
        <v>541</v>
      </c>
      <c r="AD576" s="32"/>
      <c r="AE576" s="32">
        <v>96537.1</v>
      </c>
    </row>
    <row r="577" spans="1:31" x14ac:dyDescent="0.25">
      <c r="A577">
        <v>13193</v>
      </c>
      <c r="B577" t="s">
        <v>210</v>
      </c>
      <c r="C577" t="s">
        <v>211</v>
      </c>
      <c r="D577" s="35">
        <v>100695.77</v>
      </c>
      <c r="E577">
        <v>1246129348</v>
      </c>
      <c r="F577" s="328">
        <v>45592</v>
      </c>
      <c r="H577" t="s">
        <v>173</v>
      </c>
      <c r="I577" t="s">
        <v>174</v>
      </c>
      <c r="J577">
        <v>2788</v>
      </c>
      <c r="K577" s="328">
        <v>45336</v>
      </c>
      <c r="L577">
        <v>1010100</v>
      </c>
      <c r="M577" t="s">
        <v>35</v>
      </c>
      <c r="N577">
        <v>520</v>
      </c>
      <c r="O577" s="32">
        <v>0</v>
      </c>
      <c r="P577" s="32">
        <v>100695.77</v>
      </c>
      <c r="Q577" s="32">
        <v>0</v>
      </c>
      <c r="R577" s="32">
        <v>0</v>
      </c>
      <c r="S577" s="32">
        <v>0</v>
      </c>
      <c r="T577" s="32">
        <v>0</v>
      </c>
      <c r="U577" s="32">
        <v>100695.77</v>
      </c>
      <c r="V577" s="32">
        <v>0</v>
      </c>
      <c r="W577" s="32">
        <v>3020.8730999999998</v>
      </c>
      <c r="X577" s="32">
        <v>97674.896900000007</v>
      </c>
      <c r="Y577" s="32">
        <v>97674.896900000007</v>
      </c>
      <c r="Z577" s="32">
        <v>100695.77</v>
      </c>
      <c r="AA577" s="32">
        <v>0</v>
      </c>
      <c r="AB577" s="32">
        <v>100695.77</v>
      </c>
      <c r="AC577" s="32" t="s">
        <v>541</v>
      </c>
      <c r="AD577" s="32"/>
      <c r="AE577" s="32">
        <v>100695.77</v>
      </c>
    </row>
    <row r="578" spans="1:31" x14ac:dyDescent="0.25">
      <c r="A578">
        <v>13193</v>
      </c>
      <c r="B578" t="s">
        <v>210</v>
      </c>
      <c r="C578" t="s">
        <v>211</v>
      </c>
      <c r="D578" s="35">
        <v>96537.12</v>
      </c>
      <c r="E578">
        <v>1246129613</v>
      </c>
      <c r="F578" s="328">
        <v>45598</v>
      </c>
      <c r="H578" t="s">
        <v>173</v>
      </c>
      <c r="I578" t="s">
        <v>174</v>
      </c>
      <c r="J578">
        <v>2803</v>
      </c>
      <c r="K578" s="328">
        <v>45338</v>
      </c>
      <c r="L578">
        <v>1010100</v>
      </c>
      <c r="M578" t="s">
        <v>35</v>
      </c>
      <c r="N578">
        <v>514</v>
      </c>
      <c r="O578" s="32">
        <v>0</v>
      </c>
      <c r="P578" s="32">
        <v>96537.12</v>
      </c>
      <c r="Q578" s="32">
        <v>0</v>
      </c>
      <c r="R578" s="32">
        <v>0</v>
      </c>
      <c r="S578" s="32">
        <v>0</v>
      </c>
      <c r="T578" s="32">
        <v>0</v>
      </c>
      <c r="U578" s="32">
        <v>96537.12</v>
      </c>
      <c r="V578" s="32">
        <v>0</v>
      </c>
      <c r="W578" s="32">
        <v>2896.1135999999997</v>
      </c>
      <c r="X578" s="32">
        <v>93641.006399999998</v>
      </c>
      <c r="Y578" s="32">
        <v>93641.006399999998</v>
      </c>
      <c r="Z578" s="32">
        <v>96537.12</v>
      </c>
      <c r="AA578" s="32">
        <v>0</v>
      </c>
      <c r="AB578" s="32">
        <v>96537.12</v>
      </c>
      <c r="AC578" s="32" t="s">
        <v>541</v>
      </c>
      <c r="AD578" s="32"/>
      <c r="AE578" s="32">
        <v>96537.12</v>
      </c>
    </row>
    <row r="579" spans="1:31" x14ac:dyDescent="0.25">
      <c r="A579">
        <v>13193</v>
      </c>
      <c r="B579" t="s">
        <v>210</v>
      </c>
      <c r="C579" t="s">
        <v>211</v>
      </c>
      <c r="D579" s="35">
        <v>114958.38999999998</v>
      </c>
      <c r="E579">
        <v>1246126152</v>
      </c>
      <c r="F579" s="328">
        <v>45594</v>
      </c>
      <c r="H579" t="s">
        <v>173</v>
      </c>
      <c r="I579" t="s">
        <v>174</v>
      </c>
      <c r="J579">
        <v>2568</v>
      </c>
      <c r="K579" s="328">
        <v>45314</v>
      </c>
      <c r="L579">
        <v>1010100</v>
      </c>
      <c r="M579" t="s">
        <v>35</v>
      </c>
      <c r="N579">
        <v>518</v>
      </c>
      <c r="O579" s="32">
        <v>0</v>
      </c>
      <c r="P579" s="32">
        <v>114958.38999999997</v>
      </c>
      <c r="Q579" s="32">
        <v>0</v>
      </c>
      <c r="R579" s="32">
        <v>0</v>
      </c>
      <c r="S579" s="32">
        <v>0</v>
      </c>
      <c r="T579" s="32">
        <v>0</v>
      </c>
      <c r="U579" s="32">
        <v>114958.38999999998</v>
      </c>
      <c r="V579" s="32">
        <v>0</v>
      </c>
      <c r="W579" s="32">
        <v>3448.7516999999993</v>
      </c>
      <c r="X579" s="32">
        <v>111509.63829999998</v>
      </c>
      <c r="Y579" s="32">
        <v>111509.63829999998</v>
      </c>
      <c r="Z579" s="32">
        <v>114958.38999999998</v>
      </c>
      <c r="AA579" s="32">
        <v>0</v>
      </c>
      <c r="AB579" s="32">
        <v>114958.38999999997</v>
      </c>
      <c r="AC579" s="32" t="s">
        <v>541</v>
      </c>
      <c r="AD579" s="32"/>
      <c r="AE579" s="32">
        <v>114958.38999999997</v>
      </c>
    </row>
    <row r="580" spans="1:31" x14ac:dyDescent="0.25">
      <c r="A580">
        <v>13193</v>
      </c>
      <c r="B580" t="s">
        <v>210</v>
      </c>
      <c r="C580" t="s">
        <v>211</v>
      </c>
      <c r="D580" s="35">
        <v>111898.75000000001</v>
      </c>
      <c r="E580">
        <v>1246126325</v>
      </c>
      <c r="F580" s="328">
        <v>45595</v>
      </c>
      <c r="H580" t="s">
        <v>173</v>
      </c>
      <c r="I580" t="s">
        <v>174</v>
      </c>
      <c r="J580">
        <v>2581</v>
      </c>
      <c r="K580" s="328">
        <v>45315</v>
      </c>
      <c r="L580">
        <v>1010100</v>
      </c>
      <c r="M580" t="s">
        <v>35</v>
      </c>
      <c r="N580">
        <v>517</v>
      </c>
      <c r="O580" s="32">
        <v>0</v>
      </c>
      <c r="P580" s="32">
        <v>111898.75</v>
      </c>
      <c r="Q580" s="32">
        <v>0</v>
      </c>
      <c r="R580" s="32">
        <v>0</v>
      </c>
      <c r="S580" s="32">
        <v>0</v>
      </c>
      <c r="T580" s="32">
        <v>0</v>
      </c>
      <c r="U580" s="32">
        <v>111898.75000000001</v>
      </c>
      <c r="V580" s="32">
        <v>0</v>
      </c>
      <c r="W580" s="32">
        <v>3356.9625000000001</v>
      </c>
      <c r="X580" s="32">
        <v>108541.78750000001</v>
      </c>
      <c r="Y580" s="32">
        <v>108541.78750000001</v>
      </c>
      <c r="Z580" s="32">
        <v>111898.75000000001</v>
      </c>
      <c r="AA580" s="32">
        <v>0</v>
      </c>
      <c r="AB580" s="32">
        <v>111898.75</v>
      </c>
      <c r="AC580" s="32" t="s">
        <v>541</v>
      </c>
      <c r="AD580" s="32"/>
      <c r="AE580" s="32">
        <v>111898.75</v>
      </c>
    </row>
    <row r="581" spans="1:31" x14ac:dyDescent="0.25">
      <c r="A581">
        <v>13193</v>
      </c>
      <c r="B581" t="s">
        <v>210</v>
      </c>
      <c r="C581" t="s">
        <v>211</v>
      </c>
      <c r="D581" s="35">
        <v>108604.24</v>
      </c>
      <c r="E581">
        <v>1246126878</v>
      </c>
      <c r="F581" s="328">
        <v>45597</v>
      </c>
      <c r="G581" s="329"/>
      <c r="H581" t="s">
        <v>173</v>
      </c>
      <c r="I581" t="s">
        <v>174</v>
      </c>
      <c r="J581">
        <v>2614</v>
      </c>
      <c r="K581" s="328">
        <v>45317</v>
      </c>
      <c r="L581">
        <v>1010100</v>
      </c>
      <c r="M581" t="s">
        <v>35</v>
      </c>
      <c r="N581">
        <v>515</v>
      </c>
      <c r="O581" s="32">
        <v>0</v>
      </c>
      <c r="P581" s="32">
        <v>108604.24</v>
      </c>
      <c r="Q581" s="32">
        <v>0</v>
      </c>
      <c r="R581" s="32">
        <v>0</v>
      </c>
      <c r="S581" s="32">
        <v>0</v>
      </c>
      <c r="T581" s="32">
        <v>0</v>
      </c>
      <c r="U581" s="32">
        <v>108604.24</v>
      </c>
      <c r="V581" s="32">
        <v>0</v>
      </c>
      <c r="W581" s="32">
        <v>3258.1271999999999</v>
      </c>
      <c r="X581" s="32">
        <v>105346.1128</v>
      </c>
      <c r="Y581" s="32">
        <v>105346.1128</v>
      </c>
      <c r="Z581" s="32">
        <v>108604.24</v>
      </c>
      <c r="AA581" s="32">
        <v>0</v>
      </c>
      <c r="AB581" s="32">
        <v>108604.24</v>
      </c>
      <c r="AC581" s="32" t="s">
        <v>541</v>
      </c>
      <c r="AD581" s="32"/>
      <c r="AE581" s="32">
        <v>108604.24</v>
      </c>
    </row>
    <row r="582" spans="1:31" x14ac:dyDescent="0.25">
      <c r="A582">
        <v>13193</v>
      </c>
      <c r="B582" t="s">
        <v>210</v>
      </c>
      <c r="C582" t="s">
        <v>211</v>
      </c>
      <c r="D582" s="35">
        <v>110524.44</v>
      </c>
      <c r="E582">
        <v>1246126771</v>
      </c>
      <c r="F582" s="328">
        <v>45597</v>
      </c>
      <c r="H582" t="s">
        <v>173</v>
      </c>
      <c r="I582" t="s">
        <v>174</v>
      </c>
      <c r="J582">
        <v>2605</v>
      </c>
      <c r="K582" s="328">
        <v>45317</v>
      </c>
      <c r="L582">
        <v>1010100</v>
      </c>
      <c r="M582" t="s">
        <v>35</v>
      </c>
      <c r="N582">
        <v>515</v>
      </c>
      <c r="O582" s="32">
        <v>0</v>
      </c>
      <c r="P582" s="32">
        <v>110524.44</v>
      </c>
      <c r="Q582" s="32">
        <v>0</v>
      </c>
      <c r="R582" s="32">
        <v>0</v>
      </c>
      <c r="S582" s="32">
        <v>0</v>
      </c>
      <c r="T582" s="32">
        <v>0</v>
      </c>
      <c r="U582" s="32">
        <v>110524.44</v>
      </c>
      <c r="V582" s="32">
        <v>0</v>
      </c>
      <c r="W582" s="32">
        <v>3315.7332000000001</v>
      </c>
      <c r="X582" s="32">
        <v>107208.7068</v>
      </c>
      <c r="Y582" s="32">
        <v>107208.7068</v>
      </c>
      <c r="Z582" s="32">
        <v>110524.44</v>
      </c>
      <c r="AA582" s="32">
        <v>0</v>
      </c>
      <c r="AB582" s="32">
        <v>110524.44</v>
      </c>
      <c r="AC582" s="32" t="s">
        <v>541</v>
      </c>
      <c r="AD582" s="32"/>
      <c r="AE582" s="32">
        <v>110524.44</v>
      </c>
    </row>
    <row r="583" spans="1:31" x14ac:dyDescent="0.25">
      <c r="A583">
        <v>13193</v>
      </c>
      <c r="B583" t="s">
        <v>210</v>
      </c>
      <c r="C583" t="s">
        <v>211</v>
      </c>
      <c r="D583" s="35">
        <v>81453.179999999993</v>
      </c>
      <c r="E583">
        <v>1246126682</v>
      </c>
      <c r="F583" s="328">
        <v>45596</v>
      </c>
      <c r="H583" t="s">
        <v>173</v>
      </c>
      <c r="I583" t="s">
        <v>174</v>
      </c>
      <c r="J583">
        <v>2598</v>
      </c>
      <c r="K583" s="328">
        <v>45316</v>
      </c>
      <c r="L583">
        <v>1010100</v>
      </c>
      <c r="M583" t="s">
        <v>35</v>
      </c>
      <c r="N583">
        <v>516</v>
      </c>
      <c r="O583" s="32">
        <v>0</v>
      </c>
      <c r="P583" s="32">
        <v>81453.179999999993</v>
      </c>
      <c r="Q583" s="32">
        <v>0</v>
      </c>
      <c r="R583" s="32">
        <v>0</v>
      </c>
      <c r="S583" s="32">
        <v>0</v>
      </c>
      <c r="T583" s="32">
        <v>0</v>
      </c>
      <c r="U583" s="32">
        <v>81453.179999999993</v>
      </c>
      <c r="V583" s="32">
        <v>0</v>
      </c>
      <c r="W583" s="32">
        <v>2443.5953999999997</v>
      </c>
      <c r="X583" s="32">
        <v>79009.584599999987</v>
      </c>
      <c r="Y583" s="32">
        <v>79009.584599999987</v>
      </c>
      <c r="Z583" s="32">
        <v>81453.179999999993</v>
      </c>
      <c r="AA583" s="32">
        <v>0</v>
      </c>
      <c r="AB583" s="32">
        <v>81453.179999999993</v>
      </c>
      <c r="AC583" s="32" t="s">
        <v>541</v>
      </c>
      <c r="AD583" s="32"/>
      <c r="AE583" s="32">
        <v>81453.179999999993</v>
      </c>
    </row>
    <row r="584" spans="1:31" x14ac:dyDescent="0.25">
      <c r="A584">
        <v>13193</v>
      </c>
      <c r="B584" t="s">
        <v>210</v>
      </c>
      <c r="C584" t="s">
        <v>211</v>
      </c>
      <c r="D584" s="35">
        <v>97994.5</v>
      </c>
      <c r="E584">
        <v>1246124699</v>
      </c>
      <c r="F584" s="328">
        <v>45593</v>
      </c>
      <c r="H584" t="s">
        <v>173</v>
      </c>
      <c r="I584" t="s">
        <v>174</v>
      </c>
      <c r="J584">
        <v>2485</v>
      </c>
      <c r="K584" s="328">
        <v>45303</v>
      </c>
      <c r="L584">
        <v>1010100</v>
      </c>
      <c r="M584" t="s">
        <v>35</v>
      </c>
      <c r="N584">
        <v>519</v>
      </c>
      <c r="O584" s="32">
        <v>0</v>
      </c>
      <c r="P584" s="32">
        <v>97994.5</v>
      </c>
      <c r="Q584" s="32">
        <v>0</v>
      </c>
      <c r="R584" s="32">
        <v>0</v>
      </c>
      <c r="S584" s="32">
        <v>0</v>
      </c>
      <c r="T584" s="32">
        <v>0</v>
      </c>
      <c r="U584" s="32">
        <v>97994.5</v>
      </c>
      <c r="V584" s="32">
        <v>0</v>
      </c>
      <c r="W584" s="32">
        <v>2939.835</v>
      </c>
      <c r="X584" s="32">
        <v>95054.664999999994</v>
      </c>
      <c r="Y584" s="32">
        <v>95054.664999999994</v>
      </c>
      <c r="Z584" s="32">
        <v>97994.5</v>
      </c>
      <c r="AA584" s="32">
        <v>0</v>
      </c>
      <c r="AB584" s="32">
        <v>97994.5</v>
      </c>
      <c r="AC584" s="32" t="s">
        <v>541</v>
      </c>
      <c r="AD584" s="32"/>
      <c r="AE584" s="32">
        <v>97994.5</v>
      </c>
    </row>
    <row r="585" spans="1:31" x14ac:dyDescent="0.25">
      <c r="A585">
        <v>13193</v>
      </c>
      <c r="B585" t="s">
        <v>210</v>
      </c>
      <c r="C585" t="s">
        <v>211</v>
      </c>
      <c r="D585" s="35">
        <v>102482.69</v>
      </c>
      <c r="E585">
        <v>1246129677</v>
      </c>
      <c r="F585" s="328">
        <v>45594</v>
      </c>
      <c r="H585" t="s">
        <v>173</v>
      </c>
      <c r="I585" t="s">
        <v>174</v>
      </c>
      <c r="J585">
        <v>2818</v>
      </c>
      <c r="K585" s="328">
        <v>45338</v>
      </c>
      <c r="L585">
        <v>1010100</v>
      </c>
      <c r="M585" t="s">
        <v>35</v>
      </c>
      <c r="N585">
        <v>518</v>
      </c>
      <c r="O585" s="32">
        <v>0</v>
      </c>
      <c r="P585" s="32">
        <v>102482.69</v>
      </c>
      <c r="Q585" s="32">
        <v>0</v>
      </c>
      <c r="R585" s="32">
        <v>0</v>
      </c>
      <c r="S585" s="32">
        <v>0</v>
      </c>
      <c r="T585" s="32">
        <v>0</v>
      </c>
      <c r="U585" s="32">
        <v>102482.69</v>
      </c>
      <c r="V585" s="32">
        <v>0</v>
      </c>
      <c r="W585" s="32">
        <v>3074.4807000000001</v>
      </c>
      <c r="X585" s="32">
        <v>99408.209300000002</v>
      </c>
      <c r="Y585" s="32">
        <v>99408.209300000002</v>
      </c>
      <c r="Z585" s="32">
        <v>102482.69</v>
      </c>
      <c r="AA585" s="32">
        <v>0</v>
      </c>
      <c r="AB585" s="32">
        <v>102482.69</v>
      </c>
      <c r="AC585" s="32" t="s">
        <v>541</v>
      </c>
      <c r="AD585" s="32"/>
      <c r="AE585" s="32">
        <v>102482.69</v>
      </c>
    </row>
    <row r="586" spans="1:31" x14ac:dyDescent="0.25">
      <c r="A586">
        <v>13193</v>
      </c>
      <c r="B586" t="s">
        <v>210</v>
      </c>
      <c r="C586" t="s">
        <v>211</v>
      </c>
      <c r="D586" s="35">
        <v>140175.09</v>
      </c>
      <c r="E586">
        <v>1246130332</v>
      </c>
      <c r="F586" s="328">
        <v>45599</v>
      </c>
      <c r="H586" t="s">
        <v>173</v>
      </c>
      <c r="I586" t="s">
        <v>174</v>
      </c>
      <c r="J586">
        <v>2873</v>
      </c>
      <c r="K586" s="328">
        <v>45343</v>
      </c>
      <c r="L586">
        <v>1010100</v>
      </c>
      <c r="M586" t="s">
        <v>35</v>
      </c>
      <c r="N586">
        <v>513</v>
      </c>
      <c r="O586" s="32">
        <v>0</v>
      </c>
      <c r="P586" s="32">
        <v>140175.09</v>
      </c>
      <c r="Q586" s="32">
        <v>0</v>
      </c>
      <c r="R586" s="32">
        <v>0</v>
      </c>
      <c r="S586" s="32">
        <v>0</v>
      </c>
      <c r="T586" s="32">
        <v>0</v>
      </c>
      <c r="U586" s="32">
        <v>140175.09</v>
      </c>
      <c r="V586" s="32">
        <v>0</v>
      </c>
      <c r="W586" s="32">
        <v>4205.2527</v>
      </c>
      <c r="X586" s="32">
        <v>135969.83729999998</v>
      </c>
      <c r="Y586" s="32">
        <v>135969.83729999998</v>
      </c>
      <c r="Z586" s="32">
        <v>140175.09</v>
      </c>
      <c r="AA586" s="32">
        <v>0</v>
      </c>
      <c r="AB586" s="32">
        <v>140175.09</v>
      </c>
      <c r="AC586" s="32" t="s">
        <v>541</v>
      </c>
      <c r="AD586" s="32"/>
      <c r="AE586" s="32">
        <v>140175.09</v>
      </c>
    </row>
    <row r="587" spans="1:31" x14ac:dyDescent="0.25">
      <c r="A587">
        <v>13193</v>
      </c>
      <c r="B587" t="s">
        <v>210</v>
      </c>
      <c r="C587" t="s">
        <v>211</v>
      </c>
      <c r="D587" s="35">
        <v>112140.07</v>
      </c>
      <c r="E587">
        <v>1246130309</v>
      </c>
      <c r="F587" s="328">
        <v>45599</v>
      </c>
      <c r="H587" t="s">
        <v>173</v>
      </c>
      <c r="I587" t="s">
        <v>174</v>
      </c>
      <c r="J587">
        <v>2867</v>
      </c>
      <c r="K587" s="328">
        <v>45343</v>
      </c>
      <c r="L587">
        <v>1010100</v>
      </c>
      <c r="M587" t="s">
        <v>35</v>
      </c>
      <c r="N587">
        <v>513</v>
      </c>
      <c r="O587" s="32">
        <v>0</v>
      </c>
      <c r="P587" s="32">
        <v>112140.06999999999</v>
      </c>
      <c r="Q587" s="32">
        <v>0</v>
      </c>
      <c r="R587" s="32">
        <v>0</v>
      </c>
      <c r="S587" s="32">
        <v>0</v>
      </c>
      <c r="T587" s="32">
        <v>0</v>
      </c>
      <c r="U587" s="32">
        <v>112140.07</v>
      </c>
      <c r="V587" s="32">
        <v>0</v>
      </c>
      <c r="W587" s="32">
        <v>3364.2021</v>
      </c>
      <c r="X587" s="32">
        <v>108775.8679</v>
      </c>
      <c r="Y587" s="32">
        <v>108775.8679</v>
      </c>
      <c r="Z587" s="32">
        <v>112140.07</v>
      </c>
      <c r="AA587" s="32">
        <v>0</v>
      </c>
      <c r="AB587" s="32">
        <v>112140.06999999999</v>
      </c>
      <c r="AC587" s="32" t="s">
        <v>541</v>
      </c>
      <c r="AD587" s="32"/>
      <c r="AE587" s="32">
        <v>112140.06999999999</v>
      </c>
    </row>
    <row r="588" spans="1:31" x14ac:dyDescent="0.25">
      <c r="A588">
        <v>13193</v>
      </c>
      <c r="B588" t="s">
        <v>210</v>
      </c>
      <c r="C588" t="s">
        <v>211</v>
      </c>
      <c r="D588" s="35">
        <v>105131.31</v>
      </c>
      <c r="E588">
        <v>1246132575</v>
      </c>
      <c r="F588" s="328">
        <v>45597</v>
      </c>
      <c r="H588" t="s">
        <v>173</v>
      </c>
      <c r="I588" t="s">
        <v>174</v>
      </c>
      <c r="J588">
        <v>2994</v>
      </c>
      <c r="K588" s="328">
        <v>45357</v>
      </c>
      <c r="L588">
        <v>1010100</v>
      </c>
      <c r="M588" t="s">
        <v>35</v>
      </c>
      <c r="N588">
        <v>515</v>
      </c>
      <c r="O588" s="32">
        <v>0</v>
      </c>
      <c r="P588" s="32">
        <v>105131.31</v>
      </c>
      <c r="Q588" s="32">
        <v>0</v>
      </c>
      <c r="R588" s="32">
        <v>0</v>
      </c>
      <c r="S588" s="32">
        <v>0</v>
      </c>
      <c r="T588" s="32">
        <v>0</v>
      </c>
      <c r="U588" s="32">
        <v>105131.31</v>
      </c>
      <c r="V588" s="32">
        <v>0</v>
      </c>
      <c r="W588" s="32">
        <v>3153.9393</v>
      </c>
      <c r="X588" s="32">
        <v>101977.3707</v>
      </c>
      <c r="Y588" s="32">
        <v>101977.3707</v>
      </c>
      <c r="Z588" s="32">
        <v>105131.31</v>
      </c>
      <c r="AA588" s="32">
        <v>0</v>
      </c>
      <c r="AB588" s="32">
        <v>105131.31</v>
      </c>
      <c r="AC588" s="32" t="s">
        <v>541</v>
      </c>
      <c r="AD588" s="32"/>
      <c r="AE588" s="32">
        <v>105131.31</v>
      </c>
    </row>
    <row r="589" spans="1:31" x14ac:dyDescent="0.25">
      <c r="A589">
        <v>13193</v>
      </c>
      <c r="B589" t="s">
        <v>210</v>
      </c>
      <c r="C589" t="s">
        <v>211</v>
      </c>
      <c r="D589" s="35">
        <v>97257.29</v>
      </c>
      <c r="E589">
        <v>1246139180</v>
      </c>
      <c r="F589" s="328">
        <v>45573</v>
      </c>
      <c r="H589" t="s">
        <v>173</v>
      </c>
      <c r="I589" t="s">
        <v>174</v>
      </c>
      <c r="J589">
        <v>3265</v>
      </c>
      <c r="K589" s="328">
        <v>45393</v>
      </c>
      <c r="L589">
        <v>1010100</v>
      </c>
      <c r="M589" t="s">
        <v>35</v>
      </c>
      <c r="N589">
        <v>539</v>
      </c>
      <c r="O589" s="32">
        <v>0</v>
      </c>
      <c r="P589" s="32">
        <v>97257.29</v>
      </c>
      <c r="Q589" s="32">
        <v>0</v>
      </c>
      <c r="R589" s="32">
        <v>0</v>
      </c>
      <c r="S589" s="32">
        <v>0</v>
      </c>
      <c r="T589" s="32">
        <v>0</v>
      </c>
      <c r="U589" s="32">
        <v>97257.29</v>
      </c>
      <c r="V589" s="32">
        <v>0</v>
      </c>
      <c r="W589" s="32">
        <v>2917.7186999999999</v>
      </c>
      <c r="X589" s="32">
        <v>94339.571299999996</v>
      </c>
      <c r="Y589" s="32">
        <v>94339.571299999996</v>
      </c>
      <c r="Z589" s="32">
        <v>97257.29</v>
      </c>
      <c r="AA589" s="32">
        <v>0</v>
      </c>
      <c r="AB589" s="32">
        <v>97257.29</v>
      </c>
      <c r="AC589" s="32" t="s">
        <v>541</v>
      </c>
      <c r="AD589" s="32"/>
      <c r="AE589" s="32">
        <v>97257.29</v>
      </c>
    </row>
    <row r="590" spans="1:31" x14ac:dyDescent="0.25">
      <c r="A590">
        <v>13193</v>
      </c>
      <c r="B590" t="s">
        <v>210</v>
      </c>
      <c r="C590" t="s">
        <v>211</v>
      </c>
      <c r="D590" s="35">
        <v>104293.46</v>
      </c>
      <c r="E590">
        <v>1246135519</v>
      </c>
      <c r="F590" s="328">
        <v>45600</v>
      </c>
      <c r="H590" t="s">
        <v>173</v>
      </c>
      <c r="I590" t="s">
        <v>174</v>
      </c>
      <c r="J590">
        <v>3146</v>
      </c>
      <c r="K590" s="328">
        <v>45373</v>
      </c>
      <c r="L590">
        <v>1010100</v>
      </c>
      <c r="M590" t="s">
        <v>35</v>
      </c>
      <c r="N590">
        <v>512</v>
      </c>
      <c r="O590" s="32">
        <v>0</v>
      </c>
      <c r="P590" s="32">
        <v>104293.45999999999</v>
      </c>
      <c r="Q590" s="32">
        <v>0</v>
      </c>
      <c r="R590" s="32">
        <v>0</v>
      </c>
      <c r="S590" s="32">
        <v>0</v>
      </c>
      <c r="T590" s="32">
        <v>0</v>
      </c>
      <c r="U590" s="32">
        <v>104293.46</v>
      </c>
      <c r="V590" s="32">
        <v>0</v>
      </c>
      <c r="W590" s="32">
        <v>3128.8038000000001</v>
      </c>
      <c r="X590" s="32">
        <v>101164.6562</v>
      </c>
      <c r="Y590" s="32">
        <v>101164.6562</v>
      </c>
      <c r="Z590" s="32">
        <v>104293.46</v>
      </c>
      <c r="AA590" s="32">
        <v>0</v>
      </c>
      <c r="AB590" s="32">
        <v>104293.45999999999</v>
      </c>
      <c r="AC590" s="32" t="s">
        <v>541</v>
      </c>
      <c r="AD590" s="32"/>
      <c r="AE590" s="32">
        <v>104293.45999999999</v>
      </c>
    </row>
    <row r="591" spans="1:31" x14ac:dyDescent="0.25">
      <c r="A591">
        <v>13193</v>
      </c>
      <c r="B591" t="s">
        <v>210</v>
      </c>
      <c r="C591" t="s">
        <v>211</v>
      </c>
      <c r="D591" s="35">
        <v>120980.73</v>
      </c>
      <c r="E591">
        <v>1246138904</v>
      </c>
      <c r="F591" s="328">
        <v>45572</v>
      </c>
      <c r="H591" t="s">
        <v>173</v>
      </c>
      <c r="I591" t="s">
        <v>174</v>
      </c>
      <c r="J591">
        <v>3260</v>
      </c>
      <c r="K591" s="328">
        <v>45392</v>
      </c>
      <c r="L591">
        <v>1010100</v>
      </c>
      <c r="M591" t="s">
        <v>35</v>
      </c>
      <c r="N591">
        <v>540</v>
      </c>
      <c r="O591" s="32">
        <v>0</v>
      </c>
      <c r="P591" s="32">
        <v>120980.73</v>
      </c>
      <c r="Q591" s="32">
        <v>0</v>
      </c>
      <c r="R591" s="32">
        <v>0</v>
      </c>
      <c r="S591" s="32">
        <v>0</v>
      </c>
      <c r="T591" s="32">
        <v>0</v>
      </c>
      <c r="U591" s="32">
        <v>120980.73</v>
      </c>
      <c r="V591" s="32">
        <v>0</v>
      </c>
      <c r="W591" s="32">
        <v>3629.4218999999998</v>
      </c>
      <c r="X591" s="32">
        <v>117351.30809999999</v>
      </c>
      <c r="Y591" s="32">
        <v>117351.30809999999</v>
      </c>
      <c r="Z591" s="32">
        <v>120980.73</v>
      </c>
      <c r="AA591" s="32">
        <v>0</v>
      </c>
      <c r="AB591" s="32">
        <v>120980.73</v>
      </c>
      <c r="AC591" s="32" t="s">
        <v>541</v>
      </c>
      <c r="AD591" s="32"/>
      <c r="AE591" s="32">
        <v>120980.73</v>
      </c>
    </row>
    <row r="592" spans="1:31" x14ac:dyDescent="0.25">
      <c r="A592">
        <v>13193</v>
      </c>
      <c r="B592" t="s">
        <v>210</v>
      </c>
      <c r="C592" t="s">
        <v>211</v>
      </c>
      <c r="D592" s="35">
        <v>142145.26999999999</v>
      </c>
      <c r="E592">
        <v>1246138695</v>
      </c>
      <c r="F592" s="328">
        <v>45571</v>
      </c>
      <c r="H592" t="s">
        <v>173</v>
      </c>
      <c r="I592" t="s">
        <v>174</v>
      </c>
      <c r="J592">
        <v>3255</v>
      </c>
      <c r="K592" s="328">
        <v>45391</v>
      </c>
      <c r="L592">
        <v>1010100</v>
      </c>
      <c r="M592" t="s">
        <v>35</v>
      </c>
      <c r="N592">
        <v>541</v>
      </c>
      <c r="O592" s="32">
        <v>0</v>
      </c>
      <c r="P592" s="32">
        <v>142145.26999999999</v>
      </c>
      <c r="Q592" s="32">
        <v>0</v>
      </c>
      <c r="R592" s="32">
        <v>0</v>
      </c>
      <c r="S592" s="32">
        <v>0</v>
      </c>
      <c r="T592" s="32">
        <v>0</v>
      </c>
      <c r="U592" s="32">
        <v>142145.26999999999</v>
      </c>
      <c r="V592" s="32">
        <v>0</v>
      </c>
      <c r="W592" s="32">
        <v>4264.3580999999995</v>
      </c>
      <c r="X592" s="32">
        <v>137880.91189999998</v>
      </c>
      <c r="Y592" s="32">
        <v>137880.91189999998</v>
      </c>
      <c r="Z592" s="32">
        <v>142145.26999999999</v>
      </c>
      <c r="AA592" s="32">
        <v>0</v>
      </c>
      <c r="AB592" s="32">
        <v>142145.26999999999</v>
      </c>
      <c r="AC592" s="32" t="s">
        <v>541</v>
      </c>
      <c r="AD592" s="32"/>
      <c r="AE592" s="32">
        <v>142145.26999999999</v>
      </c>
    </row>
    <row r="593" spans="1:31" x14ac:dyDescent="0.25">
      <c r="A593">
        <v>13193</v>
      </c>
      <c r="B593" t="s">
        <v>210</v>
      </c>
      <c r="C593" t="s">
        <v>211</v>
      </c>
      <c r="D593" s="35">
        <v>30167.84</v>
      </c>
      <c r="E593">
        <v>1246134824</v>
      </c>
      <c r="F593" s="328">
        <v>45597</v>
      </c>
      <c r="H593" t="s">
        <v>173</v>
      </c>
      <c r="I593" t="s">
        <v>174</v>
      </c>
      <c r="J593">
        <v>3122</v>
      </c>
      <c r="K593" s="328">
        <v>45370</v>
      </c>
      <c r="L593">
        <v>1010100</v>
      </c>
      <c r="M593" t="s">
        <v>35</v>
      </c>
      <c r="N593">
        <v>515</v>
      </c>
      <c r="O593" s="32">
        <v>0</v>
      </c>
      <c r="P593" s="32">
        <v>30167.839999999997</v>
      </c>
      <c r="Q593" s="32">
        <v>0</v>
      </c>
      <c r="R593" s="32">
        <v>0</v>
      </c>
      <c r="S593" s="32">
        <v>0</v>
      </c>
      <c r="T593" s="32">
        <v>0</v>
      </c>
      <c r="U593" s="32">
        <v>30167.84</v>
      </c>
      <c r="V593" s="32">
        <v>0</v>
      </c>
      <c r="W593" s="32">
        <v>905.03519999999992</v>
      </c>
      <c r="X593" s="32">
        <v>29262.804799999998</v>
      </c>
      <c r="Y593" s="32">
        <v>29262.804799999998</v>
      </c>
      <c r="Z593" s="32">
        <v>30167.84</v>
      </c>
      <c r="AA593" s="32">
        <v>0</v>
      </c>
      <c r="AB593" s="32">
        <v>30167.839999999997</v>
      </c>
      <c r="AC593" s="32" t="s">
        <v>541</v>
      </c>
      <c r="AD593" s="32"/>
      <c r="AE593" s="32">
        <v>30167.839999999997</v>
      </c>
    </row>
    <row r="594" spans="1:31" x14ac:dyDescent="0.25">
      <c r="A594">
        <v>13193</v>
      </c>
      <c r="B594" t="s">
        <v>210</v>
      </c>
      <c r="C594" t="s">
        <v>211</v>
      </c>
      <c r="D594" s="35">
        <v>96077.53</v>
      </c>
      <c r="E594">
        <v>1246134935</v>
      </c>
      <c r="F594" s="328">
        <v>45598</v>
      </c>
      <c r="H594" t="s">
        <v>173</v>
      </c>
      <c r="I594" t="s">
        <v>174</v>
      </c>
      <c r="J594">
        <v>3128</v>
      </c>
      <c r="K594" s="328">
        <v>45371</v>
      </c>
      <c r="L594">
        <v>1010100</v>
      </c>
      <c r="M594" t="s">
        <v>35</v>
      </c>
      <c r="N594">
        <v>514</v>
      </c>
      <c r="O594" s="32">
        <v>0</v>
      </c>
      <c r="P594" s="32">
        <v>96077.53</v>
      </c>
      <c r="Q594" s="32">
        <v>0</v>
      </c>
      <c r="R594" s="32">
        <v>0</v>
      </c>
      <c r="S594" s="32">
        <v>0</v>
      </c>
      <c r="T594" s="32">
        <v>0</v>
      </c>
      <c r="U594" s="32">
        <v>96077.53</v>
      </c>
      <c r="V594" s="32">
        <v>0</v>
      </c>
      <c r="W594" s="32">
        <v>2882.3258999999998</v>
      </c>
      <c r="X594" s="32">
        <v>93195.204100000003</v>
      </c>
      <c r="Y594" s="32">
        <v>93195.204100000003</v>
      </c>
      <c r="Z594" s="32">
        <v>96077.53</v>
      </c>
      <c r="AA594" s="32">
        <v>0</v>
      </c>
      <c r="AB594" s="32">
        <v>96077.53</v>
      </c>
      <c r="AC594" s="32" t="s">
        <v>541</v>
      </c>
      <c r="AD594" s="32"/>
      <c r="AE594" s="32">
        <v>96077.53</v>
      </c>
    </row>
    <row r="595" spans="1:31" x14ac:dyDescent="0.25">
      <c r="A595">
        <v>13193</v>
      </c>
      <c r="B595" t="s">
        <v>210</v>
      </c>
      <c r="C595" t="s">
        <v>211</v>
      </c>
      <c r="D595" s="35">
        <v>90503.54</v>
      </c>
      <c r="E595">
        <v>1246134807</v>
      </c>
      <c r="F595" s="328">
        <v>45597</v>
      </c>
      <c r="H595" t="s">
        <v>173</v>
      </c>
      <c r="I595" t="s">
        <v>174</v>
      </c>
      <c r="J595">
        <v>3119</v>
      </c>
      <c r="K595" s="328">
        <v>45370</v>
      </c>
      <c r="L595">
        <v>1010100</v>
      </c>
      <c r="M595" t="s">
        <v>35</v>
      </c>
      <c r="N595">
        <v>515</v>
      </c>
      <c r="O595" s="32">
        <v>0</v>
      </c>
      <c r="P595" s="32">
        <v>90503.539999999979</v>
      </c>
      <c r="Q595" s="32">
        <v>0</v>
      </c>
      <c r="R595" s="32">
        <v>0</v>
      </c>
      <c r="S595" s="32">
        <v>0</v>
      </c>
      <c r="T595" s="32">
        <v>0</v>
      </c>
      <c r="U595" s="32">
        <v>90503.54</v>
      </c>
      <c r="V595" s="32">
        <v>0</v>
      </c>
      <c r="W595" s="32">
        <v>2715.1061999999997</v>
      </c>
      <c r="X595" s="32">
        <v>87788.433799999984</v>
      </c>
      <c r="Y595" s="32">
        <v>87788.433799999984</v>
      </c>
      <c r="Z595" s="32">
        <v>90503.54</v>
      </c>
      <c r="AA595" s="32">
        <v>0</v>
      </c>
      <c r="AB595" s="32">
        <v>90503.539999999979</v>
      </c>
      <c r="AC595" s="32" t="s">
        <v>541</v>
      </c>
      <c r="AD595" s="32"/>
      <c r="AE595" s="32">
        <v>90503.539999999979</v>
      </c>
    </row>
    <row r="596" spans="1:31" x14ac:dyDescent="0.25">
      <c r="A596">
        <v>13193</v>
      </c>
      <c r="B596" t="s">
        <v>210</v>
      </c>
      <c r="C596" t="s">
        <v>211</v>
      </c>
      <c r="D596" s="35">
        <v>90503.54</v>
      </c>
      <c r="E596">
        <v>1246134540</v>
      </c>
      <c r="F596" s="328">
        <v>45596</v>
      </c>
      <c r="H596" t="s">
        <v>173</v>
      </c>
      <c r="I596" t="s">
        <v>174</v>
      </c>
      <c r="J596">
        <v>3110</v>
      </c>
      <c r="K596" s="328">
        <v>45369</v>
      </c>
      <c r="L596">
        <v>1010100</v>
      </c>
      <c r="M596" t="s">
        <v>35</v>
      </c>
      <c r="N596">
        <v>516</v>
      </c>
      <c r="O596" s="32">
        <v>0</v>
      </c>
      <c r="P596" s="32">
        <v>90503.539999999979</v>
      </c>
      <c r="Q596" s="32">
        <v>0</v>
      </c>
      <c r="R596" s="32">
        <v>0</v>
      </c>
      <c r="S596" s="32">
        <v>0</v>
      </c>
      <c r="T596" s="32">
        <v>0</v>
      </c>
      <c r="U596" s="32">
        <v>90503.54</v>
      </c>
      <c r="V596" s="32">
        <v>0</v>
      </c>
      <c r="W596" s="32">
        <v>2715.1061999999997</v>
      </c>
      <c r="X596" s="32">
        <v>87788.433799999984</v>
      </c>
      <c r="Y596" s="32">
        <v>87788.433799999984</v>
      </c>
      <c r="Z596" s="32">
        <v>90503.54</v>
      </c>
      <c r="AA596" s="32">
        <v>0</v>
      </c>
      <c r="AB596" s="32">
        <v>90503.539999999979</v>
      </c>
      <c r="AC596" s="32" t="s">
        <v>541</v>
      </c>
      <c r="AD596" s="32"/>
      <c r="AE596" s="32">
        <v>90503.539999999979</v>
      </c>
    </row>
    <row r="597" spans="1:31" x14ac:dyDescent="0.25">
      <c r="A597">
        <v>13193</v>
      </c>
      <c r="B597" t="s">
        <v>210</v>
      </c>
      <c r="C597" t="s">
        <v>211</v>
      </c>
      <c r="D597" s="35">
        <v>82776.289999999994</v>
      </c>
      <c r="E597">
        <v>1246139327</v>
      </c>
      <c r="F597" s="328">
        <v>45573</v>
      </c>
      <c r="H597" t="s">
        <v>173</v>
      </c>
      <c r="I597" t="s">
        <v>174</v>
      </c>
      <c r="J597">
        <v>3272</v>
      </c>
      <c r="K597" s="328">
        <v>45393</v>
      </c>
      <c r="L597">
        <v>1010100</v>
      </c>
      <c r="M597" t="s">
        <v>35</v>
      </c>
      <c r="N597">
        <v>539</v>
      </c>
      <c r="O597" s="32">
        <v>0</v>
      </c>
      <c r="P597" s="32">
        <v>82776.289999999994</v>
      </c>
      <c r="Q597" s="32">
        <v>0</v>
      </c>
      <c r="R597" s="32">
        <v>0</v>
      </c>
      <c r="S597" s="32">
        <v>0</v>
      </c>
      <c r="T597" s="32">
        <v>0</v>
      </c>
      <c r="U597" s="32">
        <v>82776.289999999994</v>
      </c>
      <c r="V597" s="32">
        <v>0</v>
      </c>
      <c r="W597" s="32">
        <v>2483.2886999999996</v>
      </c>
      <c r="X597" s="32">
        <v>80293.001299999989</v>
      </c>
      <c r="Y597" s="32">
        <v>80293.001299999989</v>
      </c>
      <c r="Z597" s="32">
        <v>82776.289999999994</v>
      </c>
      <c r="AA597" s="32">
        <v>0</v>
      </c>
      <c r="AB597" s="32">
        <v>82776.289999999994</v>
      </c>
      <c r="AC597" s="32" t="s">
        <v>541</v>
      </c>
      <c r="AD597" s="32"/>
      <c r="AE597" s="32">
        <v>82776.289999999994</v>
      </c>
    </row>
    <row r="598" spans="1:31" x14ac:dyDescent="0.25">
      <c r="A598">
        <v>13193</v>
      </c>
      <c r="B598" t="s">
        <v>210</v>
      </c>
      <c r="C598" t="s">
        <v>211</v>
      </c>
      <c r="D598" s="35">
        <v>64051.68</v>
      </c>
      <c r="E598">
        <v>1246134828</v>
      </c>
      <c r="F598" s="328">
        <v>45597</v>
      </c>
      <c r="H598" t="s">
        <v>173</v>
      </c>
      <c r="I598" t="s">
        <v>174</v>
      </c>
      <c r="J598">
        <v>3123</v>
      </c>
      <c r="K598" s="328">
        <v>45370</v>
      </c>
      <c r="L598">
        <v>1010100</v>
      </c>
      <c r="M598" t="s">
        <v>35</v>
      </c>
      <c r="N598">
        <v>515</v>
      </c>
      <c r="O598" s="32">
        <v>0</v>
      </c>
      <c r="P598" s="32">
        <v>64051.68</v>
      </c>
      <c r="Q598" s="32">
        <v>0</v>
      </c>
      <c r="R598" s="32">
        <v>0</v>
      </c>
      <c r="S598" s="32">
        <v>0</v>
      </c>
      <c r="T598" s="32">
        <v>0</v>
      </c>
      <c r="U598" s="32">
        <v>64051.68</v>
      </c>
      <c r="V598" s="32">
        <v>0</v>
      </c>
      <c r="W598" s="32">
        <v>1921.5503999999999</v>
      </c>
      <c r="X598" s="32">
        <v>62130.1296</v>
      </c>
      <c r="Y598" s="32">
        <v>62130.1296</v>
      </c>
      <c r="Z598" s="32">
        <v>64051.68</v>
      </c>
      <c r="AA598" s="32">
        <v>0</v>
      </c>
      <c r="AB598" s="32">
        <v>64051.68</v>
      </c>
      <c r="AC598" s="32" t="s">
        <v>541</v>
      </c>
      <c r="AD598" s="32"/>
      <c r="AE598" s="32">
        <v>64051.68</v>
      </c>
    </row>
    <row r="599" spans="1:31" x14ac:dyDescent="0.25">
      <c r="A599">
        <v>13193</v>
      </c>
      <c r="B599" t="s">
        <v>210</v>
      </c>
      <c r="C599" t="s">
        <v>211</v>
      </c>
      <c r="D599" s="35">
        <v>96077.53</v>
      </c>
      <c r="E599">
        <v>1246134926</v>
      </c>
      <c r="F599" s="328">
        <v>45598</v>
      </c>
      <c r="H599" t="s">
        <v>173</v>
      </c>
      <c r="I599" t="s">
        <v>174</v>
      </c>
      <c r="J599">
        <v>3126</v>
      </c>
      <c r="K599" s="328">
        <v>45371</v>
      </c>
      <c r="L599">
        <v>1010100</v>
      </c>
      <c r="M599" t="s">
        <v>35</v>
      </c>
      <c r="N599">
        <v>514</v>
      </c>
      <c r="O599" s="32">
        <v>0</v>
      </c>
      <c r="P599" s="32">
        <v>96077.53</v>
      </c>
      <c r="Q599" s="32">
        <v>0</v>
      </c>
      <c r="R599" s="32">
        <v>0</v>
      </c>
      <c r="S599" s="32">
        <v>0</v>
      </c>
      <c r="T599" s="32">
        <v>0</v>
      </c>
      <c r="U599" s="32">
        <v>96077.53</v>
      </c>
      <c r="V599" s="32">
        <v>0</v>
      </c>
      <c r="W599" s="32">
        <v>2882.3258999999998</v>
      </c>
      <c r="X599" s="32">
        <v>93195.204100000003</v>
      </c>
      <c r="Y599" s="32">
        <v>93195.204100000003</v>
      </c>
      <c r="Z599" s="32">
        <v>96077.53</v>
      </c>
      <c r="AA599" s="32">
        <v>0</v>
      </c>
      <c r="AB599" s="32">
        <v>96077.53</v>
      </c>
      <c r="AC599" s="32" t="s">
        <v>541</v>
      </c>
      <c r="AD599" s="32"/>
      <c r="AE599" s="32">
        <v>96077.53</v>
      </c>
    </row>
    <row r="600" spans="1:31" x14ac:dyDescent="0.25">
      <c r="A600">
        <v>13193</v>
      </c>
      <c r="B600" t="s">
        <v>210</v>
      </c>
      <c r="C600" t="s">
        <v>211</v>
      </c>
      <c r="D600" s="35">
        <v>96077.53</v>
      </c>
      <c r="E600">
        <v>1246135475</v>
      </c>
      <c r="F600" s="328">
        <v>45600</v>
      </c>
      <c r="H600" t="s">
        <v>173</v>
      </c>
      <c r="I600" t="s">
        <v>174</v>
      </c>
      <c r="J600">
        <v>3143</v>
      </c>
      <c r="K600" s="328">
        <v>45373</v>
      </c>
      <c r="L600">
        <v>1010100</v>
      </c>
      <c r="M600" t="s">
        <v>35</v>
      </c>
      <c r="N600">
        <v>512</v>
      </c>
      <c r="O600" s="32">
        <v>0</v>
      </c>
      <c r="P600" s="32">
        <v>96077.53</v>
      </c>
      <c r="Q600" s="32">
        <v>0</v>
      </c>
      <c r="R600" s="32">
        <v>0</v>
      </c>
      <c r="S600" s="32">
        <v>0</v>
      </c>
      <c r="T600" s="32">
        <v>0</v>
      </c>
      <c r="U600" s="32">
        <v>96077.53</v>
      </c>
      <c r="V600" s="32">
        <v>0</v>
      </c>
      <c r="W600" s="32">
        <v>2882.3258999999998</v>
      </c>
      <c r="X600" s="32">
        <v>93195.204100000003</v>
      </c>
      <c r="Y600" s="32">
        <v>93195.204100000003</v>
      </c>
      <c r="Z600" s="32">
        <v>96077.53</v>
      </c>
      <c r="AA600" s="32">
        <v>0</v>
      </c>
      <c r="AB600" s="32">
        <v>96077.53</v>
      </c>
      <c r="AC600" s="32" t="s">
        <v>541</v>
      </c>
      <c r="AD600" s="32"/>
      <c r="AE600" s="32">
        <v>96077.53</v>
      </c>
    </row>
    <row r="601" spans="1:31" x14ac:dyDescent="0.25">
      <c r="A601">
        <v>14348</v>
      </c>
      <c r="B601" t="s">
        <v>452</v>
      </c>
      <c r="C601" t="s">
        <v>498</v>
      </c>
      <c r="D601" s="35">
        <v>131567.4</v>
      </c>
      <c r="E601">
        <v>1246216319</v>
      </c>
      <c r="F601" s="328">
        <v>46133</v>
      </c>
      <c r="H601" t="s">
        <v>173</v>
      </c>
      <c r="I601" t="s">
        <v>174</v>
      </c>
      <c r="J601">
        <v>2021</v>
      </c>
      <c r="K601" s="328">
        <v>45806</v>
      </c>
      <c r="L601">
        <v>1010100</v>
      </c>
      <c r="M601" t="s">
        <v>35</v>
      </c>
      <c r="N601">
        <v>-21</v>
      </c>
      <c r="O601" s="32">
        <v>0</v>
      </c>
      <c r="P601" s="32">
        <v>0</v>
      </c>
      <c r="Q601" s="32">
        <v>131567.4</v>
      </c>
      <c r="R601" s="32">
        <v>0</v>
      </c>
      <c r="S601" s="32">
        <v>0</v>
      </c>
      <c r="T601" s="32">
        <v>0</v>
      </c>
      <c r="U601" s="32">
        <v>0</v>
      </c>
      <c r="V601" s="32">
        <v>0</v>
      </c>
      <c r="W601" s="32">
        <v>0</v>
      </c>
      <c r="X601" s="32">
        <v>0</v>
      </c>
      <c r="Y601" s="32">
        <v>0</v>
      </c>
      <c r="Z601" s="32">
        <v>0</v>
      </c>
      <c r="AA601" s="32">
        <v>0</v>
      </c>
      <c r="AB601" s="32">
        <v>0</v>
      </c>
      <c r="AC601" s="32" t="s">
        <v>475</v>
      </c>
      <c r="AD601" s="32"/>
      <c r="AE601" s="32">
        <v>0</v>
      </c>
    </row>
    <row r="602" spans="1:31" x14ac:dyDescent="0.25">
      <c r="A602">
        <v>14348</v>
      </c>
      <c r="B602" t="s">
        <v>452</v>
      </c>
      <c r="C602" t="s">
        <v>498</v>
      </c>
      <c r="D602" s="35">
        <v>188669.12</v>
      </c>
      <c r="E602">
        <v>1246215914</v>
      </c>
      <c r="F602" s="328">
        <v>46132</v>
      </c>
      <c r="H602" t="s">
        <v>173</v>
      </c>
      <c r="I602" t="s">
        <v>174</v>
      </c>
      <c r="J602">
        <v>7942</v>
      </c>
      <c r="K602" s="328">
        <v>45805</v>
      </c>
      <c r="L602">
        <v>1010100</v>
      </c>
      <c r="M602" t="s">
        <v>35</v>
      </c>
      <c r="N602">
        <v>-20</v>
      </c>
      <c r="O602" s="32">
        <v>0</v>
      </c>
      <c r="P602" s="32">
        <v>0</v>
      </c>
      <c r="Q602" s="32">
        <v>188669.12</v>
      </c>
      <c r="R602" s="32">
        <v>0</v>
      </c>
      <c r="S602" s="32">
        <v>0</v>
      </c>
      <c r="T602" s="32">
        <v>0</v>
      </c>
      <c r="U602" s="32">
        <v>0</v>
      </c>
      <c r="V602" s="32">
        <v>0</v>
      </c>
      <c r="W602" s="32">
        <v>0</v>
      </c>
      <c r="X602" s="32">
        <v>0</v>
      </c>
      <c r="Y602" s="32">
        <v>0</v>
      </c>
      <c r="Z602" s="32">
        <v>0</v>
      </c>
      <c r="AA602" s="32">
        <v>0</v>
      </c>
      <c r="AB602" s="32">
        <v>0</v>
      </c>
      <c r="AC602" s="32" t="s">
        <v>475</v>
      </c>
      <c r="AD602" s="32"/>
      <c r="AE602" s="32">
        <v>0</v>
      </c>
    </row>
    <row r="603" spans="1:31" x14ac:dyDescent="0.25">
      <c r="A603">
        <v>14348</v>
      </c>
      <c r="B603" t="s">
        <v>452</v>
      </c>
      <c r="C603" t="s">
        <v>498</v>
      </c>
      <c r="D603" s="35">
        <v>188669.12</v>
      </c>
      <c r="E603">
        <v>1246215868</v>
      </c>
      <c r="F603" s="328">
        <v>46132</v>
      </c>
      <c r="H603" t="s">
        <v>173</v>
      </c>
      <c r="I603" t="s">
        <v>174</v>
      </c>
      <c r="J603">
        <v>7933</v>
      </c>
      <c r="K603" s="328">
        <v>45805</v>
      </c>
      <c r="L603">
        <v>1010100</v>
      </c>
      <c r="M603" t="s">
        <v>35</v>
      </c>
      <c r="N603">
        <v>-20</v>
      </c>
      <c r="O603" s="32">
        <v>0</v>
      </c>
      <c r="P603" s="32">
        <v>0</v>
      </c>
      <c r="Q603" s="32">
        <v>188669.12</v>
      </c>
      <c r="R603" s="32">
        <v>0</v>
      </c>
      <c r="S603" s="32">
        <v>0</v>
      </c>
      <c r="T603" s="32">
        <v>0</v>
      </c>
      <c r="U603" s="32">
        <v>0</v>
      </c>
      <c r="V603" s="32">
        <v>0</v>
      </c>
      <c r="W603" s="32">
        <v>0</v>
      </c>
      <c r="X603" s="32">
        <v>0</v>
      </c>
      <c r="Y603" s="32">
        <v>0</v>
      </c>
      <c r="Z603" s="32">
        <v>0</v>
      </c>
      <c r="AA603" s="32">
        <v>0</v>
      </c>
      <c r="AB603" s="32">
        <v>0</v>
      </c>
      <c r="AC603" s="32" t="s">
        <v>475</v>
      </c>
      <c r="AD603" s="32"/>
      <c r="AE603" s="32">
        <v>0</v>
      </c>
    </row>
    <row r="604" spans="1:31" x14ac:dyDescent="0.25">
      <c r="A604">
        <v>14348</v>
      </c>
      <c r="B604" t="s">
        <v>452</v>
      </c>
      <c r="C604" t="s">
        <v>498</v>
      </c>
      <c r="D604" s="35">
        <v>131567.4</v>
      </c>
      <c r="E604">
        <v>1246216133</v>
      </c>
      <c r="F604" s="328">
        <v>46133</v>
      </c>
      <c r="H604" t="s">
        <v>173</v>
      </c>
      <c r="I604" t="s">
        <v>174</v>
      </c>
      <c r="J604">
        <v>7957</v>
      </c>
      <c r="K604" s="328">
        <v>45806</v>
      </c>
      <c r="L604">
        <v>1010100</v>
      </c>
      <c r="M604" t="s">
        <v>35</v>
      </c>
      <c r="N604">
        <v>-21</v>
      </c>
      <c r="O604" s="32">
        <v>0</v>
      </c>
      <c r="P604" s="32">
        <v>0</v>
      </c>
      <c r="Q604" s="32">
        <v>131567.4</v>
      </c>
      <c r="R604" s="32">
        <v>0</v>
      </c>
      <c r="S604" s="32">
        <v>0</v>
      </c>
      <c r="T604" s="32">
        <v>0</v>
      </c>
      <c r="U604" s="32">
        <v>0</v>
      </c>
      <c r="V604" s="32">
        <v>0</v>
      </c>
      <c r="W604" s="32">
        <v>0</v>
      </c>
      <c r="X604" s="32">
        <v>0</v>
      </c>
      <c r="Y604" s="32">
        <v>0</v>
      </c>
      <c r="Z604" s="32">
        <v>0</v>
      </c>
      <c r="AA604" s="32">
        <v>0</v>
      </c>
      <c r="AB604" s="32">
        <v>0</v>
      </c>
      <c r="AC604" s="32" t="s">
        <v>475</v>
      </c>
      <c r="AD604" s="32"/>
      <c r="AE604" s="32">
        <v>0</v>
      </c>
    </row>
    <row r="605" spans="1:31" x14ac:dyDescent="0.25">
      <c r="A605">
        <v>14552</v>
      </c>
      <c r="B605" t="s">
        <v>335</v>
      </c>
      <c r="C605" t="s">
        <v>336</v>
      </c>
      <c r="D605" s="35">
        <v>156088</v>
      </c>
      <c r="E605">
        <v>1246226199</v>
      </c>
      <c r="F605" s="328">
        <v>46142</v>
      </c>
      <c r="H605" t="s">
        <v>173</v>
      </c>
      <c r="I605" t="s">
        <v>174</v>
      </c>
      <c r="J605">
        <v>8567</v>
      </c>
      <c r="K605" s="328">
        <v>45859</v>
      </c>
      <c r="L605">
        <v>1010100</v>
      </c>
      <c r="M605" t="s">
        <v>35</v>
      </c>
      <c r="N605">
        <v>-30</v>
      </c>
      <c r="O605" s="32">
        <v>0</v>
      </c>
      <c r="P605" s="32">
        <v>0</v>
      </c>
      <c r="Q605" s="32">
        <v>156088</v>
      </c>
      <c r="R605" s="32">
        <v>0</v>
      </c>
      <c r="S605" s="32">
        <v>0</v>
      </c>
      <c r="T605" s="32">
        <v>0</v>
      </c>
      <c r="U605" s="32">
        <v>0</v>
      </c>
      <c r="V605" s="32">
        <v>0</v>
      </c>
      <c r="W605" s="32">
        <v>0</v>
      </c>
      <c r="X605" s="32">
        <v>0</v>
      </c>
      <c r="Y605" s="32">
        <v>0</v>
      </c>
      <c r="Z605" s="32">
        <v>0</v>
      </c>
      <c r="AA605" s="32">
        <v>0</v>
      </c>
      <c r="AB605" s="32">
        <v>0</v>
      </c>
      <c r="AC605" s="32" t="s">
        <v>475</v>
      </c>
      <c r="AD605" s="32"/>
      <c r="AE605" s="32">
        <v>0</v>
      </c>
    </row>
    <row r="606" spans="1:31" x14ac:dyDescent="0.25">
      <c r="A606">
        <v>14552</v>
      </c>
      <c r="B606" t="s">
        <v>335</v>
      </c>
      <c r="C606" t="s">
        <v>336</v>
      </c>
      <c r="D606" s="35">
        <v>194626</v>
      </c>
      <c r="E606">
        <v>1246240017</v>
      </c>
      <c r="F606" s="328">
        <v>46143</v>
      </c>
      <c r="H606" t="s">
        <v>173</v>
      </c>
      <c r="I606" t="s">
        <v>174</v>
      </c>
      <c r="J606">
        <v>9500</v>
      </c>
      <c r="K606" s="328">
        <v>45929</v>
      </c>
      <c r="L606">
        <v>1010100</v>
      </c>
      <c r="M606" t="s">
        <v>35</v>
      </c>
      <c r="N606">
        <v>-31</v>
      </c>
      <c r="O606" s="32">
        <v>0</v>
      </c>
      <c r="P606" s="32">
        <v>0</v>
      </c>
      <c r="Q606" s="32">
        <v>194626</v>
      </c>
      <c r="R606" s="32">
        <v>0</v>
      </c>
      <c r="S606" s="32">
        <v>0</v>
      </c>
      <c r="T606" s="32">
        <v>0</v>
      </c>
      <c r="U606" s="32">
        <v>0</v>
      </c>
      <c r="V606" s="32">
        <v>0</v>
      </c>
      <c r="W606" s="32">
        <v>0</v>
      </c>
      <c r="X606" s="32">
        <v>0</v>
      </c>
      <c r="Y606" s="32">
        <v>0</v>
      </c>
      <c r="Z606" s="32">
        <v>0</v>
      </c>
      <c r="AA606" s="32">
        <v>0</v>
      </c>
      <c r="AB606" s="32">
        <v>0</v>
      </c>
      <c r="AC606" s="32" t="s">
        <v>475</v>
      </c>
      <c r="AD606" s="32"/>
      <c r="AE606" s="32">
        <v>0</v>
      </c>
    </row>
    <row r="607" spans="1:31" x14ac:dyDescent="0.25">
      <c r="A607">
        <v>14552</v>
      </c>
      <c r="B607" t="s">
        <v>335</v>
      </c>
      <c r="C607" t="s">
        <v>336</v>
      </c>
      <c r="D607" s="35">
        <v>176320</v>
      </c>
      <c r="E607">
        <v>1246225706</v>
      </c>
      <c r="F607" s="328">
        <v>46145</v>
      </c>
      <c r="H607" t="s">
        <v>173</v>
      </c>
      <c r="I607" t="s">
        <v>174</v>
      </c>
      <c r="J607">
        <v>8525</v>
      </c>
      <c r="K607" s="328">
        <v>45855</v>
      </c>
      <c r="L607">
        <v>1010100</v>
      </c>
      <c r="M607" t="s">
        <v>35</v>
      </c>
      <c r="N607">
        <v>-33</v>
      </c>
      <c r="O607" s="32">
        <v>0</v>
      </c>
      <c r="P607" s="32">
        <v>0</v>
      </c>
      <c r="Q607" s="32">
        <v>176320</v>
      </c>
      <c r="R607" s="32">
        <v>0</v>
      </c>
      <c r="S607" s="32">
        <v>0</v>
      </c>
      <c r="T607" s="32">
        <v>0</v>
      </c>
      <c r="U607" s="32">
        <v>0</v>
      </c>
      <c r="V607" s="32">
        <v>0</v>
      </c>
      <c r="W607" s="32">
        <v>0</v>
      </c>
      <c r="X607" s="32">
        <v>0</v>
      </c>
      <c r="Y607" s="32">
        <v>0</v>
      </c>
      <c r="Z607" s="32">
        <v>0</v>
      </c>
      <c r="AA607" s="32">
        <v>0</v>
      </c>
      <c r="AB607" s="32">
        <v>0</v>
      </c>
      <c r="AC607" s="32" t="s">
        <v>475</v>
      </c>
      <c r="AD607" s="32"/>
      <c r="AE607" s="32">
        <v>0</v>
      </c>
    </row>
    <row r="608" spans="1:31" x14ac:dyDescent="0.25">
      <c r="A608">
        <v>14552</v>
      </c>
      <c r="B608" t="s">
        <v>335</v>
      </c>
      <c r="C608" t="s">
        <v>336</v>
      </c>
      <c r="D608" s="35">
        <v>112043</v>
      </c>
      <c r="E608">
        <v>1246240517</v>
      </c>
      <c r="F608" s="328">
        <v>46144</v>
      </c>
      <c r="H608" t="s">
        <v>173</v>
      </c>
      <c r="I608" t="s">
        <v>174</v>
      </c>
      <c r="J608">
        <v>9522</v>
      </c>
      <c r="K608" s="328">
        <v>45930</v>
      </c>
      <c r="L608">
        <v>1010100</v>
      </c>
      <c r="M608" t="s">
        <v>35</v>
      </c>
      <c r="N608">
        <v>-32</v>
      </c>
      <c r="O608" s="32">
        <v>0</v>
      </c>
      <c r="P608" s="32">
        <v>0</v>
      </c>
      <c r="Q608" s="32">
        <v>112043</v>
      </c>
      <c r="R608" s="32">
        <v>0</v>
      </c>
      <c r="S608" s="32">
        <v>0</v>
      </c>
      <c r="T608" s="32">
        <v>0</v>
      </c>
      <c r="U608" s="32">
        <v>0</v>
      </c>
      <c r="V608" s="32">
        <v>0</v>
      </c>
      <c r="W608" s="32">
        <v>0</v>
      </c>
      <c r="X608" s="32">
        <v>0</v>
      </c>
      <c r="Y608" s="32">
        <v>0</v>
      </c>
      <c r="Z608" s="32">
        <v>0</v>
      </c>
      <c r="AA608" s="32">
        <v>0</v>
      </c>
      <c r="AB608" s="32">
        <v>0</v>
      </c>
      <c r="AC608" s="32" t="s">
        <v>475</v>
      </c>
      <c r="AD608" s="32"/>
      <c r="AE608" s="32">
        <v>0</v>
      </c>
    </row>
    <row r="609" spans="1:31" x14ac:dyDescent="0.25">
      <c r="A609">
        <v>14848</v>
      </c>
      <c r="B609" t="s">
        <v>377</v>
      </c>
      <c r="C609" t="s">
        <v>659</v>
      </c>
      <c r="D609" s="35">
        <v>207773.56999999998</v>
      </c>
      <c r="E609">
        <v>1246230064</v>
      </c>
      <c r="F609" s="328">
        <v>46162</v>
      </c>
      <c r="H609" t="s">
        <v>173</v>
      </c>
      <c r="I609" t="s">
        <v>174</v>
      </c>
      <c r="J609">
        <v>8811</v>
      </c>
      <c r="K609" s="328">
        <v>45877</v>
      </c>
      <c r="L609">
        <v>1010100</v>
      </c>
      <c r="M609" t="s">
        <v>35</v>
      </c>
      <c r="N609">
        <v>-50</v>
      </c>
      <c r="O609" s="32">
        <v>0</v>
      </c>
      <c r="P609" s="32">
        <v>0</v>
      </c>
      <c r="Q609" s="32">
        <v>207773.56999999998</v>
      </c>
      <c r="R609" s="32">
        <v>0</v>
      </c>
      <c r="S609" s="32">
        <v>0</v>
      </c>
      <c r="T609" s="32">
        <v>0</v>
      </c>
      <c r="U609" s="32">
        <v>0</v>
      </c>
      <c r="V609" s="32">
        <v>0</v>
      </c>
      <c r="W609" s="32">
        <v>0</v>
      </c>
      <c r="X609" s="32">
        <v>0</v>
      </c>
      <c r="Y609" s="32">
        <v>0</v>
      </c>
      <c r="Z609" s="32">
        <v>0</v>
      </c>
      <c r="AA609" s="32">
        <v>0</v>
      </c>
      <c r="AB609" s="32">
        <v>0</v>
      </c>
      <c r="AC609" s="32" t="s">
        <v>475</v>
      </c>
      <c r="AD609" s="32"/>
      <c r="AE609" s="32">
        <v>0</v>
      </c>
    </row>
    <row r="610" spans="1:31" x14ac:dyDescent="0.25">
      <c r="A610">
        <v>14848</v>
      </c>
      <c r="B610" t="s">
        <v>377</v>
      </c>
      <c r="C610" t="s">
        <v>659</v>
      </c>
      <c r="D610" s="35">
        <v>121554.34</v>
      </c>
      <c r="E610">
        <v>1246230701</v>
      </c>
      <c r="F610" s="328">
        <v>46164</v>
      </c>
      <c r="H610" t="s">
        <v>173</v>
      </c>
      <c r="I610" t="s">
        <v>174</v>
      </c>
      <c r="J610">
        <v>8856</v>
      </c>
      <c r="K610" s="328">
        <v>45881</v>
      </c>
      <c r="L610">
        <v>1010100</v>
      </c>
      <c r="M610" t="s">
        <v>35</v>
      </c>
      <c r="N610">
        <v>-52</v>
      </c>
      <c r="O610" s="32">
        <v>0</v>
      </c>
      <c r="P610" s="32">
        <v>0</v>
      </c>
      <c r="Q610" s="32">
        <v>121554.34</v>
      </c>
      <c r="R610" s="32">
        <v>0</v>
      </c>
      <c r="S610" s="32">
        <v>0</v>
      </c>
      <c r="T610" s="32">
        <v>0</v>
      </c>
      <c r="U610" s="32">
        <v>0</v>
      </c>
      <c r="V610" s="32">
        <v>0</v>
      </c>
      <c r="W610" s="32">
        <v>0</v>
      </c>
      <c r="X610" s="32">
        <v>0</v>
      </c>
      <c r="Y610" s="32">
        <v>0</v>
      </c>
      <c r="Z610" s="32">
        <v>0</v>
      </c>
      <c r="AA610" s="32">
        <v>0</v>
      </c>
      <c r="AB610" s="32">
        <v>0</v>
      </c>
      <c r="AC610" s="32" t="s">
        <v>475</v>
      </c>
      <c r="AD610" s="32"/>
      <c r="AE610" s="32">
        <v>0</v>
      </c>
    </row>
    <row r="611" spans="1:31" x14ac:dyDescent="0.25">
      <c r="A611">
        <v>14396</v>
      </c>
      <c r="B611" t="s">
        <v>270</v>
      </c>
      <c r="C611" t="s">
        <v>271</v>
      </c>
      <c r="D611" s="35">
        <v>137598</v>
      </c>
      <c r="E611">
        <v>1246163527</v>
      </c>
      <c r="F611" s="328">
        <v>45779</v>
      </c>
      <c r="H611" t="s">
        <v>173</v>
      </c>
      <c r="I611" t="s">
        <v>174</v>
      </c>
      <c r="J611">
        <v>4649</v>
      </c>
      <c r="K611" s="328">
        <v>45511</v>
      </c>
      <c r="L611">
        <v>1010100</v>
      </c>
      <c r="M611" t="s">
        <v>35</v>
      </c>
      <c r="N611">
        <v>333</v>
      </c>
      <c r="O611" s="32">
        <v>0</v>
      </c>
      <c r="P611" s="32">
        <v>4127.9399999999996</v>
      </c>
      <c r="Q611" s="32">
        <v>0</v>
      </c>
      <c r="R611" s="32">
        <v>0</v>
      </c>
      <c r="S611" s="32">
        <v>0</v>
      </c>
      <c r="T611" s="32">
        <v>137598</v>
      </c>
      <c r="U611" s="32">
        <v>0</v>
      </c>
      <c r="V611" s="32">
        <v>0</v>
      </c>
      <c r="W611" s="32">
        <v>4127.9399999999996</v>
      </c>
      <c r="X611" s="32">
        <v>0</v>
      </c>
      <c r="Y611" s="32">
        <v>0</v>
      </c>
      <c r="Z611" s="32">
        <v>0</v>
      </c>
      <c r="AA611" s="32">
        <v>0</v>
      </c>
      <c r="AB611" s="32">
        <v>4127.9399999999996</v>
      </c>
      <c r="AC611" s="32" t="s">
        <v>540</v>
      </c>
      <c r="AD611" s="32"/>
      <c r="AE611" s="32">
        <v>0</v>
      </c>
    </row>
    <row r="612" spans="1:31" x14ac:dyDescent="0.25">
      <c r="A612">
        <v>14396</v>
      </c>
      <c r="B612" t="s">
        <v>270</v>
      </c>
      <c r="C612" t="s">
        <v>271</v>
      </c>
      <c r="D612" s="35">
        <v>121086.24</v>
      </c>
      <c r="E612">
        <v>1246160799</v>
      </c>
      <c r="F612" s="328">
        <v>45779</v>
      </c>
      <c r="H612" t="s">
        <v>173</v>
      </c>
      <c r="I612" t="s">
        <v>174</v>
      </c>
      <c r="J612">
        <v>4489</v>
      </c>
      <c r="K612" s="328">
        <v>45499</v>
      </c>
      <c r="L612">
        <v>1010100</v>
      </c>
      <c r="M612" t="s">
        <v>35</v>
      </c>
      <c r="N612">
        <v>333</v>
      </c>
      <c r="O612" s="32">
        <v>0</v>
      </c>
      <c r="P612" s="32">
        <v>3632.5871999999999</v>
      </c>
      <c r="Q612" s="32">
        <v>0</v>
      </c>
      <c r="R612" s="32">
        <v>0</v>
      </c>
      <c r="S612" s="32">
        <v>0</v>
      </c>
      <c r="T612" s="32">
        <v>121086.24</v>
      </c>
      <c r="U612" s="32">
        <v>0</v>
      </c>
      <c r="V612" s="32">
        <v>0</v>
      </c>
      <c r="W612" s="32">
        <v>3632.5871999999999</v>
      </c>
      <c r="X612" s="32">
        <v>0</v>
      </c>
      <c r="Y612" s="32">
        <v>0</v>
      </c>
      <c r="Z612" s="32">
        <v>0</v>
      </c>
      <c r="AA612" s="32">
        <v>0</v>
      </c>
      <c r="AB612" s="32">
        <v>3632.5871999999999</v>
      </c>
      <c r="AC612" s="32" t="s">
        <v>540</v>
      </c>
      <c r="AD612" s="32"/>
      <c r="AE612" s="32">
        <v>0</v>
      </c>
    </row>
    <row r="613" spans="1:31" x14ac:dyDescent="0.25">
      <c r="A613">
        <v>14396</v>
      </c>
      <c r="B613" t="s">
        <v>270</v>
      </c>
      <c r="C613" t="s">
        <v>271</v>
      </c>
      <c r="D613" s="35">
        <v>145692</v>
      </c>
      <c r="E613">
        <v>1246160793</v>
      </c>
      <c r="F613">
        <v>45779</v>
      </c>
      <c r="H613" t="s">
        <v>173</v>
      </c>
      <c r="I613" t="s">
        <v>174</v>
      </c>
      <c r="J613">
        <v>4485</v>
      </c>
      <c r="K613">
        <v>45499</v>
      </c>
      <c r="L613">
        <v>1010100</v>
      </c>
      <c r="M613" t="s">
        <v>35</v>
      </c>
      <c r="N613">
        <v>333</v>
      </c>
      <c r="O613" s="32">
        <v>0</v>
      </c>
      <c r="P613">
        <v>4370.76</v>
      </c>
      <c r="Q613">
        <v>0</v>
      </c>
      <c r="R613">
        <v>0</v>
      </c>
      <c r="S613">
        <v>0</v>
      </c>
      <c r="T613">
        <v>145692</v>
      </c>
      <c r="U613">
        <v>0</v>
      </c>
      <c r="V613">
        <v>0</v>
      </c>
      <c r="W613">
        <v>4370.76</v>
      </c>
      <c r="X613">
        <v>0</v>
      </c>
      <c r="Y613">
        <v>0</v>
      </c>
      <c r="Z613">
        <v>0</v>
      </c>
      <c r="AA613" s="32">
        <v>0</v>
      </c>
      <c r="AB613" s="32">
        <v>4370.76</v>
      </c>
      <c r="AC613" t="s">
        <v>540</v>
      </c>
      <c r="AE613">
        <v>0</v>
      </c>
    </row>
    <row r="614" spans="1:31" x14ac:dyDescent="0.25">
      <c r="A614">
        <v>14396</v>
      </c>
      <c r="B614" t="s">
        <v>270</v>
      </c>
      <c r="C614" t="s">
        <v>271</v>
      </c>
      <c r="D614" s="35">
        <v>121410</v>
      </c>
      <c r="E614">
        <v>1246180565</v>
      </c>
      <c r="F614">
        <v>45776</v>
      </c>
      <c r="H614" t="s">
        <v>173</v>
      </c>
      <c r="I614" t="s">
        <v>174</v>
      </c>
      <c r="J614">
        <v>5953</v>
      </c>
      <c r="K614">
        <v>45600</v>
      </c>
      <c r="L614">
        <v>1010100</v>
      </c>
      <c r="M614" t="s">
        <v>35</v>
      </c>
      <c r="N614">
        <v>336</v>
      </c>
      <c r="O614" s="32">
        <v>0</v>
      </c>
      <c r="P614">
        <v>3642.2999999999997</v>
      </c>
      <c r="Q614">
        <v>0</v>
      </c>
      <c r="R614">
        <v>0</v>
      </c>
      <c r="S614">
        <v>0</v>
      </c>
      <c r="T614">
        <v>121410</v>
      </c>
      <c r="U614">
        <v>0</v>
      </c>
      <c r="V614">
        <v>0</v>
      </c>
      <c r="W614">
        <v>3642.2999999999997</v>
      </c>
      <c r="X614">
        <v>0</v>
      </c>
      <c r="Y614">
        <v>0</v>
      </c>
      <c r="Z614">
        <v>0</v>
      </c>
      <c r="AA614" s="32">
        <v>0</v>
      </c>
      <c r="AB614" s="32">
        <v>3642.2999999999997</v>
      </c>
      <c r="AC614" t="s">
        <v>540</v>
      </c>
      <c r="AE614">
        <v>0</v>
      </c>
    </row>
    <row r="615" spans="1:31" x14ac:dyDescent="0.25">
      <c r="A615">
        <v>14396</v>
      </c>
      <c r="B615" t="s">
        <v>270</v>
      </c>
      <c r="C615" t="s">
        <v>271</v>
      </c>
      <c r="D615" s="35">
        <v>171360</v>
      </c>
      <c r="E615">
        <v>1246202562</v>
      </c>
      <c r="F615">
        <v>45930</v>
      </c>
      <c r="H615" t="s">
        <v>173</v>
      </c>
      <c r="I615" t="s">
        <v>174</v>
      </c>
      <c r="J615">
        <v>7204</v>
      </c>
      <c r="K615">
        <v>45728</v>
      </c>
      <c r="L615">
        <v>1010100</v>
      </c>
      <c r="M615" t="s">
        <v>35</v>
      </c>
      <c r="N615">
        <v>182</v>
      </c>
      <c r="O615" s="32">
        <v>0</v>
      </c>
      <c r="P615">
        <v>5140.8</v>
      </c>
      <c r="Q615">
        <v>0</v>
      </c>
      <c r="R615">
        <v>0</v>
      </c>
      <c r="S615">
        <v>0</v>
      </c>
      <c r="T615">
        <v>171360</v>
      </c>
      <c r="U615">
        <v>0</v>
      </c>
      <c r="V615">
        <v>0</v>
      </c>
      <c r="W615">
        <v>5140.8</v>
      </c>
      <c r="X615">
        <v>0</v>
      </c>
      <c r="Y615">
        <v>0</v>
      </c>
      <c r="Z615">
        <v>0</v>
      </c>
      <c r="AA615" s="32">
        <v>0</v>
      </c>
      <c r="AB615" s="32">
        <v>5140.8</v>
      </c>
      <c r="AC615" t="s">
        <v>540</v>
      </c>
      <c r="AE615">
        <v>0</v>
      </c>
    </row>
    <row r="616" spans="1:31" x14ac:dyDescent="0.25">
      <c r="A616">
        <v>14396</v>
      </c>
      <c r="B616" t="s">
        <v>270</v>
      </c>
      <c r="C616" t="s">
        <v>271</v>
      </c>
      <c r="D616" s="35">
        <v>4000</v>
      </c>
      <c r="E616">
        <v>1246203613</v>
      </c>
      <c r="F616">
        <v>45920</v>
      </c>
      <c r="H616" t="s">
        <v>173</v>
      </c>
      <c r="I616" t="s">
        <v>174</v>
      </c>
      <c r="J616">
        <v>7286</v>
      </c>
      <c r="K616">
        <v>45735</v>
      </c>
      <c r="L616">
        <v>1010100</v>
      </c>
      <c r="M616" t="s">
        <v>35</v>
      </c>
      <c r="N616">
        <v>192</v>
      </c>
      <c r="O616" s="32">
        <v>0</v>
      </c>
      <c r="P616">
        <v>120</v>
      </c>
      <c r="Q616">
        <v>0</v>
      </c>
      <c r="R616">
        <v>0</v>
      </c>
      <c r="S616">
        <v>0</v>
      </c>
      <c r="T616">
        <v>4000</v>
      </c>
      <c r="U616">
        <v>0</v>
      </c>
      <c r="V616">
        <v>0</v>
      </c>
      <c r="W616">
        <v>120</v>
      </c>
      <c r="X616">
        <v>0</v>
      </c>
      <c r="Y616">
        <v>0</v>
      </c>
      <c r="Z616">
        <v>4000</v>
      </c>
      <c r="AA616" s="32">
        <v>0</v>
      </c>
      <c r="AB616" s="32">
        <v>120</v>
      </c>
      <c r="AC616" t="s">
        <v>540</v>
      </c>
      <c r="AE616">
        <v>120</v>
      </c>
    </row>
    <row r="617" spans="1:31" x14ac:dyDescent="0.25">
      <c r="A617">
        <v>14396</v>
      </c>
      <c r="B617" t="s">
        <v>270</v>
      </c>
      <c r="C617" t="s">
        <v>271</v>
      </c>
      <c r="D617" s="35">
        <v>139680</v>
      </c>
      <c r="E617">
        <v>1246199147</v>
      </c>
      <c r="F617">
        <v>45889</v>
      </c>
      <c r="H617" t="s">
        <v>173</v>
      </c>
      <c r="I617" t="s">
        <v>174</v>
      </c>
      <c r="J617">
        <v>6996</v>
      </c>
      <c r="K617">
        <v>45706</v>
      </c>
      <c r="L617">
        <v>1010100</v>
      </c>
      <c r="M617" t="s">
        <v>35</v>
      </c>
      <c r="N617">
        <v>223</v>
      </c>
      <c r="O617" s="32">
        <v>0</v>
      </c>
      <c r="P617">
        <v>4190.3999999999996</v>
      </c>
      <c r="Q617">
        <v>0</v>
      </c>
      <c r="R617">
        <v>0</v>
      </c>
      <c r="S617">
        <v>0</v>
      </c>
      <c r="T617">
        <v>139680</v>
      </c>
      <c r="U617">
        <v>0</v>
      </c>
      <c r="V617">
        <v>0</v>
      </c>
      <c r="W617">
        <v>4190.3999999999996</v>
      </c>
      <c r="X617">
        <v>0</v>
      </c>
      <c r="Y617">
        <v>0</v>
      </c>
      <c r="Z617">
        <v>0</v>
      </c>
      <c r="AA617" s="32">
        <v>0</v>
      </c>
      <c r="AB617" s="32">
        <v>4190.3999999999996</v>
      </c>
      <c r="AC617" t="s">
        <v>540</v>
      </c>
      <c r="AE617">
        <v>0</v>
      </c>
    </row>
    <row r="618" spans="1:31" x14ac:dyDescent="0.25">
      <c r="A618">
        <v>14396</v>
      </c>
      <c r="B618" t="s">
        <v>270</v>
      </c>
      <c r="C618" t="s">
        <v>271</v>
      </c>
      <c r="D618" s="35">
        <v>139680</v>
      </c>
      <c r="E618">
        <v>1246199209</v>
      </c>
      <c r="F618">
        <v>45889</v>
      </c>
      <c r="H618" t="s">
        <v>173</v>
      </c>
      <c r="I618" t="s">
        <v>174</v>
      </c>
      <c r="J618">
        <v>7005</v>
      </c>
      <c r="K618">
        <v>45706</v>
      </c>
      <c r="L618">
        <v>1010100</v>
      </c>
      <c r="M618" t="s">
        <v>35</v>
      </c>
      <c r="N618">
        <v>223</v>
      </c>
      <c r="O618" s="32">
        <v>0</v>
      </c>
      <c r="P618">
        <v>4190.3999999999996</v>
      </c>
      <c r="Q618">
        <v>0</v>
      </c>
      <c r="R618">
        <v>0</v>
      </c>
      <c r="S618">
        <v>0</v>
      </c>
      <c r="T618">
        <v>139680</v>
      </c>
      <c r="U618">
        <v>0</v>
      </c>
      <c r="V618">
        <v>0</v>
      </c>
      <c r="W618">
        <v>4190.3999999999996</v>
      </c>
      <c r="X618">
        <v>0</v>
      </c>
      <c r="Y618">
        <v>0</v>
      </c>
      <c r="Z618">
        <v>0</v>
      </c>
      <c r="AA618" s="32">
        <v>0</v>
      </c>
      <c r="AB618" s="32">
        <v>4190.3999999999996</v>
      </c>
      <c r="AC618" t="s">
        <v>540</v>
      </c>
      <c r="AE618">
        <v>0</v>
      </c>
    </row>
    <row r="619" spans="1:31" x14ac:dyDescent="0.25">
      <c r="A619">
        <v>14396</v>
      </c>
      <c r="B619" t="s">
        <v>270</v>
      </c>
      <c r="C619" t="s">
        <v>271</v>
      </c>
      <c r="D619" s="35">
        <v>8000</v>
      </c>
      <c r="E619">
        <v>1246205781</v>
      </c>
      <c r="F619">
        <v>45920</v>
      </c>
      <c r="H619" t="s">
        <v>173</v>
      </c>
      <c r="I619" t="s">
        <v>174</v>
      </c>
      <c r="J619">
        <v>7423</v>
      </c>
      <c r="K619">
        <v>45744</v>
      </c>
      <c r="L619">
        <v>1010100</v>
      </c>
      <c r="M619" t="s">
        <v>35</v>
      </c>
      <c r="N619">
        <v>192</v>
      </c>
      <c r="O619" s="32">
        <v>0</v>
      </c>
      <c r="P619">
        <v>240</v>
      </c>
      <c r="Q619">
        <v>0</v>
      </c>
      <c r="R619">
        <v>0</v>
      </c>
      <c r="S619">
        <v>0</v>
      </c>
      <c r="T619">
        <v>8000</v>
      </c>
      <c r="U619">
        <v>0</v>
      </c>
      <c r="V619">
        <v>0</v>
      </c>
      <c r="W619">
        <v>240</v>
      </c>
      <c r="X619">
        <v>0</v>
      </c>
      <c r="Y619">
        <v>0</v>
      </c>
      <c r="Z619">
        <v>8000</v>
      </c>
      <c r="AA619" s="32">
        <v>0</v>
      </c>
      <c r="AB619" s="32">
        <v>240</v>
      </c>
      <c r="AC619" t="s">
        <v>540</v>
      </c>
      <c r="AE619">
        <v>240</v>
      </c>
    </row>
    <row r="620" spans="1:31" x14ac:dyDescent="0.25">
      <c r="A620">
        <v>15749</v>
      </c>
      <c r="B620" t="s">
        <v>555</v>
      </c>
      <c r="C620" t="s">
        <v>908</v>
      </c>
      <c r="D620" s="35">
        <v>66740</v>
      </c>
      <c r="E620">
        <v>1246268739</v>
      </c>
      <c r="F620">
        <v>46133</v>
      </c>
      <c r="H620" t="s">
        <v>28</v>
      </c>
      <c r="I620" t="s">
        <v>29</v>
      </c>
      <c r="J620">
        <v>2838</v>
      </c>
      <c r="K620">
        <v>46105</v>
      </c>
      <c r="L620">
        <v>1010100</v>
      </c>
      <c r="M620" t="s">
        <v>35</v>
      </c>
      <c r="N620">
        <v>-21</v>
      </c>
      <c r="O620" s="32">
        <v>0</v>
      </c>
      <c r="P620">
        <v>0</v>
      </c>
      <c r="Q620">
        <v>66740</v>
      </c>
      <c r="R620">
        <v>0</v>
      </c>
      <c r="S620">
        <v>0</v>
      </c>
      <c r="T620">
        <v>0</v>
      </c>
      <c r="U620">
        <v>0</v>
      </c>
      <c r="V620">
        <v>0</v>
      </c>
      <c r="W620">
        <v>0</v>
      </c>
      <c r="X620">
        <v>0</v>
      </c>
      <c r="Y620">
        <v>0</v>
      </c>
      <c r="Z620">
        <v>0</v>
      </c>
      <c r="AA620" s="32">
        <v>0</v>
      </c>
      <c r="AB620" s="32">
        <v>0</v>
      </c>
      <c r="AC620" t="s">
        <v>475</v>
      </c>
      <c r="AE620">
        <v>0</v>
      </c>
    </row>
    <row r="621" spans="1:31" x14ac:dyDescent="0.25">
      <c r="A621">
        <v>16107</v>
      </c>
      <c r="B621" t="s">
        <v>581</v>
      </c>
      <c r="C621" t="s">
        <v>582</v>
      </c>
      <c r="D621" s="35">
        <v>58579.74</v>
      </c>
      <c r="E621">
        <v>1246235692</v>
      </c>
      <c r="F621">
        <v>46142</v>
      </c>
      <c r="H621" t="s">
        <v>173</v>
      </c>
      <c r="I621" t="s">
        <v>174</v>
      </c>
      <c r="J621">
        <v>9246</v>
      </c>
      <c r="K621">
        <v>45908</v>
      </c>
      <c r="L621">
        <v>1010100</v>
      </c>
      <c r="M621" t="s">
        <v>35</v>
      </c>
      <c r="N621">
        <v>-30</v>
      </c>
      <c r="O621" s="32">
        <v>0</v>
      </c>
      <c r="P621">
        <v>0</v>
      </c>
      <c r="Q621">
        <v>58579.74</v>
      </c>
      <c r="R621">
        <v>0</v>
      </c>
      <c r="S621">
        <v>0</v>
      </c>
      <c r="T621">
        <v>0</v>
      </c>
      <c r="U621">
        <v>0</v>
      </c>
      <c r="V621">
        <v>0</v>
      </c>
      <c r="W621">
        <v>0</v>
      </c>
      <c r="X621">
        <v>0</v>
      </c>
      <c r="Y621">
        <v>0</v>
      </c>
      <c r="Z621">
        <v>0</v>
      </c>
      <c r="AA621" s="32">
        <v>0</v>
      </c>
      <c r="AB621" s="32">
        <v>0</v>
      </c>
      <c r="AC621" t="s">
        <v>475</v>
      </c>
      <c r="AE621">
        <v>0</v>
      </c>
    </row>
    <row r="622" spans="1:31" x14ac:dyDescent="0.25">
      <c r="A622">
        <v>16107</v>
      </c>
      <c r="B622" t="s">
        <v>581</v>
      </c>
      <c r="C622" t="s">
        <v>582</v>
      </c>
      <c r="D622" s="35">
        <v>120293.94</v>
      </c>
      <c r="E622">
        <v>1246234013</v>
      </c>
      <c r="F622">
        <v>46164</v>
      </c>
      <c r="H622" t="s">
        <v>173</v>
      </c>
      <c r="I622" t="s">
        <v>174</v>
      </c>
      <c r="J622">
        <v>9130</v>
      </c>
      <c r="K622">
        <v>45898</v>
      </c>
      <c r="L622">
        <v>1010100</v>
      </c>
      <c r="M622" t="s">
        <v>35</v>
      </c>
      <c r="N622">
        <v>-52</v>
      </c>
      <c r="O622" s="32">
        <v>0</v>
      </c>
      <c r="P622">
        <v>0</v>
      </c>
      <c r="Q622">
        <v>120293.94</v>
      </c>
      <c r="R622">
        <v>0</v>
      </c>
      <c r="S622">
        <v>0</v>
      </c>
      <c r="T622">
        <v>0</v>
      </c>
      <c r="U622">
        <v>0</v>
      </c>
      <c r="V622">
        <v>0</v>
      </c>
      <c r="W622">
        <v>0</v>
      </c>
      <c r="X622">
        <v>0</v>
      </c>
      <c r="Y622">
        <v>0</v>
      </c>
      <c r="Z622">
        <v>0</v>
      </c>
      <c r="AA622" s="32">
        <v>0</v>
      </c>
      <c r="AB622" s="32">
        <v>0</v>
      </c>
      <c r="AC622" t="s">
        <v>475</v>
      </c>
      <c r="AE622">
        <v>0</v>
      </c>
    </row>
    <row r="623" spans="1:31" x14ac:dyDescent="0.25">
      <c r="A623">
        <v>16107</v>
      </c>
      <c r="B623" t="s">
        <v>581</v>
      </c>
      <c r="C623" t="s">
        <v>582</v>
      </c>
      <c r="D623" s="35">
        <v>52795.360000000001</v>
      </c>
      <c r="E623">
        <v>1246231811</v>
      </c>
      <c r="F623">
        <v>46144</v>
      </c>
      <c r="H623" t="s">
        <v>173</v>
      </c>
      <c r="I623" t="s">
        <v>174</v>
      </c>
      <c r="J623">
        <v>8929</v>
      </c>
      <c r="K623">
        <v>45888</v>
      </c>
      <c r="L623">
        <v>1010100</v>
      </c>
      <c r="M623" t="s">
        <v>35</v>
      </c>
      <c r="N623">
        <v>-32</v>
      </c>
      <c r="O623" s="32">
        <v>0</v>
      </c>
      <c r="P623">
        <v>0</v>
      </c>
      <c r="Q623">
        <v>52795.360000000001</v>
      </c>
      <c r="R623">
        <v>0</v>
      </c>
      <c r="S623">
        <v>0</v>
      </c>
      <c r="T623">
        <v>0</v>
      </c>
      <c r="U623">
        <v>0</v>
      </c>
      <c r="V623">
        <v>0</v>
      </c>
      <c r="W623">
        <v>0</v>
      </c>
      <c r="X623">
        <v>0</v>
      </c>
      <c r="Y623">
        <v>0</v>
      </c>
      <c r="Z623">
        <v>0</v>
      </c>
      <c r="AA623" s="32">
        <v>0</v>
      </c>
      <c r="AB623" s="32">
        <v>0</v>
      </c>
      <c r="AC623" t="s">
        <v>475</v>
      </c>
      <c r="AE623">
        <v>0</v>
      </c>
    </row>
    <row r="624" spans="1:31" x14ac:dyDescent="0.25">
      <c r="A624">
        <v>16107</v>
      </c>
      <c r="B624" t="s">
        <v>581</v>
      </c>
      <c r="C624" t="s">
        <v>582</v>
      </c>
      <c r="D624" s="35">
        <v>92391.88</v>
      </c>
      <c r="E624">
        <v>1246232362</v>
      </c>
      <c r="F624">
        <v>46144</v>
      </c>
      <c r="H624" t="s">
        <v>173</v>
      </c>
      <c r="I624" t="s">
        <v>174</v>
      </c>
      <c r="J624">
        <v>8978</v>
      </c>
      <c r="K624">
        <v>45890</v>
      </c>
      <c r="L624">
        <v>1010100</v>
      </c>
      <c r="M624" t="s">
        <v>35</v>
      </c>
      <c r="N624">
        <v>-32</v>
      </c>
      <c r="O624" s="32">
        <v>0</v>
      </c>
      <c r="P624">
        <v>0</v>
      </c>
      <c r="Q624">
        <v>92391.88</v>
      </c>
      <c r="R624">
        <v>0</v>
      </c>
      <c r="S624">
        <v>0</v>
      </c>
      <c r="T624">
        <v>0</v>
      </c>
      <c r="U624">
        <v>0</v>
      </c>
      <c r="V624">
        <v>0</v>
      </c>
      <c r="W624">
        <v>0</v>
      </c>
      <c r="X624">
        <v>0</v>
      </c>
      <c r="Y624">
        <v>0</v>
      </c>
      <c r="Z624">
        <v>0</v>
      </c>
      <c r="AA624" s="32">
        <v>0</v>
      </c>
      <c r="AB624" s="32">
        <v>0</v>
      </c>
      <c r="AC624" t="s">
        <v>475</v>
      </c>
      <c r="AE624">
        <v>0</v>
      </c>
    </row>
    <row r="625" spans="1:31" x14ac:dyDescent="0.25">
      <c r="A625">
        <v>16107</v>
      </c>
      <c r="B625" t="s">
        <v>581</v>
      </c>
      <c r="C625" t="s">
        <v>582</v>
      </c>
      <c r="D625" s="35">
        <v>94968.9</v>
      </c>
      <c r="E625">
        <v>1246234271</v>
      </c>
      <c r="F625">
        <v>46167</v>
      </c>
      <c r="H625" t="s">
        <v>173</v>
      </c>
      <c r="I625" t="s">
        <v>174</v>
      </c>
      <c r="J625">
        <v>9136</v>
      </c>
      <c r="K625">
        <v>45901</v>
      </c>
      <c r="L625">
        <v>1010100</v>
      </c>
      <c r="M625" t="s">
        <v>35</v>
      </c>
      <c r="N625">
        <v>-55</v>
      </c>
      <c r="O625" s="32">
        <v>0</v>
      </c>
      <c r="P625">
        <v>0</v>
      </c>
      <c r="Q625">
        <v>94968.9</v>
      </c>
      <c r="R625">
        <v>0</v>
      </c>
      <c r="S625">
        <v>0</v>
      </c>
      <c r="T625">
        <v>0</v>
      </c>
      <c r="U625">
        <v>0</v>
      </c>
      <c r="V625">
        <v>0</v>
      </c>
      <c r="W625">
        <v>0</v>
      </c>
      <c r="X625">
        <v>0</v>
      </c>
      <c r="Y625">
        <v>0</v>
      </c>
      <c r="Z625">
        <v>0</v>
      </c>
      <c r="AA625" s="32">
        <v>0</v>
      </c>
      <c r="AB625" s="32">
        <v>0</v>
      </c>
      <c r="AC625" t="s">
        <v>475</v>
      </c>
      <c r="AE625">
        <v>0</v>
      </c>
    </row>
    <row r="626" spans="1:31" x14ac:dyDescent="0.25">
      <c r="A626">
        <v>16107</v>
      </c>
      <c r="B626" t="s">
        <v>581</v>
      </c>
      <c r="C626" t="s">
        <v>582</v>
      </c>
      <c r="D626" s="35">
        <v>101300.16</v>
      </c>
      <c r="E626">
        <v>1246233237</v>
      </c>
      <c r="F626">
        <v>46162</v>
      </c>
      <c r="H626" t="s">
        <v>173</v>
      </c>
      <c r="I626" t="s">
        <v>174</v>
      </c>
      <c r="J626">
        <v>9072</v>
      </c>
      <c r="K626">
        <v>45896</v>
      </c>
      <c r="L626">
        <v>1010100</v>
      </c>
      <c r="M626" t="s">
        <v>35</v>
      </c>
      <c r="N626">
        <v>-50</v>
      </c>
      <c r="O626" s="32">
        <v>0</v>
      </c>
      <c r="P626">
        <v>0</v>
      </c>
      <c r="Q626">
        <v>101300.16</v>
      </c>
      <c r="R626">
        <v>0</v>
      </c>
      <c r="S626">
        <v>0</v>
      </c>
      <c r="T626">
        <v>0</v>
      </c>
      <c r="U626">
        <v>0</v>
      </c>
      <c r="V626">
        <v>0</v>
      </c>
      <c r="W626">
        <v>0</v>
      </c>
      <c r="X626">
        <v>0</v>
      </c>
      <c r="Y626">
        <v>0</v>
      </c>
      <c r="Z626">
        <v>0</v>
      </c>
      <c r="AA626" s="32">
        <v>0</v>
      </c>
      <c r="AB626" s="32">
        <v>0</v>
      </c>
      <c r="AC626" t="s">
        <v>475</v>
      </c>
      <c r="AE626">
        <v>0</v>
      </c>
    </row>
    <row r="627" spans="1:31" x14ac:dyDescent="0.25">
      <c r="A627">
        <v>16107</v>
      </c>
      <c r="B627" t="s">
        <v>581</v>
      </c>
      <c r="C627" t="s">
        <v>582</v>
      </c>
      <c r="D627" s="35">
        <v>27054.5</v>
      </c>
      <c r="E627">
        <v>1246235694</v>
      </c>
      <c r="F627">
        <v>46142</v>
      </c>
      <c r="H627" t="s">
        <v>173</v>
      </c>
      <c r="I627" t="s">
        <v>174</v>
      </c>
      <c r="J627">
        <v>9247</v>
      </c>
      <c r="K627">
        <v>45908</v>
      </c>
      <c r="L627">
        <v>1010100</v>
      </c>
      <c r="M627" t="s">
        <v>35</v>
      </c>
      <c r="N627">
        <v>-30</v>
      </c>
      <c r="O627" s="32">
        <v>0</v>
      </c>
      <c r="P627">
        <v>0</v>
      </c>
      <c r="Q627">
        <v>27054.5</v>
      </c>
      <c r="R627">
        <v>0</v>
      </c>
      <c r="S627">
        <v>0</v>
      </c>
      <c r="T627">
        <v>0</v>
      </c>
      <c r="U627">
        <v>0</v>
      </c>
      <c r="V627">
        <v>0</v>
      </c>
      <c r="W627">
        <v>0</v>
      </c>
      <c r="X627">
        <v>0</v>
      </c>
      <c r="Y627">
        <v>0</v>
      </c>
      <c r="Z627">
        <v>0</v>
      </c>
      <c r="AA627" s="32">
        <v>0</v>
      </c>
      <c r="AB627" s="32">
        <v>0</v>
      </c>
      <c r="AC627" t="s">
        <v>475</v>
      </c>
      <c r="AE627">
        <v>0</v>
      </c>
    </row>
    <row r="628" spans="1:31" x14ac:dyDescent="0.25">
      <c r="A628">
        <v>16107</v>
      </c>
      <c r="B628" t="s">
        <v>581</v>
      </c>
      <c r="C628" t="s">
        <v>582</v>
      </c>
      <c r="D628" s="35">
        <v>94968.9</v>
      </c>
      <c r="E628">
        <v>1246233894</v>
      </c>
      <c r="F628">
        <v>46164</v>
      </c>
      <c r="H628" t="s">
        <v>173</v>
      </c>
      <c r="I628" t="s">
        <v>174</v>
      </c>
      <c r="J628">
        <v>9120</v>
      </c>
      <c r="K628">
        <v>45898</v>
      </c>
      <c r="L628">
        <v>1010100</v>
      </c>
      <c r="M628" t="s">
        <v>35</v>
      </c>
      <c r="N628">
        <v>-52</v>
      </c>
      <c r="O628" s="32">
        <v>0</v>
      </c>
      <c r="P628">
        <v>0</v>
      </c>
      <c r="Q628">
        <v>94968.9</v>
      </c>
      <c r="R628">
        <v>0</v>
      </c>
      <c r="S628">
        <v>0</v>
      </c>
      <c r="T628">
        <v>0</v>
      </c>
      <c r="U628">
        <v>0</v>
      </c>
      <c r="V628">
        <v>0</v>
      </c>
      <c r="W628">
        <v>0</v>
      </c>
      <c r="X628">
        <v>0</v>
      </c>
      <c r="Y628">
        <v>0</v>
      </c>
      <c r="Z628">
        <v>0</v>
      </c>
      <c r="AA628" s="32">
        <v>0</v>
      </c>
      <c r="AB628" s="32">
        <v>0</v>
      </c>
      <c r="AC628" t="s">
        <v>475</v>
      </c>
      <c r="AE628">
        <v>0</v>
      </c>
    </row>
    <row r="629" spans="1:31" x14ac:dyDescent="0.25">
      <c r="A629">
        <v>16107</v>
      </c>
      <c r="B629" t="s">
        <v>581</v>
      </c>
      <c r="C629" t="s">
        <v>582</v>
      </c>
      <c r="D629" s="35">
        <v>94968.9</v>
      </c>
      <c r="E629">
        <v>1246238555</v>
      </c>
      <c r="F629">
        <v>46164</v>
      </c>
      <c r="H629" t="s">
        <v>173</v>
      </c>
      <c r="I629" t="s">
        <v>174</v>
      </c>
      <c r="J629">
        <v>9444</v>
      </c>
      <c r="K629">
        <v>45924</v>
      </c>
      <c r="L629">
        <v>1010100</v>
      </c>
      <c r="M629" t="s">
        <v>35</v>
      </c>
      <c r="N629">
        <v>-52</v>
      </c>
      <c r="O629" s="32">
        <v>0</v>
      </c>
      <c r="P629">
        <v>0</v>
      </c>
      <c r="Q629">
        <v>94968.9</v>
      </c>
      <c r="R629">
        <v>0</v>
      </c>
      <c r="S629">
        <v>0</v>
      </c>
      <c r="T629">
        <v>0</v>
      </c>
      <c r="U629">
        <v>0</v>
      </c>
      <c r="V629">
        <v>0</v>
      </c>
      <c r="W629">
        <v>0</v>
      </c>
      <c r="X629">
        <v>0</v>
      </c>
      <c r="Y629">
        <v>0</v>
      </c>
      <c r="Z629">
        <v>0</v>
      </c>
      <c r="AA629" s="32">
        <v>0</v>
      </c>
      <c r="AB629" s="32">
        <v>0</v>
      </c>
      <c r="AC629" t="s">
        <v>475</v>
      </c>
      <c r="AE629">
        <v>0</v>
      </c>
    </row>
    <row r="630" spans="1:31" x14ac:dyDescent="0.25">
      <c r="A630">
        <v>16107</v>
      </c>
      <c r="B630" t="s">
        <v>581</v>
      </c>
      <c r="C630" t="s">
        <v>582</v>
      </c>
      <c r="D630" s="35">
        <v>2217.7800000000002</v>
      </c>
      <c r="E630">
        <v>1246235696</v>
      </c>
      <c r="F630">
        <v>46142</v>
      </c>
      <c r="H630" t="s">
        <v>173</v>
      </c>
      <c r="I630" t="s">
        <v>174</v>
      </c>
      <c r="J630">
        <v>9248</v>
      </c>
      <c r="K630">
        <v>45908</v>
      </c>
      <c r="L630">
        <v>1010100</v>
      </c>
      <c r="M630" t="s">
        <v>35</v>
      </c>
      <c r="N630">
        <v>-30</v>
      </c>
      <c r="O630" s="32">
        <v>0</v>
      </c>
      <c r="P630">
        <v>0</v>
      </c>
      <c r="Q630">
        <v>2217.7800000000002</v>
      </c>
      <c r="R630">
        <v>0</v>
      </c>
      <c r="S630">
        <v>0</v>
      </c>
      <c r="T630">
        <v>0</v>
      </c>
      <c r="U630">
        <v>0</v>
      </c>
      <c r="V630">
        <v>0</v>
      </c>
      <c r="W630">
        <v>0</v>
      </c>
      <c r="X630">
        <v>0</v>
      </c>
      <c r="Y630">
        <v>0</v>
      </c>
      <c r="Z630">
        <v>0</v>
      </c>
      <c r="AA630" s="32">
        <v>0</v>
      </c>
      <c r="AB630" s="32">
        <v>0</v>
      </c>
      <c r="AC630" t="s">
        <v>475</v>
      </c>
      <c r="AE630">
        <v>0</v>
      </c>
    </row>
    <row r="631" spans="1:31" x14ac:dyDescent="0.25">
      <c r="A631">
        <v>15917</v>
      </c>
      <c r="B631" t="s">
        <v>671</v>
      </c>
      <c r="C631" t="s">
        <v>695</v>
      </c>
      <c r="D631" s="35">
        <v>8176</v>
      </c>
      <c r="E631">
        <v>1246241844</v>
      </c>
      <c r="F631">
        <v>46143</v>
      </c>
      <c r="H631" t="s">
        <v>173</v>
      </c>
      <c r="I631" t="s">
        <v>174</v>
      </c>
      <c r="J631">
        <v>9608</v>
      </c>
      <c r="K631">
        <v>45937</v>
      </c>
      <c r="L631">
        <v>1010100</v>
      </c>
      <c r="M631" t="s">
        <v>35</v>
      </c>
      <c r="N631">
        <v>-31</v>
      </c>
      <c r="O631" s="32">
        <v>0</v>
      </c>
      <c r="P631">
        <v>0</v>
      </c>
      <c r="Q631">
        <v>8176</v>
      </c>
      <c r="R631">
        <v>0</v>
      </c>
      <c r="S631">
        <v>0</v>
      </c>
      <c r="T631">
        <v>0</v>
      </c>
      <c r="U631">
        <v>0</v>
      </c>
      <c r="V631">
        <v>0</v>
      </c>
      <c r="W631">
        <v>0</v>
      </c>
      <c r="X631">
        <v>0</v>
      </c>
      <c r="Y631">
        <v>0</v>
      </c>
      <c r="Z631">
        <v>0</v>
      </c>
      <c r="AA631" s="32">
        <v>0</v>
      </c>
      <c r="AB631" s="32">
        <v>0</v>
      </c>
      <c r="AC631" t="s">
        <v>475</v>
      </c>
      <c r="AE631">
        <v>0</v>
      </c>
    </row>
    <row r="632" spans="1:31" x14ac:dyDescent="0.25">
      <c r="A632">
        <v>15917</v>
      </c>
      <c r="B632" t="s">
        <v>671</v>
      </c>
      <c r="C632" t="s">
        <v>695</v>
      </c>
      <c r="D632" s="35">
        <v>2564.1</v>
      </c>
      <c r="E632">
        <v>1246237253</v>
      </c>
      <c r="F632">
        <v>46142</v>
      </c>
      <c r="H632" t="s">
        <v>173</v>
      </c>
      <c r="I632" t="s">
        <v>174</v>
      </c>
      <c r="J632">
        <v>9360</v>
      </c>
      <c r="K632">
        <v>45918</v>
      </c>
      <c r="L632">
        <v>1010100</v>
      </c>
      <c r="M632" t="s">
        <v>35</v>
      </c>
      <c r="N632">
        <v>-30</v>
      </c>
      <c r="O632" s="32">
        <v>0</v>
      </c>
      <c r="P632">
        <v>0</v>
      </c>
      <c r="Q632">
        <v>2564.1</v>
      </c>
      <c r="R632">
        <v>0</v>
      </c>
      <c r="S632">
        <v>0</v>
      </c>
      <c r="T632">
        <v>0</v>
      </c>
      <c r="U632">
        <v>0</v>
      </c>
      <c r="V632">
        <v>0</v>
      </c>
      <c r="W632">
        <v>0</v>
      </c>
      <c r="X632">
        <v>0</v>
      </c>
      <c r="Y632">
        <v>0</v>
      </c>
      <c r="Z632">
        <v>0</v>
      </c>
      <c r="AA632" s="32">
        <v>0</v>
      </c>
      <c r="AB632" s="32">
        <v>0</v>
      </c>
      <c r="AC632" t="s">
        <v>475</v>
      </c>
      <c r="AE632">
        <v>0</v>
      </c>
    </row>
    <row r="633" spans="1:31" x14ac:dyDescent="0.25">
      <c r="A633">
        <v>15917</v>
      </c>
      <c r="B633" t="s">
        <v>671</v>
      </c>
      <c r="C633" t="s">
        <v>695</v>
      </c>
      <c r="D633" s="35">
        <v>3492</v>
      </c>
      <c r="E633">
        <v>1246240189</v>
      </c>
      <c r="F633">
        <v>46154</v>
      </c>
      <c r="H633" t="s">
        <v>173</v>
      </c>
      <c r="I633" t="s">
        <v>174</v>
      </c>
      <c r="J633">
        <v>9509</v>
      </c>
      <c r="K633">
        <v>45930</v>
      </c>
      <c r="L633">
        <v>1010100</v>
      </c>
      <c r="M633" t="s">
        <v>35</v>
      </c>
      <c r="N633">
        <v>-42</v>
      </c>
      <c r="O633" s="32">
        <v>0</v>
      </c>
      <c r="P633">
        <v>0</v>
      </c>
      <c r="Q633">
        <v>3492</v>
      </c>
      <c r="R633">
        <v>0</v>
      </c>
      <c r="S633">
        <v>0</v>
      </c>
      <c r="T633">
        <v>0</v>
      </c>
      <c r="U633">
        <v>0</v>
      </c>
      <c r="V633">
        <v>0</v>
      </c>
      <c r="W633">
        <v>0</v>
      </c>
      <c r="X633">
        <v>0</v>
      </c>
      <c r="Y633">
        <v>0</v>
      </c>
      <c r="Z633">
        <v>0</v>
      </c>
      <c r="AA633" s="32">
        <v>0</v>
      </c>
      <c r="AB633" s="32">
        <v>0</v>
      </c>
      <c r="AC633" t="s">
        <v>475</v>
      </c>
      <c r="AE633">
        <v>0</v>
      </c>
    </row>
    <row r="634" spans="1:31" x14ac:dyDescent="0.25">
      <c r="A634">
        <v>15917</v>
      </c>
      <c r="B634" t="s">
        <v>671</v>
      </c>
      <c r="C634" t="s">
        <v>695</v>
      </c>
      <c r="D634" s="35">
        <v>6293.7</v>
      </c>
      <c r="E634">
        <v>1246241843</v>
      </c>
      <c r="F634">
        <v>46143</v>
      </c>
      <c r="H634" t="s">
        <v>173</v>
      </c>
      <c r="I634" t="s">
        <v>174</v>
      </c>
      <c r="J634">
        <v>9607</v>
      </c>
      <c r="K634">
        <v>45937</v>
      </c>
      <c r="L634">
        <v>1010100</v>
      </c>
      <c r="M634" t="s">
        <v>35</v>
      </c>
      <c r="N634">
        <v>-31</v>
      </c>
      <c r="O634" s="32">
        <v>0</v>
      </c>
      <c r="P634">
        <v>0</v>
      </c>
      <c r="Q634">
        <v>6293.7</v>
      </c>
      <c r="R634">
        <v>0</v>
      </c>
      <c r="S634">
        <v>0</v>
      </c>
      <c r="T634">
        <v>0</v>
      </c>
      <c r="U634">
        <v>0</v>
      </c>
      <c r="V634">
        <v>0</v>
      </c>
      <c r="W634">
        <v>0</v>
      </c>
      <c r="X634">
        <v>0</v>
      </c>
      <c r="Y634">
        <v>0</v>
      </c>
      <c r="Z634">
        <v>0</v>
      </c>
      <c r="AA634" s="32">
        <v>0</v>
      </c>
      <c r="AB634" s="32">
        <v>0</v>
      </c>
      <c r="AC634" t="s">
        <v>475</v>
      </c>
      <c r="AE634">
        <v>0</v>
      </c>
    </row>
    <row r="635" spans="1:31" x14ac:dyDescent="0.25">
      <c r="A635">
        <v>17497</v>
      </c>
      <c r="B635" t="s">
        <v>864</v>
      </c>
      <c r="C635" t="s">
        <v>883</v>
      </c>
      <c r="D635" s="35">
        <v>11278.17</v>
      </c>
      <c r="E635">
        <v>1246267007</v>
      </c>
      <c r="F635">
        <v>46120</v>
      </c>
      <c r="H635" t="s">
        <v>173</v>
      </c>
      <c r="I635" t="s">
        <v>174</v>
      </c>
      <c r="J635">
        <v>10842</v>
      </c>
      <c r="K635">
        <v>46090</v>
      </c>
      <c r="L635">
        <v>1010100</v>
      </c>
      <c r="M635" t="s">
        <v>35</v>
      </c>
      <c r="N635">
        <v>-8</v>
      </c>
      <c r="O635" s="32">
        <v>0</v>
      </c>
      <c r="P635">
        <v>0</v>
      </c>
      <c r="Q635">
        <v>11278.17</v>
      </c>
      <c r="R635">
        <v>0</v>
      </c>
      <c r="S635">
        <v>0</v>
      </c>
      <c r="T635">
        <v>0</v>
      </c>
      <c r="U635">
        <v>0</v>
      </c>
      <c r="V635">
        <v>0</v>
      </c>
      <c r="W635">
        <v>0</v>
      </c>
      <c r="X635">
        <v>0</v>
      </c>
      <c r="Y635">
        <v>0</v>
      </c>
      <c r="Z635">
        <v>0</v>
      </c>
      <c r="AA635" s="32">
        <v>0</v>
      </c>
      <c r="AB635" s="32">
        <v>0</v>
      </c>
      <c r="AC635" t="s">
        <v>475</v>
      </c>
      <c r="AE635">
        <v>0</v>
      </c>
    </row>
  </sheetData>
  <autoFilter ref="A3:AE607" xr:uid="{7FBE46A5-8BCE-4E4D-8CBB-A7B44C539DC2}"/>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sheetPr filterMode="1"/>
  <dimension ref="A1:Q176"/>
  <sheetViews>
    <sheetView zoomScale="80" zoomScaleNormal="80" workbookViewId="0">
      <pane xSplit="6" ySplit="1" topLeftCell="G2" activePane="bottomRight" state="frozen"/>
      <selection pane="topRight" activeCell="G1" sqref="G1"/>
      <selection pane="bottomLeft" activeCell="A2" sqref="A2"/>
      <selection pane="bottomRight" activeCell="C201" sqref="C201"/>
    </sheetView>
  </sheetViews>
  <sheetFormatPr defaultRowHeight="13.2" x14ac:dyDescent="0.25"/>
  <cols>
    <col min="1" max="1" width="13.33203125" bestFit="1" customWidth="1"/>
    <col min="2" max="2" width="14.33203125" bestFit="1" customWidth="1"/>
    <col min="3" max="3" width="42.88671875" customWidth="1"/>
    <col min="4" max="4" width="13.88671875" customWidth="1"/>
    <col min="5" max="5" width="255.6640625" hidden="1" customWidth="1"/>
    <col min="6" max="6" width="19.6640625" customWidth="1"/>
    <col min="7" max="7" width="38.33203125" customWidth="1"/>
    <col min="8" max="8" width="14.88671875" bestFit="1"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583</v>
      </c>
      <c r="B1" s="98" t="s">
        <v>439</v>
      </c>
      <c r="C1" s="98" t="s">
        <v>440</v>
      </c>
      <c r="D1" s="98" t="s">
        <v>442</v>
      </c>
      <c r="E1" s="98" t="s">
        <v>444</v>
      </c>
      <c r="F1" s="98" t="s">
        <v>445</v>
      </c>
      <c r="G1" s="98" t="s">
        <v>443</v>
      </c>
      <c r="H1" s="98" t="s">
        <v>584</v>
      </c>
      <c r="I1" s="98" t="s">
        <v>446</v>
      </c>
      <c r="J1" s="98" t="s">
        <v>447</v>
      </c>
      <c r="K1" s="98" t="s">
        <v>585</v>
      </c>
      <c r="L1" s="98" t="s">
        <v>441</v>
      </c>
      <c r="M1" s="98" t="s">
        <v>586</v>
      </c>
      <c r="N1" s="98" t="s">
        <v>587</v>
      </c>
      <c r="O1" s="98" t="s">
        <v>588</v>
      </c>
      <c r="P1" s="98" t="s">
        <v>589</v>
      </c>
      <c r="Q1" s="98" t="s">
        <v>590</v>
      </c>
    </row>
    <row r="2" spans="1:17" hidden="1" x14ac:dyDescent="0.25">
      <c r="A2">
        <v>402</v>
      </c>
      <c r="B2">
        <v>16951</v>
      </c>
      <c r="C2" t="s">
        <v>750</v>
      </c>
      <c r="D2" s="260">
        <v>45979</v>
      </c>
      <c r="E2" t="s">
        <v>751</v>
      </c>
      <c r="F2" t="s">
        <v>448</v>
      </c>
      <c r="G2" s="25">
        <v>750000</v>
      </c>
      <c r="H2" s="25">
        <v>750000</v>
      </c>
      <c r="J2" s="260">
        <v>46344</v>
      </c>
      <c r="L2" t="s">
        <v>455</v>
      </c>
      <c r="M2" s="25">
        <v>750000</v>
      </c>
      <c r="N2" t="s">
        <v>448</v>
      </c>
      <c r="O2" s="25">
        <v>750000</v>
      </c>
      <c r="Q2" s="260">
        <v>46344</v>
      </c>
    </row>
    <row r="3" spans="1:17" hidden="1" x14ac:dyDescent="0.25">
      <c r="A3">
        <v>291</v>
      </c>
      <c r="B3">
        <v>4223</v>
      </c>
      <c r="C3" t="s">
        <v>700</v>
      </c>
      <c r="D3" s="260">
        <v>45903</v>
      </c>
      <c r="E3" t="s">
        <v>637</v>
      </c>
      <c r="F3" t="s">
        <v>448</v>
      </c>
      <c r="G3" s="25">
        <v>825000</v>
      </c>
      <c r="H3" s="25">
        <v>825000</v>
      </c>
      <c r="J3" s="260">
        <v>46268</v>
      </c>
      <c r="L3" t="s">
        <v>455</v>
      </c>
      <c r="M3" s="25"/>
      <c r="N3" t="s">
        <v>448</v>
      </c>
      <c r="O3" s="25">
        <v>825000</v>
      </c>
      <c r="Q3" s="260">
        <v>46268</v>
      </c>
    </row>
    <row r="4" spans="1:17" hidden="1" x14ac:dyDescent="0.25">
      <c r="A4">
        <v>222</v>
      </c>
      <c r="B4">
        <v>5882</v>
      </c>
      <c r="C4" t="s">
        <v>179</v>
      </c>
      <c r="D4" s="260">
        <v>45838</v>
      </c>
      <c r="E4" t="s">
        <v>643</v>
      </c>
      <c r="F4" t="s">
        <v>448</v>
      </c>
      <c r="G4" s="25">
        <v>275000</v>
      </c>
      <c r="H4" s="25">
        <v>275000</v>
      </c>
      <c r="J4" s="260"/>
      <c r="L4" t="s">
        <v>455</v>
      </c>
      <c r="M4" s="25"/>
      <c r="N4" t="s">
        <v>448</v>
      </c>
      <c r="O4" s="25">
        <v>275000</v>
      </c>
      <c r="Q4" s="260">
        <v>46203</v>
      </c>
    </row>
    <row r="5" spans="1:17" hidden="1" x14ac:dyDescent="0.25">
      <c r="A5">
        <v>400</v>
      </c>
      <c r="B5">
        <v>17497</v>
      </c>
      <c r="C5" t="s">
        <v>864</v>
      </c>
      <c r="D5" s="260">
        <v>46083</v>
      </c>
      <c r="E5" t="s">
        <v>865</v>
      </c>
      <c r="F5" t="s">
        <v>448</v>
      </c>
      <c r="G5" s="25">
        <v>300000</v>
      </c>
      <c r="H5" s="25">
        <v>300000</v>
      </c>
      <c r="J5" s="260">
        <v>46448</v>
      </c>
      <c r="L5" t="s">
        <v>455</v>
      </c>
      <c r="M5" s="25"/>
      <c r="N5" t="s">
        <v>448</v>
      </c>
      <c r="O5" s="25">
        <v>300000</v>
      </c>
      <c r="Q5" s="260">
        <v>46448</v>
      </c>
    </row>
    <row r="6" spans="1:17" hidden="1" x14ac:dyDescent="0.25">
      <c r="A6">
        <v>206</v>
      </c>
      <c r="B6">
        <v>11580</v>
      </c>
      <c r="C6" t="s">
        <v>492</v>
      </c>
      <c r="D6" s="260">
        <v>45831</v>
      </c>
      <c r="E6" t="s">
        <v>644</v>
      </c>
      <c r="F6" t="s">
        <v>448</v>
      </c>
      <c r="G6" s="25">
        <v>302500</v>
      </c>
      <c r="H6" s="25">
        <v>302500</v>
      </c>
      <c r="J6" s="260"/>
      <c r="L6" t="s">
        <v>469</v>
      </c>
      <c r="M6" s="25"/>
      <c r="N6" t="s">
        <v>448</v>
      </c>
      <c r="O6" s="25">
        <v>302500</v>
      </c>
      <c r="Q6" s="260">
        <v>46196</v>
      </c>
    </row>
    <row r="7" spans="1:17" hidden="1" x14ac:dyDescent="0.25">
      <c r="A7">
        <v>76</v>
      </c>
      <c r="B7">
        <v>14667</v>
      </c>
      <c r="C7" t="s">
        <v>324</v>
      </c>
      <c r="D7" s="260">
        <v>45618</v>
      </c>
      <c r="E7" t="s">
        <v>460</v>
      </c>
      <c r="F7" t="s">
        <v>448</v>
      </c>
      <c r="G7" s="25">
        <v>1500000</v>
      </c>
      <c r="H7" s="25">
        <v>1800000</v>
      </c>
      <c r="I7" t="s">
        <v>461</v>
      </c>
      <c r="J7" s="260"/>
      <c r="M7" s="25">
        <v>0</v>
      </c>
      <c r="N7" t="s">
        <v>448</v>
      </c>
      <c r="O7" s="25">
        <v>1500000</v>
      </c>
      <c r="Q7" s="260">
        <v>45983</v>
      </c>
    </row>
    <row r="8" spans="1:17" hidden="1" x14ac:dyDescent="0.25">
      <c r="A8">
        <v>381</v>
      </c>
      <c r="B8">
        <v>14258</v>
      </c>
      <c r="C8" t="s">
        <v>299</v>
      </c>
      <c r="D8" s="260">
        <v>45981</v>
      </c>
      <c r="E8" t="s">
        <v>752</v>
      </c>
      <c r="F8" t="s">
        <v>448</v>
      </c>
      <c r="G8" s="25">
        <v>750000</v>
      </c>
      <c r="H8" s="25">
        <v>750000</v>
      </c>
      <c r="J8" s="260">
        <v>46347</v>
      </c>
      <c r="L8" t="s">
        <v>455</v>
      </c>
      <c r="M8" s="25"/>
      <c r="N8" t="s">
        <v>448</v>
      </c>
      <c r="O8" s="25">
        <v>100000</v>
      </c>
      <c r="Q8" s="260">
        <v>46347</v>
      </c>
    </row>
    <row r="9" spans="1:17" hidden="1" x14ac:dyDescent="0.25">
      <c r="A9">
        <v>395</v>
      </c>
      <c r="B9">
        <v>16318</v>
      </c>
      <c r="C9" t="s">
        <v>649</v>
      </c>
      <c r="D9" s="260">
        <v>46076</v>
      </c>
      <c r="E9" t="s">
        <v>866</v>
      </c>
      <c r="F9" t="s">
        <v>448</v>
      </c>
      <c r="G9" s="25">
        <v>650000</v>
      </c>
      <c r="H9" s="25">
        <v>650000</v>
      </c>
      <c r="J9" s="260">
        <v>46441</v>
      </c>
      <c r="L9" t="s">
        <v>455</v>
      </c>
      <c r="M9" s="25"/>
      <c r="N9" t="s">
        <v>448</v>
      </c>
      <c r="O9" s="25">
        <v>650000</v>
      </c>
      <c r="Q9" s="260">
        <v>46441</v>
      </c>
    </row>
    <row r="10" spans="1:17" hidden="1" x14ac:dyDescent="0.25">
      <c r="A10">
        <v>270</v>
      </c>
      <c r="B10">
        <v>8187</v>
      </c>
      <c r="C10" t="s">
        <v>553</v>
      </c>
      <c r="D10" s="260">
        <v>45897</v>
      </c>
      <c r="E10" t="s">
        <v>677</v>
      </c>
      <c r="F10" t="s">
        <v>448</v>
      </c>
      <c r="G10" s="25">
        <v>4000000</v>
      </c>
      <c r="H10" s="25">
        <v>4000000</v>
      </c>
      <c r="J10" s="260">
        <v>46262</v>
      </c>
      <c r="K10">
        <v>180</v>
      </c>
      <c r="L10" t="s">
        <v>455</v>
      </c>
      <c r="M10" s="25"/>
      <c r="N10" t="s">
        <v>448</v>
      </c>
      <c r="O10" s="25">
        <v>1000000</v>
      </c>
      <c r="Q10" s="260">
        <v>46262</v>
      </c>
    </row>
    <row r="11" spans="1:17" hidden="1" x14ac:dyDescent="0.25">
      <c r="A11">
        <v>394</v>
      </c>
      <c r="B11">
        <v>7060</v>
      </c>
      <c r="C11" t="s">
        <v>182</v>
      </c>
      <c r="D11" s="260">
        <v>45890</v>
      </c>
      <c r="E11" t="s">
        <v>449</v>
      </c>
      <c r="F11" t="s">
        <v>448</v>
      </c>
      <c r="G11" s="25">
        <v>1800000</v>
      </c>
      <c r="H11" s="25">
        <v>500000</v>
      </c>
      <c r="I11" t="s">
        <v>450</v>
      </c>
      <c r="J11" s="260">
        <v>46255</v>
      </c>
      <c r="L11" t="s">
        <v>455</v>
      </c>
      <c r="M11" s="25"/>
      <c r="N11" t="s">
        <v>448</v>
      </c>
      <c r="O11" s="25">
        <v>500000</v>
      </c>
      <c r="P11" t="s">
        <v>226</v>
      </c>
      <c r="Q11" s="260">
        <v>46255</v>
      </c>
    </row>
    <row r="12" spans="1:17" hidden="1" x14ac:dyDescent="0.25">
      <c r="A12">
        <v>183</v>
      </c>
      <c r="B12">
        <v>12653</v>
      </c>
      <c r="C12" t="s">
        <v>260</v>
      </c>
      <c r="D12" s="260">
        <v>45821</v>
      </c>
      <c r="E12" t="s">
        <v>626</v>
      </c>
      <c r="F12" t="s">
        <v>448</v>
      </c>
      <c r="G12" s="25">
        <v>7000000</v>
      </c>
      <c r="H12" s="25">
        <v>3000000</v>
      </c>
      <c r="J12" s="260">
        <v>46186</v>
      </c>
      <c r="K12">
        <v>180</v>
      </c>
      <c r="L12" t="s">
        <v>455</v>
      </c>
      <c r="M12" s="25"/>
      <c r="N12" t="s">
        <v>448</v>
      </c>
      <c r="O12" s="25">
        <v>7000000</v>
      </c>
      <c r="Q12" s="260">
        <v>46186</v>
      </c>
    </row>
    <row r="13" spans="1:17" hidden="1" x14ac:dyDescent="0.25">
      <c r="A13">
        <v>278</v>
      </c>
      <c r="B13">
        <v>8217</v>
      </c>
      <c r="C13" t="s">
        <v>618</v>
      </c>
      <c r="D13" s="260">
        <v>45824</v>
      </c>
      <c r="E13" t="s">
        <v>627</v>
      </c>
      <c r="F13" t="s">
        <v>448</v>
      </c>
      <c r="G13" s="25">
        <v>700000</v>
      </c>
      <c r="H13" s="25">
        <v>700000</v>
      </c>
      <c r="J13" s="260"/>
      <c r="K13">
        <v>28</v>
      </c>
      <c r="L13" t="s">
        <v>455</v>
      </c>
      <c r="M13" s="25"/>
      <c r="N13" t="s">
        <v>448</v>
      </c>
      <c r="O13" s="25">
        <v>700000</v>
      </c>
      <c r="Q13" s="260">
        <v>46189</v>
      </c>
    </row>
    <row r="14" spans="1:17" hidden="1" x14ac:dyDescent="0.25">
      <c r="A14">
        <v>219</v>
      </c>
      <c r="B14">
        <v>14632</v>
      </c>
      <c r="C14" t="s">
        <v>464</v>
      </c>
      <c r="D14" s="260">
        <v>45835</v>
      </c>
      <c r="E14" t="s">
        <v>465</v>
      </c>
      <c r="F14" t="s">
        <v>448</v>
      </c>
      <c r="G14" s="25">
        <v>100000</v>
      </c>
      <c r="H14" s="25">
        <v>100000</v>
      </c>
      <c r="I14" t="s">
        <v>466</v>
      </c>
      <c r="J14" s="260">
        <v>46200</v>
      </c>
      <c r="K14">
        <v>28</v>
      </c>
      <c r="L14" t="s">
        <v>456</v>
      </c>
      <c r="M14" s="25"/>
      <c r="N14" t="s">
        <v>448</v>
      </c>
      <c r="O14" s="25"/>
      <c r="Q14" s="260">
        <v>46200</v>
      </c>
    </row>
    <row r="15" spans="1:17" hidden="1" x14ac:dyDescent="0.25">
      <c r="A15">
        <v>397</v>
      </c>
      <c r="B15">
        <v>17472</v>
      </c>
      <c r="C15" t="s">
        <v>867</v>
      </c>
      <c r="D15" s="260">
        <v>46072</v>
      </c>
      <c r="E15" t="s">
        <v>784</v>
      </c>
      <c r="F15" t="s">
        <v>448</v>
      </c>
      <c r="G15" s="25">
        <v>500000</v>
      </c>
      <c r="H15" s="25">
        <v>500000</v>
      </c>
      <c r="J15" s="260">
        <v>46437</v>
      </c>
      <c r="L15" t="s">
        <v>455</v>
      </c>
      <c r="M15" s="25">
        <v>500000</v>
      </c>
      <c r="N15" t="s">
        <v>448</v>
      </c>
      <c r="O15" s="25">
        <v>500000</v>
      </c>
      <c r="Q15" s="260">
        <v>46437</v>
      </c>
    </row>
    <row r="16" spans="1:17" hidden="1" x14ac:dyDescent="0.25">
      <c r="A16">
        <v>403</v>
      </c>
      <c r="B16">
        <v>2900</v>
      </c>
      <c r="C16" t="s">
        <v>550</v>
      </c>
      <c r="D16" s="260">
        <v>46090</v>
      </c>
      <c r="E16" t="s">
        <v>784</v>
      </c>
      <c r="F16" t="s">
        <v>448</v>
      </c>
      <c r="G16" s="25">
        <v>200000</v>
      </c>
      <c r="H16" s="25">
        <v>200000</v>
      </c>
      <c r="J16" s="260"/>
      <c r="L16" t="s">
        <v>455</v>
      </c>
      <c r="M16" s="25"/>
      <c r="N16" t="s">
        <v>448</v>
      </c>
      <c r="O16" s="25">
        <v>200000</v>
      </c>
      <c r="Q16" s="260">
        <v>46455</v>
      </c>
    </row>
    <row r="17" spans="1:17" hidden="1" x14ac:dyDescent="0.25">
      <c r="A17">
        <v>367</v>
      </c>
      <c r="B17">
        <v>2642</v>
      </c>
      <c r="C17" t="s">
        <v>785</v>
      </c>
      <c r="D17" s="260">
        <v>46001</v>
      </c>
      <c r="E17" t="s">
        <v>784</v>
      </c>
      <c r="F17" t="s">
        <v>448</v>
      </c>
      <c r="G17" s="25">
        <v>825000</v>
      </c>
      <c r="H17" s="25">
        <v>825000</v>
      </c>
      <c r="J17" s="260">
        <v>46366</v>
      </c>
      <c r="L17" t="s">
        <v>476</v>
      </c>
      <c r="M17" s="25"/>
      <c r="N17" t="s">
        <v>448</v>
      </c>
      <c r="O17" s="25">
        <v>825000</v>
      </c>
      <c r="Q17" s="260">
        <v>46366</v>
      </c>
    </row>
    <row r="18" spans="1:17" hidden="1" x14ac:dyDescent="0.25">
      <c r="A18">
        <v>180</v>
      </c>
      <c r="B18">
        <v>10413</v>
      </c>
      <c r="C18" t="s">
        <v>296</v>
      </c>
      <c r="D18" s="260">
        <v>45820</v>
      </c>
      <c r="E18" t="s">
        <v>624</v>
      </c>
      <c r="F18" t="s">
        <v>448</v>
      </c>
      <c r="G18" s="25">
        <v>800000</v>
      </c>
      <c r="H18" s="25">
        <v>800000</v>
      </c>
      <c r="J18" s="260"/>
      <c r="L18" t="s">
        <v>455</v>
      </c>
      <c r="M18" s="25"/>
      <c r="N18" t="s">
        <v>448</v>
      </c>
      <c r="O18" s="25">
        <v>800000</v>
      </c>
      <c r="Q18" s="260">
        <v>46186</v>
      </c>
    </row>
    <row r="19" spans="1:17" hidden="1" x14ac:dyDescent="0.25">
      <c r="A19">
        <v>355</v>
      </c>
      <c r="B19">
        <v>2287</v>
      </c>
      <c r="C19" t="s">
        <v>126</v>
      </c>
      <c r="D19" s="260">
        <v>45994</v>
      </c>
      <c r="E19" t="s">
        <v>774</v>
      </c>
      <c r="F19" t="s">
        <v>448</v>
      </c>
      <c r="G19" s="25">
        <v>962500</v>
      </c>
      <c r="H19" s="25">
        <v>962500</v>
      </c>
      <c r="J19" s="260">
        <v>46359</v>
      </c>
      <c r="L19" t="s">
        <v>455</v>
      </c>
      <c r="M19" s="25"/>
      <c r="N19" t="s">
        <v>448</v>
      </c>
      <c r="O19" s="25">
        <v>962500</v>
      </c>
      <c r="Q19" s="260">
        <v>46359</v>
      </c>
    </row>
    <row r="20" spans="1:17" hidden="1" x14ac:dyDescent="0.25">
      <c r="A20">
        <v>244</v>
      </c>
      <c r="B20">
        <v>3426</v>
      </c>
      <c r="C20" t="s">
        <v>403</v>
      </c>
      <c r="D20" s="260">
        <v>45831</v>
      </c>
      <c r="E20" t="s">
        <v>638</v>
      </c>
      <c r="F20" t="s">
        <v>448</v>
      </c>
      <c r="G20" s="25">
        <v>660000</v>
      </c>
      <c r="H20" s="25">
        <v>660000</v>
      </c>
      <c r="J20" s="260"/>
      <c r="L20" t="s">
        <v>469</v>
      </c>
      <c r="M20" s="25"/>
      <c r="N20" t="s">
        <v>448</v>
      </c>
      <c r="O20" s="25">
        <v>660000</v>
      </c>
      <c r="Q20" s="260">
        <v>46196</v>
      </c>
    </row>
    <row r="21" spans="1:17" hidden="1" x14ac:dyDescent="0.25">
      <c r="A21">
        <v>421</v>
      </c>
      <c r="B21">
        <v>16910</v>
      </c>
      <c r="C21" t="s">
        <v>696</v>
      </c>
      <c r="D21" s="260">
        <v>46107</v>
      </c>
      <c r="E21" t="s">
        <v>916</v>
      </c>
      <c r="F21" t="s">
        <v>448</v>
      </c>
      <c r="G21" s="25">
        <v>550000</v>
      </c>
      <c r="H21" s="25">
        <v>550000</v>
      </c>
      <c r="J21" s="260">
        <v>46444</v>
      </c>
      <c r="L21" t="s">
        <v>463</v>
      </c>
      <c r="M21" s="25"/>
      <c r="N21" t="s">
        <v>448</v>
      </c>
      <c r="O21" s="25">
        <v>550000</v>
      </c>
      <c r="Q21" s="260">
        <v>46472</v>
      </c>
    </row>
    <row r="22" spans="1:17" hidden="1" x14ac:dyDescent="0.25">
      <c r="A22">
        <v>199</v>
      </c>
      <c r="B22">
        <v>11768</v>
      </c>
      <c r="C22" t="s">
        <v>305</v>
      </c>
      <c r="D22" s="260">
        <v>45831</v>
      </c>
      <c r="E22" t="s">
        <v>640</v>
      </c>
      <c r="F22" t="s">
        <v>448</v>
      </c>
      <c r="G22" s="25">
        <v>550000</v>
      </c>
      <c r="H22" s="25">
        <v>550000</v>
      </c>
      <c r="J22" s="260"/>
      <c r="L22" t="s">
        <v>469</v>
      </c>
      <c r="M22" s="25"/>
      <c r="N22" t="s">
        <v>448</v>
      </c>
      <c r="O22" s="25">
        <v>550000</v>
      </c>
      <c r="Q22" s="260">
        <v>46196</v>
      </c>
    </row>
    <row r="23" spans="1:17" hidden="1" x14ac:dyDescent="0.25">
      <c r="A23">
        <v>305</v>
      </c>
      <c r="B23">
        <v>16288</v>
      </c>
      <c r="C23" t="s">
        <v>665</v>
      </c>
      <c r="D23" s="260">
        <v>45870</v>
      </c>
      <c r="E23" t="s">
        <v>725</v>
      </c>
      <c r="F23" t="s">
        <v>448</v>
      </c>
      <c r="G23" s="25">
        <v>750000</v>
      </c>
      <c r="H23" s="25">
        <v>750000</v>
      </c>
      <c r="J23" s="260">
        <v>46235</v>
      </c>
      <c r="L23" t="s">
        <v>455</v>
      </c>
      <c r="M23" s="25"/>
      <c r="N23" t="s">
        <v>448</v>
      </c>
      <c r="O23" s="25">
        <v>500000</v>
      </c>
      <c r="Q23" s="260">
        <v>46235</v>
      </c>
    </row>
    <row r="24" spans="1:17" hidden="1" x14ac:dyDescent="0.25">
      <c r="A24">
        <v>122</v>
      </c>
      <c r="B24">
        <v>15799</v>
      </c>
      <c r="C24" t="s">
        <v>595</v>
      </c>
      <c r="D24" s="260">
        <v>45709</v>
      </c>
      <c r="E24" t="s">
        <v>596</v>
      </c>
      <c r="F24" t="s">
        <v>448</v>
      </c>
      <c r="G24" s="25">
        <v>1500000</v>
      </c>
      <c r="H24" s="25">
        <v>1500000</v>
      </c>
      <c r="J24" s="260">
        <v>46074</v>
      </c>
      <c r="K24">
        <v>270</v>
      </c>
      <c r="L24" t="s">
        <v>455</v>
      </c>
      <c r="M24" s="25"/>
      <c r="N24" t="s">
        <v>448</v>
      </c>
      <c r="O24" s="25">
        <v>1500000</v>
      </c>
      <c r="Q24" s="260">
        <v>46074</v>
      </c>
    </row>
    <row r="25" spans="1:17" hidden="1" x14ac:dyDescent="0.25">
      <c r="A25">
        <v>349</v>
      </c>
      <c r="B25">
        <v>15699</v>
      </c>
      <c r="C25" t="s">
        <v>697</v>
      </c>
      <c r="D25" s="260">
        <v>45987</v>
      </c>
      <c r="E25" t="s">
        <v>753</v>
      </c>
      <c r="F25" t="s">
        <v>448</v>
      </c>
      <c r="G25" s="25">
        <v>1375000</v>
      </c>
      <c r="H25" s="25">
        <v>1375000</v>
      </c>
      <c r="J25" s="260"/>
      <c r="M25" s="25"/>
      <c r="N25" t="s">
        <v>448</v>
      </c>
      <c r="O25" s="25">
        <v>1375000</v>
      </c>
      <c r="Q25" s="260"/>
    </row>
    <row r="26" spans="1:17" hidden="1" x14ac:dyDescent="0.25">
      <c r="A26">
        <v>354</v>
      </c>
      <c r="B26">
        <v>12322</v>
      </c>
      <c r="C26" t="s">
        <v>775</v>
      </c>
      <c r="D26" s="260">
        <v>45994</v>
      </c>
      <c r="E26" t="s">
        <v>776</v>
      </c>
      <c r="F26" t="s">
        <v>448</v>
      </c>
      <c r="G26" s="25">
        <v>350000</v>
      </c>
      <c r="H26" s="25">
        <v>350000</v>
      </c>
      <c r="J26" s="260">
        <v>46359</v>
      </c>
      <c r="L26" t="s">
        <v>455</v>
      </c>
      <c r="M26" s="25"/>
      <c r="N26" t="s">
        <v>448</v>
      </c>
      <c r="O26" s="25">
        <v>350000</v>
      </c>
      <c r="Q26" s="260">
        <v>46359</v>
      </c>
    </row>
    <row r="27" spans="1:17" hidden="1" x14ac:dyDescent="0.25">
      <c r="A27">
        <v>127</v>
      </c>
      <c r="B27">
        <v>15749</v>
      </c>
      <c r="C27" t="s">
        <v>555</v>
      </c>
      <c r="D27" s="260">
        <v>45772</v>
      </c>
      <c r="E27" t="s">
        <v>598</v>
      </c>
      <c r="F27" t="s">
        <v>448</v>
      </c>
      <c r="G27" s="25">
        <v>1000000</v>
      </c>
      <c r="H27" s="25">
        <v>100000</v>
      </c>
      <c r="J27" s="260"/>
      <c r="M27" s="25"/>
      <c r="N27" t="s">
        <v>448</v>
      </c>
      <c r="O27" s="25">
        <v>1000000</v>
      </c>
      <c r="Q27" s="260">
        <v>46137</v>
      </c>
    </row>
    <row r="28" spans="1:17" hidden="1" x14ac:dyDescent="0.25">
      <c r="A28">
        <v>159</v>
      </c>
      <c r="B28">
        <v>943</v>
      </c>
      <c r="C28" t="s">
        <v>168</v>
      </c>
      <c r="D28" s="260">
        <v>45804</v>
      </c>
      <c r="E28" t="s">
        <v>603</v>
      </c>
      <c r="F28" t="s">
        <v>448</v>
      </c>
      <c r="G28" s="25">
        <v>1500000</v>
      </c>
      <c r="H28" s="25">
        <v>1500000</v>
      </c>
      <c r="J28" s="260"/>
      <c r="L28" t="s">
        <v>455</v>
      </c>
      <c r="M28" s="25"/>
      <c r="N28" t="s">
        <v>448</v>
      </c>
      <c r="O28" s="25">
        <v>1500000</v>
      </c>
      <c r="Q28" s="260">
        <v>46168</v>
      </c>
    </row>
    <row r="29" spans="1:17" hidden="1" x14ac:dyDescent="0.25">
      <c r="A29">
        <v>359</v>
      </c>
      <c r="B29">
        <v>5300</v>
      </c>
      <c r="C29" t="s">
        <v>30</v>
      </c>
      <c r="D29" s="260">
        <v>45995</v>
      </c>
      <c r="E29" t="s">
        <v>776</v>
      </c>
      <c r="F29" t="s">
        <v>448</v>
      </c>
      <c r="G29" s="25">
        <v>2600000</v>
      </c>
      <c r="H29" s="25">
        <v>2600000</v>
      </c>
      <c r="J29" s="260">
        <v>46360</v>
      </c>
      <c r="L29" t="s">
        <v>455</v>
      </c>
      <c r="M29" s="25"/>
      <c r="N29" t="s">
        <v>448</v>
      </c>
      <c r="O29" s="25">
        <v>2600000</v>
      </c>
      <c r="Q29" s="260">
        <v>46360</v>
      </c>
    </row>
    <row r="30" spans="1:17" hidden="1" x14ac:dyDescent="0.25">
      <c r="A30">
        <v>407</v>
      </c>
      <c r="B30">
        <v>2619</v>
      </c>
      <c r="C30" t="s">
        <v>889</v>
      </c>
      <c r="D30" s="260">
        <v>46093</v>
      </c>
      <c r="E30" t="s">
        <v>784</v>
      </c>
      <c r="F30" t="s">
        <v>448</v>
      </c>
      <c r="G30" s="25">
        <v>650000</v>
      </c>
      <c r="H30" s="25">
        <v>650000</v>
      </c>
      <c r="J30" s="260"/>
      <c r="L30" t="s">
        <v>455</v>
      </c>
      <c r="M30" s="25"/>
      <c r="N30" t="s">
        <v>448</v>
      </c>
      <c r="O30" s="25">
        <v>650000</v>
      </c>
      <c r="Q30" s="260">
        <v>46458</v>
      </c>
    </row>
    <row r="31" spans="1:17" hidden="1" x14ac:dyDescent="0.25">
      <c r="A31">
        <v>173</v>
      </c>
      <c r="B31">
        <v>14382</v>
      </c>
      <c r="C31" t="s">
        <v>272</v>
      </c>
      <c r="D31" s="260">
        <v>45799</v>
      </c>
      <c r="E31" t="s">
        <v>608</v>
      </c>
      <c r="F31" t="s">
        <v>448</v>
      </c>
      <c r="G31" s="25">
        <v>300000</v>
      </c>
      <c r="H31" s="25">
        <v>300000</v>
      </c>
      <c r="J31" s="260"/>
      <c r="M31" s="25"/>
      <c r="N31" t="s">
        <v>448</v>
      </c>
      <c r="O31" s="25">
        <v>300000</v>
      </c>
      <c r="Q31" s="260">
        <v>46164</v>
      </c>
    </row>
    <row r="32" spans="1:17" hidden="1" x14ac:dyDescent="0.25">
      <c r="A32">
        <v>339</v>
      </c>
      <c r="B32">
        <v>2607</v>
      </c>
      <c r="C32" t="s">
        <v>754</v>
      </c>
      <c r="D32" s="260">
        <v>45980</v>
      </c>
      <c r="E32" t="s">
        <v>755</v>
      </c>
      <c r="F32" t="s">
        <v>448</v>
      </c>
      <c r="G32" s="25">
        <v>300000</v>
      </c>
      <c r="H32" s="25">
        <v>300000</v>
      </c>
      <c r="J32" s="260"/>
      <c r="L32" t="s">
        <v>455</v>
      </c>
      <c r="M32" s="25"/>
      <c r="N32" t="s">
        <v>448</v>
      </c>
      <c r="O32" s="25">
        <v>300000</v>
      </c>
      <c r="Q32" s="260"/>
    </row>
    <row r="33" spans="1:17" hidden="1" x14ac:dyDescent="0.25">
      <c r="A33">
        <v>422</v>
      </c>
      <c r="B33">
        <v>17449</v>
      </c>
      <c r="C33" t="s">
        <v>917</v>
      </c>
      <c r="D33" s="260">
        <v>46114</v>
      </c>
      <c r="E33" t="s">
        <v>918</v>
      </c>
      <c r="F33" t="s">
        <v>448</v>
      </c>
      <c r="G33" s="25">
        <v>500000</v>
      </c>
      <c r="H33" s="25">
        <v>500000</v>
      </c>
      <c r="J33" s="260">
        <v>46479</v>
      </c>
      <c r="L33" t="s">
        <v>455</v>
      </c>
      <c r="M33" s="25"/>
      <c r="N33" t="s">
        <v>448</v>
      </c>
      <c r="O33" s="25">
        <v>500000</v>
      </c>
      <c r="Q33" s="260">
        <v>46479</v>
      </c>
    </row>
    <row r="34" spans="1:17" hidden="1" x14ac:dyDescent="0.25">
      <c r="A34">
        <v>192</v>
      </c>
      <c r="B34">
        <v>2656</v>
      </c>
      <c r="C34" t="s">
        <v>130</v>
      </c>
      <c r="D34" s="260">
        <v>45831</v>
      </c>
      <c r="E34" t="s">
        <v>634</v>
      </c>
      <c r="F34" t="s">
        <v>448</v>
      </c>
      <c r="G34" s="25">
        <v>687500</v>
      </c>
      <c r="H34" s="25">
        <v>687500</v>
      </c>
      <c r="J34" s="260"/>
      <c r="L34" t="s">
        <v>469</v>
      </c>
      <c r="M34" s="25"/>
      <c r="N34" t="s">
        <v>448</v>
      </c>
      <c r="O34" s="25">
        <v>687500</v>
      </c>
      <c r="Q34" s="260">
        <v>46196</v>
      </c>
    </row>
    <row r="35" spans="1:17" hidden="1" x14ac:dyDescent="0.25">
      <c r="A35">
        <v>176</v>
      </c>
      <c r="B35">
        <v>2225</v>
      </c>
      <c r="C35" t="s">
        <v>868</v>
      </c>
      <c r="D35" s="260">
        <v>45812</v>
      </c>
      <c r="E35" t="s">
        <v>623</v>
      </c>
      <c r="F35" t="s">
        <v>448</v>
      </c>
      <c r="G35" s="25">
        <v>200000</v>
      </c>
      <c r="H35" s="25">
        <v>200000</v>
      </c>
      <c r="J35" s="260"/>
      <c r="K35">
        <v>28</v>
      </c>
      <c r="M35" s="25"/>
      <c r="N35" t="s">
        <v>448</v>
      </c>
      <c r="O35" s="25">
        <v>0</v>
      </c>
      <c r="Q35" s="260">
        <v>46177</v>
      </c>
    </row>
    <row r="36" spans="1:17" hidden="1" x14ac:dyDescent="0.25">
      <c r="A36">
        <v>371</v>
      </c>
      <c r="B36">
        <v>10676</v>
      </c>
      <c r="C36" t="s">
        <v>133</v>
      </c>
      <c r="D36" s="260">
        <v>46001</v>
      </c>
      <c r="E36" t="s">
        <v>805</v>
      </c>
      <c r="F36" t="s">
        <v>448</v>
      </c>
      <c r="G36" s="25">
        <v>550000</v>
      </c>
      <c r="H36" s="25">
        <v>550000</v>
      </c>
      <c r="J36" s="260">
        <v>46366</v>
      </c>
      <c r="L36" t="s">
        <v>476</v>
      </c>
      <c r="M36" s="25"/>
      <c r="N36" t="s">
        <v>448</v>
      </c>
      <c r="O36" s="25">
        <v>550000</v>
      </c>
      <c r="Q36" s="260">
        <v>46366</v>
      </c>
    </row>
    <row r="37" spans="1:17" hidden="1" x14ac:dyDescent="0.25">
      <c r="A37">
        <v>374</v>
      </c>
      <c r="B37">
        <v>12249</v>
      </c>
      <c r="C37" t="s">
        <v>806</v>
      </c>
      <c r="D37" s="260">
        <v>46007</v>
      </c>
      <c r="E37" t="s">
        <v>807</v>
      </c>
      <c r="G37" s="25"/>
      <c r="H37" s="25">
        <v>110000</v>
      </c>
      <c r="J37" s="260"/>
      <c r="M37" s="25"/>
      <c r="N37" t="s">
        <v>448</v>
      </c>
      <c r="O37" s="25">
        <v>110000</v>
      </c>
      <c r="Q37" s="260"/>
    </row>
    <row r="38" spans="1:17" hidden="1" x14ac:dyDescent="0.25">
      <c r="A38">
        <v>386</v>
      </c>
      <c r="B38">
        <v>2696</v>
      </c>
      <c r="C38" t="s">
        <v>131</v>
      </c>
      <c r="D38" s="260">
        <v>46030</v>
      </c>
      <c r="E38" t="s">
        <v>830</v>
      </c>
      <c r="F38" t="s">
        <v>448</v>
      </c>
      <c r="G38" s="25">
        <v>660000</v>
      </c>
      <c r="H38" s="25">
        <v>660000</v>
      </c>
      <c r="J38" s="260">
        <v>46395</v>
      </c>
      <c r="L38" t="s">
        <v>455</v>
      </c>
      <c r="M38" s="25"/>
      <c r="N38" t="s">
        <v>448</v>
      </c>
      <c r="O38" s="25">
        <v>660000</v>
      </c>
      <c r="Q38" s="260">
        <v>46395</v>
      </c>
    </row>
    <row r="39" spans="1:17" hidden="1" x14ac:dyDescent="0.25">
      <c r="A39">
        <v>383</v>
      </c>
      <c r="B39">
        <v>17305</v>
      </c>
      <c r="C39" t="s">
        <v>820</v>
      </c>
      <c r="D39" s="260">
        <v>46031</v>
      </c>
      <c r="E39" t="s">
        <v>831</v>
      </c>
      <c r="F39" t="s">
        <v>448</v>
      </c>
      <c r="G39" s="25">
        <v>250000</v>
      </c>
      <c r="H39" s="25">
        <v>250000</v>
      </c>
      <c r="J39" s="260">
        <v>46396</v>
      </c>
      <c r="K39">
        <v>60</v>
      </c>
      <c r="M39" s="25"/>
      <c r="N39" t="s">
        <v>448</v>
      </c>
      <c r="O39" s="25"/>
      <c r="Q39" s="260">
        <v>46396</v>
      </c>
    </row>
    <row r="40" spans="1:17" hidden="1" x14ac:dyDescent="0.25">
      <c r="A40">
        <v>378</v>
      </c>
      <c r="B40">
        <v>11978</v>
      </c>
      <c r="C40" t="s">
        <v>308</v>
      </c>
      <c r="D40" s="260">
        <v>46001</v>
      </c>
      <c r="E40" t="s">
        <v>808</v>
      </c>
      <c r="F40" t="s">
        <v>448</v>
      </c>
      <c r="G40" s="25">
        <v>1925000</v>
      </c>
      <c r="H40" s="25">
        <v>192500</v>
      </c>
      <c r="J40" s="260"/>
      <c r="L40" t="s">
        <v>455</v>
      </c>
      <c r="M40" s="25"/>
      <c r="N40" t="s">
        <v>448</v>
      </c>
      <c r="O40" s="25">
        <v>192500</v>
      </c>
      <c r="Q40" s="260">
        <v>46366</v>
      </c>
    </row>
    <row r="41" spans="1:17" hidden="1" x14ac:dyDescent="0.25">
      <c r="A41">
        <v>267</v>
      </c>
      <c r="B41">
        <v>4737</v>
      </c>
      <c r="C41" t="s">
        <v>678</v>
      </c>
      <c r="D41" s="260">
        <v>45894</v>
      </c>
      <c r="E41" t="s">
        <v>608</v>
      </c>
      <c r="F41" t="s">
        <v>448</v>
      </c>
      <c r="G41" s="25">
        <v>150000</v>
      </c>
      <c r="H41" s="25">
        <v>150000</v>
      </c>
      <c r="J41" s="260">
        <v>46259</v>
      </c>
      <c r="L41" t="s">
        <v>455</v>
      </c>
      <c r="M41" s="25"/>
      <c r="N41" t="s">
        <v>448</v>
      </c>
      <c r="O41" s="25">
        <v>150000</v>
      </c>
      <c r="Q41" s="260">
        <v>46259</v>
      </c>
    </row>
    <row r="42" spans="1:17" hidden="1" x14ac:dyDescent="0.25">
      <c r="A42">
        <v>221</v>
      </c>
      <c r="B42">
        <v>1062</v>
      </c>
      <c r="C42" t="s">
        <v>591</v>
      </c>
      <c r="D42" s="260">
        <v>45834</v>
      </c>
      <c r="E42" t="s">
        <v>651</v>
      </c>
      <c r="F42" t="s">
        <v>448</v>
      </c>
      <c r="G42" s="25">
        <v>660000</v>
      </c>
      <c r="H42" s="25">
        <v>660000</v>
      </c>
      <c r="J42" s="260"/>
      <c r="L42" t="s">
        <v>469</v>
      </c>
      <c r="M42" s="25"/>
      <c r="N42" t="s">
        <v>448</v>
      </c>
      <c r="O42" s="25">
        <v>660000</v>
      </c>
      <c r="Q42" s="260">
        <v>45834</v>
      </c>
    </row>
    <row r="43" spans="1:17" hidden="1" x14ac:dyDescent="0.25">
      <c r="A43">
        <v>319</v>
      </c>
      <c r="B43">
        <v>6177</v>
      </c>
      <c r="C43" t="s">
        <v>745</v>
      </c>
      <c r="D43" s="260">
        <v>45957</v>
      </c>
      <c r="E43" t="s">
        <v>756</v>
      </c>
      <c r="F43" t="s">
        <v>448</v>
      </c>
      <c r="G43" s="25">
        <v>850000</v>
      </c>
      <c r="H43" s="25">
        <v>850000</v>
      </c>
      <c r="J43" s="260">
        <v>46343</v>
      </c>
      <c r="L43" t="s">
        <v>455</v>
      </c>
      <c r="M43" s="25"/>
      <c r="N43" t="s">
        <v>448</v>
      </c>
      <c r="O43" s="25">
        <v>850000</v>
      </c>
      <c r="Q43" s="260">
        <v>46343</v>
      </c>
    </row>
    <row r="44" spans="1:17" hidden="1" x14ac:dyDescent="0.25">
      <c r="A44">
        <v>133</v>
      </c>
      <c r="B44">
        <v>16042</v>
      </c>
      <c r="C44" t="s">
        <v>572</v>
      </c>
      <c r="D44" s="260">
        <v>45789</v>
      </c>
      <c r="E44" t="s">
        <v>600</v>
      </c>
      <c r="F44" t="s">
        <v>448</v>
      </c>
      <c r="G44" s="25">
        <v>500000</v>
      </c>
      <c r="H44" s="25">
        <v>500000</v>
      </c>
      <c r="J44" s="260">
        <v>46154</v>
      </c>
      <c r="K44">
        <v>15</v>
      </c>
      <c r="L44" t="s">
        <v>455</v>
      </c>
      <c r="M44" s="25"/>
      <c r="N44" t="s">
        <v>448</v>
      </c>
      <c r="O44" s="25">
        <v>500000</v>
      </c>
      <c r="Q44" s="260">
        <v>46154</v>
      </c>
    </row>
    <row r="45" spans="1:17" hidden="1" x14ac:dyDescent="0.25">
      <c r="A45">
        <v>276</v>
      </c>
      <c r="B45">
        <v>5209</v>
      </c>
      <c r="C45" t="s">
        <v>94</v>
      </c>
      <c r="D45" s="260">
        <v>45916</v>
      </c>
      <c r="E45" t="s">
        <v>693</v>
      </c>
      <c r="F45" t="s">
        <v>448</v>
      </c>
      <c r="G45" s="25">
        <v>100000</v>
      </c>
      <c r="H45" s="25">
        <v>100000</v>
      </c>
      <c r="J45" s="260">
        <v>46282</v>
      </c>
      <c r="L45" t="s">
        <v>455</v>
      </c>
      <c r="M45" s="25"/>
      <c r="N45" t="s">
        <v>448</v>
      </c>
      <c r="O45" s="25">
        <v>100000</v>
      </c>
      <c r="Q45" s="260">
        <v>46282</v>
      </c>
    </row>
    <row r="46" spans="1:17" hidden="1" x14ac:dyDescent="0.25">
      <c r="A46">
        <v>338</v>
      </c>
      <c r="B46">
        <v>6315</v>
      </c>
      <c r="C46" t="s">
        <v>97</v>
      </c>
      <c r="D46" s="260">
        <v>45980</v>
      </c>
      <c r="E46" t="s">
        <v>755</v>
      </c>
      <c r="F46" t="s">
        <v>448</v>
      </c>
      <c r="G46" s="25">
        <v>300000</v>
      </c>
      <c r="H46" s="25">
        <v>300000</v>
      </c>
      <c r="J46" s="260"/>
      <c r="L46" t="s">
        <v>455</v>
      </c>
      <c r="M46" s="25"/>
      <c r="N46" t="s">
        <v>448</v>
      </c>
      <c r="O46" s="25">
        <v>300000</v>
      </c>
      <c r="Q46" s="260"/>
    </row>
    <row r="47" spans="1:17" hidden="1" x14ac:dyDescent="0.25">
      <c r="A47">
        <v>343</v>
      </c>
      <c r="B47">
        <v>16645</v>
      </c>
      <c r="C47" t="s">
        <v>673</v>
      </c>
      <c r="D47" s="260">
        <v>45912</v>
      </c>
      <c r="E47" t="s">
        <v>755</v>
      </c>
      <c r="F47" t="s">
        <v>448</v>
      </c>
      <c r="G47" s="25">
        <v>400000</v>
      </c>
      <c r="H47" s="25">
        <v>400000</v>
      </c>
      <c r="J47" s="260">
        <v>46277</v>
      </c>
      <c r="L47" t="s">
        <v>455</v>
      </c>
      <c r="M47" s="25"/>
      <c r="N47" t="s">
        <v>448</v>
      </c>
      <c r="O47" s="25">
        <v>400000</v>
      </c>
      <c r="Q47" s="260"/>
    </row>
    <row r="48" spans="1:17" hidden="1" x14ac:dyDescent="0.25">
      <c r="A48">
        <v>185</v>
      </c>
      <c r="B48">
        <v>12098</v>
      </c>
      <c r="C48" t="s">
        <v>620</v>
      </c>
      <c r="D48" s="260">
        <v>45824</v>
      </c>
      <c r="E48" t="s">
        <v>627</v>
      </c>
      <c r="F48" t="s">
        <v>448</v>
      </c>
      <c r="G48" s="25">
        <v>500000</v>
      </c>
      <c r="H48" s="25">
        <v>500000</v>
      </c>
      <c r="J48" s="260"/>
      <c r="K48">
        <v>28</v>
      </c>
      <c r="L48" t="s">
        <v>455</v>
      </c>
      <c r="M48" s="25"/>
      <c r="N48" t="s">
        <v>448</v>
      </c>
      <c r="O48" s="25">
        <v>500000</v>
      </c>
      <c r="Q48" s="260">
        <v>46189</v>
      </c>
    </row>
    <row r="49" spans="1:17" hidden="1" x14ac:dyDescent="0.25">
      <c r="A49">
        <v>182</v>
      </c>
      <c r="B49">
        <v>7420</v>
      </c>
      <c r="C49" t="s">
        <v>621</v>
      </c>
      <c r="D49" s="260">
        <v>45819</v>
      </c>
      <c r="E49" t="s">
        <v>625</v>
      </c>
      <c r="F49" t="s">
        <v>448</v>
      </c>
      <c r="G49" s="25">
        <v>300000</v>
      </c>
      <c r="H49" s="25">
        <v>300000</v>
      </c>
      <c r="J49" s="260"/>
      <c r="K49">
        <v>28</v>
      </c>
      <c r="M49" s="25"/>
      <c r="N49" t="s">
        <v>448</v>
      </c>
      <c r="O49" s="25">
        <v>300000</v>
      </c>
      <c r="Q49" s="260">
        <v>46184</v>
      </c>
    </row>
    <row r="50" spans="1:17" hidden="1" x14ac:dyDescent="0.25">
      <c r="A50">
        <v>169</v>
      </c>
      <c r="B50">
        <v>10941</v>
      </c>
      <c r="C50" t="s">
        <v>193</v>
      </c>
      <c r="D50" s="260">
        <v>45804</v>
      </c>
      <c r="E50" t="s">
        <v>603</v>
      </c>
      <c r="F50" t="s">
        <v>448</v>
      </c>
      <c r="G50" s="25">
        <v>800000</v>
      </c>
      <c r="H50" s="25">
        <v>800000</v>
      </c>
      <c r="J50" s="260">
        <v>46169</v>
      </c>
      <c r="L50" t="s">
        <v>455</v>
      </c>
      <c r="M50" s="25"/>
      <c r="N50" t="s">
        <v>448</v>
      </c>
      <c r="O50" s="25">
        <v>800000</v>
      </c>
      <c r="Q50" s="260">
        <v>46168</v>
      </c>
    </row>
    <row r="51" spans="1:17" hidden="1" x14ac:dyDescent="0.25">
      <c r="A51">
        <v>303</v>
      </c>
      <c r="B51">
        <v>31</v>
      </c>
      <c r="C51" t="s">
        <v>290</v>
      </c>
      <c r="D51" s="260">
        <v>45936</v>
      </c>
      <c r="E51" t="s">
        <v>718</v>
      </c>
      <c r="F51" t="s">
        <v>448</v>
      </c>
      <c r="G51" s="25">
        <v>500000</v>
      </c>
      <c r="H51" s="25">
        <v>500000</v>
      </c>
      <c r="J51" s="260"/>
      <c r="L51" t="s">
        <v>455</v>
      </c>
      <c r="M51" s="25"/>
      <c r="N51" t="s">
        <v>448</v>
      </c>
      <c r="O51" s="25">
        <v>500000</v>
      </c>
      <c r="Q51" s="260"/>
    </row>
    <row r="52" spans="1:17" hidden="1" x14ac:dyDescent="0.25">
      <c r="A52">
        <v>415</v>
      </c>
      <c r="B52">
        <v>210</v>
      </c>
      <c r="C52" t="s">
        <v>333</v>
      </c>
      <c r="D52" s="260">
        <v>45919</v>
      </c>
      <c r="E52" t="s">
        <v>890</v>
      </c>
      <c r="F52" t="s">
        <v>448</v>
      </c>
      <c r="G52" s="25">
        <v>100000</v>
      </c>
      <c r="H52" s="25">
        <v>100000</v>
      </c>
      <c r="J52" s="260">
        <v>46284</v>
      </c>
      <c r="M52" s="25"/>
      <c r="N52" t="s">
        <v>448</v>
      </c>
      <c r="O52" s="25">
        <v>100000</v>
      </c>
      <c r="Q52" s="260"/>
    </row>
    <row r="53" spans="1:17" hidden="1" x14ac:dyDescent="0.25">
      <c r="A53">
        <v>170</v>
      </c>
      <c r="B53">
        <v>10541</v>
      </c>
      <c r="C53" t="s">
        <v>375</v>
      </c>
      <c r="D53" s="260">
        <v>45804</v>
      </c>
      <c r="E53" t="s">
        <v>603</v>
      </c>
      <c r="F53" t="s">
        <v>448</v>
      </c>
      <c r="G53" s="25">
        <v>1023000</v>
      </c>
      <c r="H53" s="25">
        <v>1023000</v>
      </c>
      <c r="J53" s="260">
        <v>46169</v>
      </c>
      <c r="L53" t="s">
        <v>455</v>
      </c>
      <c r="M53" s="25"/>
      <c r="N53" t="s">
        <v>448</v>
      </c>
      <c r="O53" s="25">
        <v>1023000</v>
      </c>
      <c r="Q53" s="260">
        <v>46168</v>
      </c>
    </row>
    <row r="54" spans="1:17" hidden="1" x14ac:dyDescent="0.25">
      <c r="A54">
        <v>289</v>
      </c>
      <c r="B54">
        <v>13567</v>
      </c>
      <c r="C54" t="s">
        <v>378</v>
      </c>
      <c r="D54" s="260">
        <v>45926</v>
      </c>
      <c r="E54" t="s">
        <v>698</v>
      </c>
      <c r="F54" t="s">
        <v>448</v>
      </c>
      <c r="G54" s="25">
        <v>500000</v>
      </c>
      <c r="H54" s="25">
        <v>500000</v>
      </c>
      <c r="J54" s="260">
        <v>46291</v>
      </c>
      <c r="K54">
        <v>360</v>
      </c>
      <c r="L54" t="s">
        <v>455</v>
      </c>
      <c r="M54" s="25"/>
      <c r="N54" t="s">
        <v>448</v>
      </c>
      <c r="O54" s="25">
        <v>300000</v>
      </c>
      <c r="Q54" s="260">
        <v>46291</v>
      </c>
    </row>
    <row r="55" spans="1:17" hidden="1" x14ac:dyDescent="0.25">
      <c r="A55">
        <v>388</v>
      </c>
      <c r="B55">
        <v>17310</v>
      </c>
      <c r="C55" t="s">
        <v>832</v>
      </c>
      <c r="D55" s="260">
        <v>46030</v>
      </c>
      <c r="E55" t="s">
        <v>784</v>
      </c>
      <c r="F55" t="s">
        <v>448</v>
      </c>
      <c r="G55" s="25">
        <v>500000</v>
      </c>
      <c r="H55" s="25">
        <v>500000</v>
      </c>
      <c r="J55" s="260">
        <v>46395</v>
      </c>
      <c r="L55" t="s">
        <v>455</v>
      </c>
      <c r="M55" s="25"/>
      <c r="N55" t="s">
        <v>448</v>
      </c>
      <c r="O55" s="25">
        <v>500000</v>
      </c>
      <c r="Q55" s="260">
        <v>46395</v>
      </c>
    </row>
    <row r="56" spans="1:17" hidden="1" x14ac:dyDescent="0.25">
      <c r="A56">
        <v>272</v>
      </c>
      <c r="B56">
        <v>16723</v>
      </c>
      <c r="C56" t="s">
        <v>683</v>
      </c>
      <c r="D56" s="260">
        <v>45898</v>
      </c>
      <c r="E56" t="s">
        <v>684</v>
      </c>
      <c r="F56" t="s">
        <v>448</v>
      </c>
      <c r="G56" s="25">
        <v>1500000</v>
      </c>
      <c r="H56" s="25">
        <v>1500000</v>
      </c>
      <c r="J56" s="260">
        <v>46263</v>
      </c>
      <c r="L56" t="s">
        <v>455</v>
      </c>
      <c r="M56" s="25"/>
      <c r="N56" t="s">
        <v>448</v>
      </c>
      <c r="O56" s="25">
        <v>1500000</v>
      </c>
      <c r="Q56" s="260">
        <v>46263</v>
      </c>
    </row>
    <row r="57" spans="1:17" hidden="1" x14ac:dyDescent="0.25">
      <c r="A57">
        <v>138</v>
      </c>
      <c r="B57">
        <v>15509</v>
      </c>
      <c r="C57" t="s">
        <v>580</v>
      </c>
      <c r="D57" s="260">
        <v>45800</v>
      </c>
      <c r="E57" t="s">
        <v>601</v>
      </c>
      <c r="F57" t="s">
        <v>448</v>
      </c>
      <c r="G57" s="25">
        <v>100000</v>
      </c>
      <c r="H57" s="25">
        <v>100000</v>
      </c>
      <c r="J57" s="260"/>
      <c r="K57">
        <v>5</v>
      </c>
      <c r="L57" t="s">
        <v>455</v>
      </c>
      <c r="M57" s="25"/>
      <c r="N57" t="s">
        <v>448</v>
      </c>
      <c r="O57" s="25">
        <v>100000</v>
      </c>
      <c r="Q57" s="260">
        <v>46165</v>
      </c>
    </row>
    <row r="58" spans="1:17" hidden="1" x14ac:dyDescent="0.25">
      <c r="A58">
        <v>408</v>
      </c>
      <c r="B58">
        <v>17511</v>
      </c>
      <c r="C58" t="s">
        <v>891</v>
      </c>
      <c r="D58" s="260">
        <v>46076</v>
      </c>
      <c r="E58" t="s">
        <v>784</v>
      </c>
      <c r="F58" t="s">
        <v>448</v>
      </c>
      <c r="G58" s="25">
        <v>300000</v>
      </c>
      <c r="H58" s="25">
        <v>300000</v>
      </c>
      <c r="J58" s="260"/>
      <c r="L58" t="s">
        <v>455</v>
      </c>
      <c r="M58" s="25"/>
      <c r="N58" t="s">
        <v>448</v>
      </c>
      <c r="O58" s="25">
        <v>300000</v>
      </c>
      <c r="Q58" s="260">
        <v>46076</v>
      </c>
    </row>
    <row r="59" spans="1:17" hidden="1" x14ac:dyDescent="0.25">
      <c r="A59">
        <v>401</v>
      </c>
      <c r="B59">
        <v>6370</v>
      </c>
      <c r="C59" t="s">
        <v>295</v>
      </c>
      <c r="D59" s="260">
        <v>45994</v>
      </c>
      <c r="E59" t="s">
        <v>869</v>
      </c>
      <c r="F59" t="s">
        <v>448</v>
      </c>
      <c r="G59" s="25">
        <v>550000</v>
      </c>
      <c r="H59" s="25">
        <v>550000</v>
      </c>
      <c r="J59" s="260">
        <v>46359</v>
      </c>
      <c r="L59" t="s">
        <v>455</v>
      </c>
      <c r="M59" s="25"/>
      <c r="N59" t="s">
        <v>448</v>
      </c>
      <c r="O59" s="25">
        <v>550000</v>
      </c>
      <c r="Q59" s="260">
        <v>46359</v>
      </c>
    </row>
    <row r="60" spans="1:17" hidden="1" x14ac:dyDescent="0.25">
      <c r="A60">
        <v>341</v>
      </c>
      <c r="B60">
        <v>13836</v>
      </c>
      <c r="C60" t="s">
        <v>402</v>
      </c>
      <c r="D60" s="260">
        <v>45980</v>
      </c>
      <c r="E60" t="s">
        <v>467</v>
      </c>
      <c r="F60" t="s">
        <v>448</v>
      </c>
      <c r="G60" s="25">
        <v>100000</v>
      </c>
      <c r="H60" s="25">
        <v>100000</v>
      </c>
      <c r="J60" s="260"/>
      <c r="K60">
        <v>28</v>
      </c>
      <c r="L60" t="s">
        <v>455</v>
      </c>
      <c r="M60" s="25"/>
      <c r="N60" t="s">
        <v>448</v>
      </c>
      <c r="O60" s="25"/>
      <c r="Q60" s="260"/>
    </row>
    <row r="61" spans="1:17" hidden="1" x14ac:dyDescent="0.25">
      <c r="A61">
        <v>356</v>
      </c>
      <c r="B61">
        <v>2011</v>
      </c>
      <c r="C61" t="s">
        <v>726</v>
      </c>
      <c r="D61" s="260">
        <v>45994</v>
      </c>
      <c r="E61" t="s">
        <v>776</v>
      </c>
      <c r="F61" t="s">
        <v>448</v>
      </c>
      <c r="G61" s="25">
        <v>3500000</v>
      </c>
      <c r="H61" s="25">
        <v>3500000</v>
      </c>
      <c r="J61" s="260">
        <v>46359</v>
      </c>
      <c r="L61" t="s">
        <v>455</v>
      </c>
      <c r="M61" s="25"/>
      <c r="N61" t="s">
        <v>448</v>
      </c>
      <c r="O61" s="25">
        <v>3500000</v>
      </c>
      <c r="Q61" s="260">
        <v>46359</v>
      </c>
    </row>
    <row r="62" spans="1:17" hidden="1" x14ac:dyDescent="0.25">
      <c r="A62">
        <v>368</v>
      </c>
      <c r="B62">
        <v>15435</v>
      </c>
      <c r="C62" t="s">
        <v>786</v>
      </c>
      <c r="D62" s="260">
        <v>46001</v>
      </c>
      <c r="E62" t="s">
        <v>787</v>
      </c>
      <c r="F62" t="s">
        <v>448</v>
      </c>
      <c r="G62" s="25">
        <v>192500</v>
      </c>
      <c r="H62" s="25"/>
      <c r="J62" s="260">
        <v>46366</v>
      </c>
      <c r="L62" t="s">
        <v>455</v>
      </c>
      <c r="M62" s="25"/>
      <c r="N62" t="s">
        <v>448</v>
      </c>
      <c r="O62" s="25">
        <v>192500</v>
      </c>
      <c r="Q62" s="260">
        <v>46366</v>
      </c>
    </row>
    <row r="63" spans="1:17" hidden="1" x14ac:dyDescent="0.25">
      <c r="A63">
        <v>337</v>
      </c>
      <c r="B63">
        <v>507</v>
      </c>
      <c r="C63" t="s">
        <v>51</v>
      </c>
      <c r="D63" s="260">
        <v>45980</v>
      </c>
      <c r="E63" t="s">
        <v>755</v>
      </c>
      <c r="F63" t="s">
        <v>448</v>
      </c>
      <c r="G63" s="25">
        <v>200000</v>
      </c>
      <c r="H63" s="25">
        <v>200000</v>
      </c>
      <c r="J63" s="260"/>
      <c r="M63" s="25"/>
      <c r="N63" t="s">
        <v>448</v>
      </c>
      <c r="O63" s="25">
        <v>200000</v>
      </c>
      <c r="Q63" s="260"/>
    </row>
    <row r="64" spans="1:17" hidden="1" x14ac:dyDescent="0.25">
      <c r="A64">
        <v>205</v>
      </c>
      <c r="B64">
        <v>11770</v>
      </c>
      <c r="C64" t="s">
        <v>438</v>
      </c>
      <c r="D64" s="260">
        <v>45831</v>
      </c>
      <c r="E64" t="s">
        <v>643</v>
      </c>
      <c r="F64" t="s">
        <v>448</v>
      </c>
      <c r="G64" s="25">
        <v>275000</v>
      </c>
      <c r="H64" s="25">
        <v>275000</v>
      </c>
      <c r="J64" s="260"/>
      <c r="L64" t="s">
        <v>455</v>
      </c>
      <c r="M64" s="25"/>
      <c r="N64" t="s">
        <v>448</v>
      </c>
      <c r="O64" s="25">
        <v>275000</v>
      </c>
      <c r="Q64" s="260">
        <v>46196</v>
      </c>
    </row>
    <row r="65" spans="1:17" hidden="1" x14ac:dyDescent="0.25">
      <c r="A65">
        <v>412</v>
      </c>
      <c r="B65">
        <v>16921</v>
      </c>
      <c r="C65" t="s">
        <v>892</v>
      </c>
      <c r="D65" s="260">
        <v>46093</v>
      </c>
      <c r="E65" t="s">
        <v>893</v>
      </c>
      <c r="F65" t="s">
        <v>448</v>
      </c>
      <c r="G65" s="25">
        <v>250000</v>
      </c>
      <c r="H65" s="25">
        <v>250000</v>
      </c>
      <c r="J65" s="260">
        <v>46458</v>
      </c>
      <c r="L65" t="s">
        <v>455</v>
      </c>
      <c r="M65" s="25"/>
      <c r="N65" t="s">
        <v>448</v>
      </c>
      <c r="O65" s="25">
        <v>250000</v>
      </c>
      <c r="Q65" s="260">
        <v>46458</v>
      </c>
    </row>
    <row r="66" spans="1:17" hidden="1" x14ac:dyDescent="0.25">
      <c r="A66">
        <v>344</v>
      </c>
      <c r="B66">
        <v>1998</v>
      </c>
      <c r="C66" t="s">
        <v>757</v>
      </c>
      <c r="D66" s="260">
        <v>45980</v>
      </c>
      <c r="E66" t="s">
        <v>755</v>
      </c>
      <c r="F66" t="s">
        <v>448</v>
      </c>
      <c r="G66" s="25">
        <v>20000</v>
      </c>
      <c r="H66" s="25">
        <v>20000</v>
      </c>
      <c r="J66" s="260"/>
      <c r="M66" s="25"/>
      <c r="N66" t="s">
        <v>448</v>
      </c>
      <c r="O66" s="25">
        <v>20000</v>
      </c>
      <c r="Q66" s="260"/>
    </row>
    <row r="67" spans="1:17" hidden="1" x14ac:dyDescent="0.25">
      <c r="A67">
        <v>203</v>
      </c>
      <c r="B67">
        <v>2652</v>
      </c>
      <c r="C67" t="s">
        <v>129</v>
      </c>
      <c r="D67" s="260">
        <v>45831</v>
      </c>
      <c r="E67" t="s">
        <v>642</v>
      </c>
      <c r="F67" t="s">
        <v>448</v>
      </c>
      <c r="G67" s="25">
        <v>1375000</v>
      </c>
      <c r="H67" s="25">
        <v>1375000</v>
      </c>
      <c r="J67" s="260"/>
      <c r="L67" t="s">
        <v>469</v>
      </c>
      <c r="M67" s="25"/>
      <c r="N67" t="s">
        <v>448</v>
      </c>
      <c r="O67" s="25">
        <v>1375000</v>
      </c>
      <c r="Q67" s="260">
        <v>46196</v>
      </c>
    </row>
    <row r="68" spans="1:17" hidden="1" x14ac:dyDescent="0.25">
      <c r="A68">
        <v>152</v>
      </c>
      <c r="B68">
        <v>3273</v>
      </c>
      <c r="C68" t="s">
        <v>90</v>
      </c>
      <c r="D68" s="260">
        <v>45804</v>
      </c>
      <c r="E68" t="s">
        <v>603</v>
      </c>
      <c r="F68" t="s">
        <v>448</v>
      </c>
      <c r="G68" s="25">
        <v>1500000</v>
      </c>
      <c r="H68" s="25">
        <v>1500000</v>
      </c>
      <c r="J68" s="260"/>
      <c r="L68" t="s">
        <v>455</v>
      </c>
      <c r="M68" s="25"/>
      <c r="N68" t="s">
        <v>448</v>
      </c>
      <c r="O68" s="25">
        <v>1500000</v>
      </c>
      <c r="Q68" s="260">
        <v>46168</v>
      </c>
    </row>
    <row r="69" spans="1:17" hidden="1" x14ac:dyDescent="0.25">
      <c r="A69">
        <v>336</v>
      </c>
      <c r="B69">
        <v>505</v>
      </c>
      <c r="C69" t="s">
        <v>50</v>
      </c>
      <c r="D69" s="260">
        <v>45980</v>
      </c>
      <c r="E69" t="s">
        <v>755</v>
      </c>
      <c r="F69" t="s">
        <v>448</v>
      </c>
      <c r="G69" s="25">
        <v>150000</v>
      </c>
      <c r="H69" s="25">
        <v>150000</v>
      </c>
      <c r="J69" s="260"/>
      <c r="L69" t="s">
        <v>455</v>
      </c>
      <c r="M69" s="25"/>
      <c r="N69" t="s">
        <v>448</v>
      </c>
      <c r="O69" s="25">
        <v>150000</v>
      </c>
      <c r="Q69" s="260">
        <v>46345</v>
      </c>
    </row>
    <row r="70" spans="1:17" hidden="1" x14ac:dyDescent="0.25">
      <c r="A70">
        <v>419</v>
      </c>
      <c r="B70">
        <v>13773</v>
      </c>
      <c r="C70" t="s">
        <v>496</v>
      </c>
      <c r="D70" s="260">
        <v>46094</v>
      </c>
      <c r="E70" t="s">
        <v>776</v>
      </c>
      <c r="F70" t="s">
        <v>448</v>
      </c>
      <c r="G70" s="25">
        <v>200000</v>
      </c>
      <c r="H70" s="25">
        <v>200000</v>
      </c>
      <c r="J70" s="260">
        <v>46459</v>
      </c>
      <c r="L70" t="s">
        <v>455</v>
      </c>
      <c r="M70" s="25"/>
      <c r="N70" t="s">
        <v>448</v>
      </c>
      <c r="O70" s="25">
        <v>200000</v>
      </c>
      <c r="Q70" s="260">
        <v>46459</v>
      </c>
    </row>
    <row r="71" spans="1:17" hidden="1" x14ac:dyDescent="0.25">
      <c r="A71">
        <v>207</v>
      </c>
      <c r="B71">
        <v>6382</v>
      </c>
      <c r="C71" t="s">
        <v>491</v>
      </c>
      <c r="D71" s="260">
        <v>45831</v>
      </c>
      <c r="E71" t="s">
        <v>645</v>
      </c>
      <c r="F71" t="s">
        <v>448</v>
      </c>
      <c r="G71" s="25">
        <v>330000</v>
      </c>
      <c r="H71" s="25">
        <v>330000</v>
      </c>
      <c r="J71" s="260"/>
      <c r="L71" t="s">
        <v>455</v>
      </c>
      <c r="M71" s="25"/>
      <c r="N71" t="s">
        <v>448</v>
      </c>
      <c r="O71" s="25">
        <v>330000</v>
      </c>
      <c r="Q71" s="260">
        <v>46196</v>
      </c>
    </row>
    <row r="72" spans="1:17" hidden="1" x14ac:dyDescent="0.25">
      <c r="A72">
        <v>300</v>
      </c>
      <c r="B72">
        <v>6382</v>
      </c>
      <c r="C72" t="s">
        <v>491</v>
      </c>
      <c r="D72" s="260">
        <v>45936</v>
      </c>
      <c r="E72" t="s">
        <v>722</v>
      </c>
      <c r="F72" t="s">
        <v>448</v>
      </c>
      <c r="G72" s="25">
        <v>550000</v>
      </c>
      <c r="H72" s="25">
        <v>550000</v>
      </c>
      <c r="J72" s="260"/>
      <c r="M72" s="25"/>
      <c r="N72" t="s">
        <v>448</v>
      </c>
      <c r="O72" s="25">
        <v>550000</v>
      </c>
      <c r="Q72" s="260"/>
    </row>
    <row r="73" spans="1:17" s="119" customFormat="1" hidden="1" x14ac:dyDescent="0.25">
      <c r="A73">
        <v>335</v>
      </c>
      <c r="B73">
        <v>16918</v>
      </c>
      <c r="C73" t="s">
        <v>758</v>
      </c>
      <c r="D73" s="260">
        <v>45980</v>
      </c>
      <c r="E73" t="s">
        <v>755</v>
      </c>
      <c r="F73" t="s">
        <v>448</v>
      </c>
      <c r="G73" s="25">
        <v>400000</v>
      </c>
      <c r="H73" s="25">
        <v>400000</v>
      </c>
      <c r="I73"/>
      <c r="J73" s="260"/>
      <c r="K73"/>
      <c r="L73" t="s">
        <v>455</v>
      </c>
      <c r="M73" s="25"/>
      <c r="N73" t="s">
        <v>448</v>
      </c>
      <c r="O73" s="25">
        <v>400000</v>
      </c>
      <c r="P73"/>
      <c r="Q73" s="260">
        <v>46345</v>
      </c>
    </row>
    <row r="74" spans="1:17" hidden="1" x14ac:dyDescent="0.25">
      <c r="A74">
        <v>263</v>
      </c>
      <c r="B74">
        <v>12337</v>
      </c>
      <c r="C74" t="s">
        <v>666</v>
      </c>
      <c r="D74" s="260">
        <v>45870</v>
      </c>
      <c r="E74" t="s">
        <v>667</v>
      </c>
      <c r="F74" t="s">
        <v>448</v>
      </c>
      <c r="G74" s="25">
        <v>275000</v>
      </c>
      <c r="H74" s="25">
        <v>275000</v>
      </c>
      <c r="J74" s="260">
        <v>46253</v>
      </c>
      <c r="L74" t="s">
        <v>455</v>
      </c>
      <c r="M74" s="25"/>
      <c r="N74" t="s">
        <v>448</v>
      </c>
      <c r="O74" s="25">
        <v>275000</v>
      </c>
      <c r="Q74" s="260">
        <v>46253</v>
      </c>
    </row>
    <row r="75" spans="1:17" hidden="1" x14ac:dyDescent="0.25">
      <c r="A75">
        <v>273</v>
      </c>
      <c r="B75">
        <v>2678</v>
      </c>
      <c r="C75" t="s">
        <v>681</v>
      </c>
      <c r="D75" s="260">
        <v>45902</v>
      </c>
      <c r="E75" t="s">
        <v>682</v>
      </c>
      <c r="F75" t="s">
        <v>448</v>
      </c>
      <c r="G75" s="25">
        <v>275000</v>
      </c>
      <c r="H75" s="25">
        <v>275000</v>
      </c>
      <c r="J75" s="260">
        <v>46267</v>
      </c>
      <c r="L75" t="s">
        <v>455</v>
      </c>
      <c r="M75" s="25"/>
      <c r="N75" t="s">
        <v>448</v>
      </c>
      <c r="O75" s="25">
        <v>275000</v>
      </c>
      <c r="Q75" s="260">
        <v>46267</v>
      </c>
    </row>
    <row r="76" spans="1:17" hidden="1" x14ac:dyDescent="0.25">
      <c r="A76">
        <v>292</v>
      </c>
      <c r="B76">
        <v>3297</v>
      </c>
      <c r="C76" t="s">
        <v>648</v>
      </c>
      <c r="D76" s="260">
        <v>45931</v>
      </c>
      <c r="E76" t="s">
        <v>712</v>
      </c>
      <c r="F76" t="s">
        <v>448</v>
      </c>
      <c r="G76" s="25">
        <v>550000</v>
      </c>
      <c r="H76" s="25">
        <v>550000</v>
      </c>
      <c r="J76" s="260"/>
      <c r="L76" t="s">
        <v>455</v>
      </c>
      <c r="M76" s="25"/>
      <c r="N76" t="s">
        <v>448</v>
      </c>
      <c r="O76" s="25">
        <v>550000</v>
      </c>
      <c r="Q76" s="260">
        <v>46205</v>
      </c>
    </row>
    <row r="77" spans="1:17" hidden="1" x14ac:dyDescent="0.25">
      <c r="A77">
        <v>360</v>
      </c>
      <c r="B77">
        <v>11326</v>
      </c>
      <c r="C77" t="s">
        <v>197</v>
      </c>
      <c r="D77" s="260">
        <v>45869</v>
      </c>
      <c r="E77" t="s">
        <v>783</v>
      </c>
      <c r="F77" t="s">
        <v>448</v>
      </c>
      <c r="G77" s="25">
        <v>1500000</v>
      </c>
      <c r="H77" s="25">
        <v>660000</v>
      </c>
      <c r="J77" s="260">
        <v>46234</v>
      </c>
      <c r="K77">
        <v>270</v>
      </c>
      <c r="M77" s="25"/>
      <c r="N77" t="s">
        <v>448</v>
      </c>
      <c r="O77" s="25">
        <v>660000</v>
      </c>
      <c r="Q77" s="260">
        <v>46234</v>
      </c>
    </row>
    <row r="78" spans="1:17" hidden="1" x14ac:dyDescent="0.25">
      <c r="A78">
        <v>334</v>
      </c>
      <c r="B78">
        <v>139</v>
      </c>
      <c r="C78" t="s">
        <v>40</v>
      </c>
      <c r="D78" s="260">
        <v>45980</v>
      </c>
      <c r="E78" t="s">
        <v>755</v>
      </c>
      <c r="F78" t="s">
        <v>448</v>
      </c>
      <c r="G78" s="25">
        <v>3000000</v>
      </c>
      <c r="H78" s="25">
        <v>3000000</v>
      </c>
      <c r="J78" s="260"/>
      <c r="L78" t="s">
        <v>455</v>
      </c>
      <c r="M78" s="25"/>
      <c r="N78" t="s">
        <v>448</v>
      </c>
      <c r="O78" s="25">
        <v>3000000</v>
      </c>
      <c r="Q78" s="260">
        <v>46345</v>
      </c>
    </row>
    <row r="79" spans="1:17" hidden="1" x14ac:dyDescent="0.25">
      <c r="A79">
        <v>213</v>
      </c>
      <c r="B79">
        <v>8265</v>
      </c>
      <c r="C79" t="s">
        <v>630</v>
      </c>
      <c r="D79" s="260">
        <v>45834</v>
      </c>
      <c r="E79" t="s">
        <v>631</v>
      </c>
      <c r="F79" t="s">
        <v>448</v>
      </c>
      <c r="G79" s="25">
        <v>750000</v>
      </c>
      <c r="H79" s="25">
        <v>750000</v>
      </c>
      <c r="J79" s="260">
        <v>46199</v>
      </c>
      <c r="K79">
        <v>180</v>
      </c>
      <c r="L79" t="s">
        <v>455</v>
      </c>
      <c r="M79" s="25"/>
      <c r="N79" t="s">
        <v>448</v>
      </c>
      <c r="O79" s="25">
        <v>750000</v>
      </c>
      <c r="Q79" s="260">
        <v>46199</v>
      </c>
    </row>
    <row r="80" spans="1:17" hidden="1" x14ac:dyDescent="0.25">
      <c r="A80">
        <v>145</v>
      </c>
      <c r="B80">
        <v>2975</v>
      </c>
      <c r="C80" t="s">
        <v>488</v>
      </c>
      <c r="D80" s="260">
        <v>45804</v>
      </c>
      <c r="E80" t="s">
        <v>603</v>
      </c>
      <c r="F80" t="s">
        <v>448</v>
      </c>
      <c r="G80" s="25">
        <v>2500000</v>
      </c>
      <c r="H80" s="25">
        <v>2500000</v>
      </c>
      <c r="J80" s="260"/>
      <c r="L80" t="s">
        <v>455</v>
      </c>
      <c r="M80" s="25"/>
      <c r="N80" t="s">
        <v>448</v>
      </c>
      <c r="O80" s="25">
        <v>2500000</v>
      </c>
      <c r="Q80" s="260">
        <v>46168</v>
      </c>
    </row>
    <row r="81" spans="1:17" hidden="1" x14ac:dyDescent="0.25">
      <c r="A81">
        <v>384</v>
      </c>
      <c r="B81">
        <v>2925</v>
      </c>
      <c r="C81" t="s">
        <v>393</v>
      </c>
      <c r="D81" s="260">
        <v>46030</v>
      </c>
      <c r="E81" t="s">
        <v>833</v>
      </c>
      <c r="F81" t="s">
        <v>448</v>
      </c>
      <c r="G81" s="25">
        <v>605000</v>
      </c>
      <c r="H81" s="25">
        <v>605000</v>
      </c>
      <c r="J81" s="260">
        <v>46395</v>
      </c>
      <c r="L81" t="s">
        <v>455</v>
      </c>
      <c r="M81" s="25"/>
      <c r="N81" t="s">
        <v>448</v>
      </c>
      <c r="O81" s="25">
        <v>605000</v>
      </c>
      <c r="Q81" s="260">
        <v>46395</v>
      </c>
    </row>
    <row r="82" spans="1:17" hidden="1" x14ac:dyDescent="0.25">
      <c r="A82">
        <v>262</v>
      </c>
      <c r="B82">
        <v>6269</v>
      </c>
      <c r="C82" t="s">
        <v>646</v>
      </c>
      <c r="D82" s="260">
        <v>45870</v>
      </c>
      <c r="E82" t="s">
        <v>670</v>
      </c>
      <c r="F82" t="s">
        <v>448</v>
      </c>
      <c r="G82" s="25">
        <v>1375000</v>
      </c>
      <c r="H82" s="25">
        <v>1375000</v>
      </c>
      <c r="J82" s="260">
        <v>46253</v>
      </c>
      <c r="L82" t="s">
        <v>455</v>
      </c>
      <c r="M82" s="25"/>
      <c r="N82" t="s">
        <v>448</v>
      </c>
      <c r="O82" s="25">
        <v>1375000</v>
      </c>
      <c r="Q82" s="260">
        <v>46253</v>
      </c>
    </row>
    <row r="83" spans="1:17" hidden="1" x14ac:dyDescent="0.25">
      <c r="A83">
        <v>140</v>
      </c>
      <c r="B83">
        <v>8001</v>
      </c>
      <c r="C83" t="s">
        <v>180</v>
      </c>
      <c r="D83" s="260">
        <v>45803</v>
      </c>
      <c r="E83" t="s">
        <v>602</v>
      </c>
      <c r="F83" t="s">
        <v>448</v>
      </c>
      <c r="G83" s="25">
        <v>700000</v>
      </c>
      <c r="H83" s="25">
        <v>700000</v>
      </c>
      <c r="J83" s="260"/>
      <c r="M83" s="25"/>
      <c r="N83" t="s">
        <v>448</v>
      </c>
      <c r="O83" s="25"/>
      <c r="Q83" s="260">
        <v>46168</v>
      </c>
    </row>
    <row r="84" spans="1:17" hidden="1" x14ac:dyDescent="0.25">
      <c r="A84">
        <v>193</v>
      </c>
      <c r="B84">
        <v>9708</v>
      </c>
      <c r="C84" t="s">
        <v>635</v>
      </c>
      <c r="D84" s="260">
        <v>45831</v>
      </c>
      <c r="E84" t="s">
        <v>636</v>
      </c>
      <c r="F84" t="s">
        <v>448</v>
      </c>
      <c r="G84" s="25">
        <v>1100000</v>
      </c>
      <c r="H84" s="25">
        <v>1100000</v>
      </c>
      <c r="J84" s="260"/>
      <c r="L84" t="s">
        <v>469</v>
      </c>
      <c r="M84" s="25"/>
      <c r="N84" t="s">
        <v>448</v>
      </c>
      <c r="O84" s="25">
        <v>1100000</v>
      </c>
      <c r="Q84" s="260">
        <v>46196</v>
      </c>
    </row>
    <row r="85" spans="1:17" hidden="1" x14ac:dyDescent="0.25">
      <c r="A85">
        <v>190</v>
      </c>
      <c r="B85">
        <v>13329</v>
      </c>
      <c r="C85" t="s">
        <v>398</v>
      </c>
      <c r="D85" s="260">
        <v>45831</v>
      </c>
      <c r="E85" t="s">
        <v>632</v>
      </c>
      <c r="F85" t="s">
        <v>448</v>
      </c>
      <c r="G85" s="25">
        <v>1100000</v>
      </c>
      <c r="H85" s="25">
        <v>1100000</v>
      </c>
      <c r="J85" s="260"/>
      <c r="L85" t="s">
        <v>455</v>
      </c>
      <c r="M85" s="25"/>
      <c r="N85" t="s">
        <v>448</v>
      </c>
      <c r="O85" s="25">
        <v>1100000</v>
      </c>
      <c r="Q85" s="260">
        <v>46196</v>
      </c>
    </row>
    <row r="86" spans="1:17" hidden="1" x14ac:dyDescent="0.25">
      <c r="A86">
        <v>377</v>
      </c>
      <c r="B86">
        <v>17145</v>
      </c>
      <c r="C86" t="s">
        <v>759</v>
      </c>
      <c r="D86" s="260">
        <v>45986</v>
      </c>
      <c r="E86" t="s">
        <v>760</v>
      </c>
      <c r="F86" t="s">
        <v>448</v>
      </c>
      <c r="G86" s="25">
        <v>275000</v>
      </c>
      <c r="H86" s="25">
        <v>275000</v>
      </c>
      <c r="J86" s="260"/>
      <c r="M86" s="25"/>
      <c r="N86" t="s">
        <v>448</v>
      </c>
      <c r="O86" s="25">
        <v>275000</v>
      </c>
      <c r="Q86" s="260"/>
    </row>
    <row r="87" spans="1:17" hidden="1" x14ac:dyDescent="0.25">
      <c r="A87">
        <v>379</v>
      </c>
      <c r="B87">
        <v>17276</v>
      </c>
      <c r="C87" t="s">
        <v>809</v>
      </c>
      <c r="D87" s="260">
        <v>46020</v>
      </c>
      <c r="E87" t="s">
        <v>784</v>
      </c>
      <c r="F87" t="s">
        <v>448</v>
      </c>
      <c r="G87" s="25">
        <v>400000</v>
      </c>
      <c r="H87" s="25">
        <v>400000</v>
      </c>
      <c r="J87" s="260">
        <v>46385</v>
      </c>
      <c r="L87" t="s">
        <v>455</v>
      </c>
      <c r="M87" s="25"/>
      <c r="N87" t="s">
        <v>448</v>
      </c>
      <c r="O87" s="25">
        <v>400000</v>
      </c>
      <c r="Q87" s="260"/>
    </row>
    <row r="88" spans="1:17" hidden="1" x14ac:dyDescent="0.25">
      <c r="A88">
        <v>348</v>
      </c>
      <c r="B88">
        <v>2494</v>
      </c>
      <c r="C88" t="s">
        <v>374</v>
      </c>
      <c r="D88" s="260">
        <v>45982</v>
      </c>
      <c r="E88" t="s">
        <v>761</v>
      </c>
      <c r="F88" t="s">
        <v>448</v>
      </c>
      <c r="G88" s="25">
        <v>550000</v>
      </c>
      <c r="H88" s="25">
        <v>550000</v>
      </c>
      <c r="J88" s="260"/>
      <c r="L88" t="s">
        <v>476</v>
      </c>
      <c r="M88" s="25"/>
      <c r="N88" t="s">
        <v>448</v>
      </c>
      <c r="O88" s="25">
        <v>550000</v>
      </c>
      <c r="Q88" s="260"/>
    </row>
    <row r="89" spans="1:17" hidden="1" x14ac:dyDescent="0.25">
      <c r="A89">
        <v>404</v>
      </c>
      <c r="B89">
        <v>2346</v>
      </c>
      <c r="C89" t="s">
        <v>535</v>
      </c>
      <c r="D89" s="260">
        <v>46090</v>
      </c>
      <c r="E89" t="s">
        <v>894</v>
      </c>
      <c r="F89" t="s">
        <v>448</v>
      </c>
      <c r="G89" s="25">
        <v>1100000</v>
      </c>
      <c r="H89" s="25">
        <v>1100000</v>
      </c>
      <c r="J89" s="260"/>
      <c r="L89" t="s">
        <v>455</v>
      </c>
      <c r="M89" s="25"/>
      <c r="N89" t="s">
        <v>448</v>
      </c>
      <c r="O89" s="25">
        <v>550000</v>
      </c>
      <c r="Q89" s="260">
        <v>46455</v>
      </c>
    </row>
    <row r="90" spans="1:17" hidden="1" x14ac:dyDescent="0.25">
      <c r="A90">
        <v>340</v>
      </c>
      <c r="B90">
        <v>12323</v>
      </c>
      <c r="C90" t="s">
        <v>263</v>
      </c>
      <c r="D90" s="260">
        <v>45980</v>
      </c>
      <c r="E90" t="s">
        <v>755</v>
      </c>
      <c r="F90" t="s">
        <v>448</v>
      </c>
      <c r="G90" s="25">
        <v>100000</v>
      </c>
      <c r="H90" s="25">
        <v>100000</v>
      </c>
      <c r="J90" s="260"/>
      <c r="L90" t="s">
        <v>455</v>
      </c>
      <c r="M90" s="25"/>
      <c r="N90" t="s">
        <v>448</v>
      </c>
      <c r="O90" s="25">
        <v>100000</v>
      </c>
      <c r="Q90" s="260"/>
    </row>
    <row r="91" spans="1:17" hidden="1" x14ac:dyDescent="0.25">
      <c r="A91">
        <v>413</v>
      </c>
      <c r="B91">
        <v>8855</v>
      </c>
      <c r="C91" t="s">
        <v>895</v>
      </c>
      <c r="D91" s="260">
        <v>46093</v>
      </c>
      <c r="E91" t="s">
        <v>776</v>
      </c>
      <c r="F91" t="s">
        <v>448</v>
      </c>
      <c r="G91" s="25">
        <v>750000</v>
      </c>
      <c r="H91" s="25">
        <v>750000</v>
      </c>
      <c r="J91" s="260">
        <v>46458</v>
      </c>
      <c r="L91" t="s">
        <v>455</v>
      </c>
      <c r="M91" s="25"/>
      <c r="N91" t="s">
        <v>448</v>
      </c>
      <c r="O91" s="25">
        <v>750000</v>
      </c>
      <c r="Q91" s="260">
        <v>46458</v>
      </c>
    </row>
    <row r="92" spans="1:17" hidden="1" x14ac:dyDescent="0.25">
      <c r="A92">
        <v>332</v>
      </c>
      <c r="B92">
        <v>833</v>
      </c>
      <c r="C92" t="s">
        <v>241</v>
      </c>
      <c r="D92" s="260">
        <v>45980</v>
      </c>
      <c r="E92" t="s">
        <v>755</v>
      </c>
      <c r="F92" t="s">
        <v>448</v>
      </c>
      <c r="G92" s="25">
        <v>500000</v>
      </c>
      <c r="H92" s="25">
        <v>500000</v>
      </c>
      <c r="J92" s="260">
        <v>46345</v>
      </c>
      <c r="L92" t="s">
        <v>455</v>
      </c>
      <c r="M92" s="25"/>
      <c r="N92" t="s">
        <v>448</v>
      </c>
      <c r="O92" s="25">
        <v>500000</v>
      </c>
      <c r="Q92" s="260">
        <v>46345</v>
      </c>
    </row>
    <row r="93" spans="1:17" hidden="1" x14ac:dyDescent="0.25">
      <c r="A93">
        <v>144</v>
      </c>
      <c r="B93">
        <v>14596</v>
      </c>
      <c r="C93" t="s">
        <v>457</v>
      </c>
      <c r="D93" s="260">
        <v>45804</v>
      </c>
      <c r="E93" t="s">
        <v>458</v>
      </c>
      <c r="F93" t="s">
        <v>448</v>
      </c>
      <c r="G93" s="25">
        <v>1300000</v>
      </c>
      <c r="H93" s="25">
        <v>1300000</v>
      </c>
      <c r="I93" t="s">
        <v>459</v>
      </c>
      <c r="J93" s="260">
        <v>45883</v>
      </c>
      <c r="K93">
        <v>270</v>
      </c>
      <c r="L93" t="s">
        <v>455</v>
      </c>
      <c r="M93" s="25">
        <v>1300000</v>
      </c>
      <c r="N93" t="s">
        <v>448</v>
      </c>
      <c r="O93" s="25">
        <v>1400000</v>
      </c>
      <c r="P93" t="s">
        <v>226</v>
      </c>
      <c r="Q93" s="260">
        <v>46169</v>
      </c>
    </row>
    <row r="94" spans="1:17" hidden="1" x14ac:dyDescent="0.25">
      <c r="A94">
        <v>174</v>
      </c>
      <c r="B94">
        <v>12696</v>
      </c>
      <c r="C94" t="s">
        <v>454</v>
      </c>
      <c r="D94" s="260">
        <v>45566</v>
      </c>
      <c r="E94" t="s">
        <v>608</v>
      </c>
      <c r="F94" t="s">
        <v>448</v>
      </c>
      <c r="G94" s="25">
        <v>350000</v>
      </c>
      <c r="H94" s="25">
        <v>350000</v>
      </c>
      <c r="J94" s="260"/>
      <c r="M94" s="25"/>
      <c r="N94" t="s">
        <v>448</v>
      </c>
      <c r="O94" s="25">
        <v>350000</v>
      </c>
      <c r="Q94" s="260">
        <v>45931</v>
      </c>
    </row>
    <row r="95" spans="1:17" hidden="1" x14ac:dyDescent="0.25">
      <c r="A95">
        <v>258</v>
      </c>
      <c r="B95">
        <v>12190</v>
      </c>
      <c r="C95" t="s">
        <v>259</v>
      </c>
      <c r="D95" s="260">
        <v>45869</v>
      </c>
      <c r="E95" t="s">
        <v>608</v>
      </c>
      <c r="F95" t="s">
        <v>448</v>
      </c>
      <c r="G95" s="25">
        <v>1000000</v>
      </c>
      <c r="H95" s="25">
        <v>1000000</v>
      </c>
      <c r="J95" s="260">
        <v>46234</v>
      </c>
      <c r="L95" t="s">
        <v>455</v>
      </c>
      <c r="M95" s="25"/>
      <c r="N95" t="s">
        <v>448</v>
      </c>
      <c r="O95" s="25">
        <v>1000000</v>
      </c>
      <c r="Q95" s="260">
        <v>46234</v>
      </c>
    </row>
    <row r="96" spans="1:17" hidden="1" x14ac:dyDescent="0.25">
      <c r="A96">
        <v>369</v>
      </c>
      <c r="B96">
        <v>14011</v>
      </c>
      <c r="C96" t="s">
        <v>788</v>
      </c>
      <c r="D96" s="260">
        <v>46001</v>
      </c>
      <c r="E96" t="s">
        <v>789</v>
      </c>
      <c r="F96" t="s">
        <v>448</v>
      </c>
      <c r="G96" s="25"/>
      <c r="H96" s="25">
        <v>110000</v>
      </c>
      <c r="J96" s="260"/>
      <c r="L96" t="s">
        <v>476</v>
      </c>
      <c r="M96" s="25"/>
      <c r="N96" t="s">
        <v>448</v>
      </c>
      <c r="O96" s="25">
        <v>110000</v>
      </c>
      <c r="Q96" s="260"/>
    </row>
    <row r="97" spans="1:17" hidden="1" x14ac:dyDescent="0.25">
      <c r="A97">
        <v>309</v>
      </c>
      <c r="B97">
        <v>12629</v>
      </c>
      <c r="C97" t="s">
        <v>120</v>
      </c>
      <c r="D97" s="260">
        <v>45870</v>
      </c>
      <c r="E97" t="s">
        <v>724</v>
      </c>
      <c r="F97" t="s">
        <v>448</v>
      </c>
      <c r="G97" s="25">
        <v>2500000</v>
      </c>
      <c r="H97" s="25">
        <v>2500000</v>
      </c>
      <c r="J97" s="260">
        <v>46235</v>
      </c>
      <c r="M97" s="25"/>
      <c r="N97" t="s">
        <v>448</v>
      </c>
      <c r="O97" s="25"/>
      <c r="Q97" s="260">
        <v>46235</v>
      </c>
    </row>
    <row r="98" spans="1:17" hidden="1" x14ac:dyDescent="0.25">
      <c r="A98">
        <v>333</v>
      </c>
      <c r="B98">
        <v>12930</v>
      </c>
      <c r="C98" t="s">
        <v>749</v>
      </c>
      <c r="D98" s="260">
        <v>45989</v>
      </c>
      <c r="E98" t="s">
        <v>762</v>
      </c>
      <c r="F98" t="s">
        <v>448</v>
      </c>
      <c r="G98" s="25">
        <v>650000</v>
      </c>
      <c r="H98" s="25">
        <v>650000</v>
      </c>
      <c r="J98" s="260"/>
      <c r="M98" s="25"/>
      <c r="N98" t="s">
        <v>448</v>
      </c>
      <c r="O98" s="25">
        <v>650000</v>
      </c>
      <c r="Q98" s="260">
        <v>46354</v>
      </c>
    </row>
    <row r="99" spans="1:17" hidden="1" x14ac:dyDescent="0.25">
      <c r="A99">
        <v>366</v>
      </c>
      <c r="B99">
        <v>14552</v>
      </c>
      <c r="C99" t="s">
        <v>335</v>
      </c>
      <c r="D99" s="260">
        <v>45999</v>
      </c>
      <c r="E99" t="s">
        <v>790</v>
      </c>
      <c r="F99" t="s">
        <v>448</v>
      </c>
      <c r="G99" s="25">
        <v>500000</v>
      </c>
      <c r="H99" s="25">
        <v>500000</v>
      </c>
      <c r="J99" s="260">
        <v>46364</v>
      </c>
      <c r="K99">
        <v>360</v>
      </c>
      <c r="L99" t="s">
        <v>463</v>
      </c>
      <c r="M99" s="25"/>
      <c r="N99" t="s">
        <v>448</v>
      </c>
      <c r="O99" s="25">
        <v>500000</v>
      </c>
      <c r="Q99" s="260">
        <v>45999</v>
      </c>
    </row>
    <row r="100" spans="1:17" hidden="1" x14ac:dyDescent="0.25">
      <c r="A100">
        <v>399</v>
      </c>
      <c r="B100">
        <v>17341</v>
      </c>
      <c r="C100" t="s">
        <v>834</v>
      </c>
      <c r="D100" s="260">
        <v>46076</v>
      </c>
      <c r="E100" t="s">
        <v>776</v>
      </c>
      <c r="F100" t="s">
        <v>448</v>
      </c>
      <c r="G100" s="25">
        <v>700000</v>
      </c>
      <c r="H100" s="25">
        <v>700000</v>
      </c>
      <c r="J100" s="260">
        <v>46441</v>
      </c>
      <c r="L100" t="s">
        <v>455</v>
      </c>
      <c r="M100" s="25"/>
      <c r="N100" t="s">
        <v>448</v>
      </c>
      <c r="O100" s="25">
        <v>700000</v>
      </c>
      <c r="Q100" s="260">
        <v>46441</v>
      </c>
    </row>
    <row r="101" spans="1:17" hidden="1" x14ac:dyDescent="0.25">
      <c r="A101">
        <v>393</v>
      </c>
      <c r="B101">
        <v>2352</v>
      </c>
      <c r="C101" t="s">
        <v>78</v>
      </c>
      <c r="D101" s="260">
        <v>46023</v>
      </c>
      <c r="E101" t="s">
        <v>751</v>
      </c>
      <c r="F101" t="s">
        <v>448</v>
      </c>
      <c r="G101" s="25">
        <v>500000</v>
      </c>
      <c r="H101" s="25">
        <v>500000</v>
      </c>
      <c r="J101" s="260">
        <v>46388</v>
      </c>
      <c r="L101" t="s">
        <v>455</v>
      </c>
      <c r="M101" s="25"/>
      <c r="N101" t="s">
        <v>448</v>
      </c>
      <c r="O101" s="25">
        <v>500000</v>
      </c>
      <c r="Q101" s="260">
        <v>46388</v>
      </c>
    </row>
    <row r="102" spans="1:17" hidden="1" x14ac:dyDescent="0.25">
      <c r="A102">
        <v>345</v>
      </c>
      <c r="B102">
        <v>17165</v>
      </c>
      <c r="C102" t="s">
        <v>763</v>
      </c>
      <c r="D102" s="260">
        <v>45980</v>
      </c>
      <c r="E102" t="s">
        <v>764</v>
      </c>
      <c r="F102" t="s">
        <v>448</v>
      </c>
      <c r="G102" s="25">
        <v>500000</v>
      </c>
      <c r="H102" s="25">
        <v>500000</v>
      </c>
      <c r="J102" s="260"/>
      <c r="L102" t="s">
        <v>455</v>
      </c>
      <c r="M102" s="25"/>
      <c r="N102" t="s">
        <v>448</v>
      </c>
      <c r="O102" s="25">
        <v>500000</v>
      </c>
      <c r="Q102" s="260"/>
    </row>
    <row r="103" spans="1:17" hidden="1" x14ac:dyDescent="0.25">
      <c r="A103">
        <v>164</v>
      </c>
      <c r="B103">
        <v>13114</v>
      </c>
      <c r="C103" t="s">
        <v>203</v>
      </c>
      <c r="D103" s="260">
        <v>45804</v>
      </c>
      <c r="E103" t="s">
        <v>603</v>
      </c>
      <c r="F103" t="s">
        <v>448</v>
      </c>
      <c r="G103" s="25">
        <v>310000</v>
      </c>
      <c r="H103" s="25">
        <v>310000</v>
      </c>
      <c r="J103" s="260">
        <v>46169</v>
      </c>
      <c r="L103" t="s">
        <v>455</v>
      </c>
      <c r="M103" s="25"/>
      <c r="N103" t="s">
        <v>448</v>
      </c>
      <c r="O103" s="25">
        <v>310000</v>
      </c>
      <c r="Q103" s="260">
        <v>46168</v>
      </c>
    </row>
    <row r="104" spans="1:17" x14ac:dyDescent="0.25">
      <c r="A104">
        <v>223</v>
      </c>
      <c r="B104">
        <v>9294</v>
      </c>
      <c r="C104" t="s">
        <v>853</v>
      </c>
      <c r="D104" s="260">
        <v>45838</v>
      </c>
      <c r="E104" t="s">
        <v>652</v>
      </c>
      <c r="F104" t="s">
        <v>448</v>
      </c>
      <c r="G104" s="25">
        <v>275000</v>
      </c>
      <c r="H104" s="25">
        <v>275000</v>
      </c>
      <c r="J104" s="260"/>
      <c r="L104" t="s">
        <v>476</v>
      </c>
      <c r="M104" s="25"/>
      <c r="N104" t="s">
        <v>448</v>
      </c>
      <c r="O104" s="25">
        <v>275000</v>
      </c>
      <c r="Q104" s="260">
        <v>46204</v>
      </c>
    </row>
    <row r="105" spans="1:17" hidden="1" x14ac:dyDescent="0.25">
      <c r="A105">
        <v>382</v>
      </c>
      <c r="B105">
        <v>11957</v>
      </c>
      <c r="C105" t="s">
        <v>802</v>
      </c>
      <c r="D105" s="260">
        <v>46028</v>
      </c>
      <c r="E105" t="s">
        <v>776</v>
      </c>
      <c r="F105" t="s">
        <v>448</v>
      </c>
      <c r="G105" s="25">
        <v>50000</v>
      </c>
      <c r="H105" s="25">
        <v>50000</v>
      </c>
      <c r="J105" s="260">
        <v>46393</v>
      </c>
      <c r="L105" t="s">
        <v>455</v>
      </c>
      <c r="M105" s="25"/>
      <c r="N105" t="s">
        <v>448</v>
      </c>
      <c r="O105" s="25">
        <v>50000</v>
      </c>
      <c r="Q105" s="260">
        <v>46393</v>
      </c>
    </row>
    <row r="106" spans="1:17" hidden="1" x14ac:dyDescent="0.25">
      <c r="A106">
        <v>261</v>
      </c>
      <c r="B106">
        <v>12365</v>
      </c>
      <c r="C106" t="s">
        <v>361</v>
      </c>
      <c r="D106" s="260">
        <v>45868</v>
      </c>
      <c r="E106" t="s">
        <v>669</v>
      </c>
      <c r="F106" t="s">
        <v>448</v>
      </c>
      <c r="G106" s="25">
        <v>1375000</v>
      </c>
      <c r="H106" s="25">
        <v>1375000</v>
      </c>
      <c r="J106" s="260">
        <v>46233</v>
      </c>
      <c r="M106" s="25"/>
      <c r="N106" t="s">
        <v>448</v>
      </c>
      <c r="O106" s="25">
        <v>1375000</v>
      </c>
      <c r="Q106" s="260">
        <v>46233</v>
      </c>
    </row>
    <row r="107" spans="1:17" hidden="1" x14ac:dyDescent="0.25">
      <c r="A107">
        <v>240</v>
      </c>
      <c r="B107">
        <v>14848</v>
      </c>
      <c r="C107" t="s">
        <v>377</v>
      </c>
      <c r="D107" s="260">
        <v>45876</v>
      </c>
      <c r="E107" t="s">
        <v>661</v>
      </c>
      <c r="F107" t="s">
        <v>448</v>
      </c>
      <c r="G107" s="25">
        <v>350000</v>
      </c>
      <c r="H107" s="25">
        <v>350000</v>
      </c>
      <c r="I107" t="s">
        <v>227</v>
      </c>
      <c r="J107" s="260">
        <v>46241</v>
      </c>
      <c r="K107">
        <v>286</v>
      </c>
      <c r="M107" s="25"/>
      <c r="N107" t="s">
        <v>448</v>
      </c>
      <c r="O107" s="25"/>
      <c r="Q107" s="260">
        <v>46241</v>
      </c>
    </row>
    <row r="108" spans="1:17" hidden="1" x14ac:dyDescent="0.25">
      <c r="A108">
        <v>139</v>
      </c>
      <c r="B108">
        <v>14348</v>
      </c>
      <c r="C108" t="s">
        <v>452</v>
      </c>
      <c r="D108" s="260">
        <v>45803</v>
      </c>
      <c r="E108" t="s">
        <v>592</v>
      </c>
      <c r="F108" t="s">
        <v>448</v>
      </c>
      <c r="G108" s="25">
        <v>700000</v>
      </c>
      <c r="H108" s="25">
        <v>700000</v>
      </c>
      <c r="J108" s="260">
        <v>46168</v>
      </c>
      <c r="K108">
        <v>327</v>
      </c>
      <c r="M108" s="25"/>
      <c r="N108" t="s">
        <v>448</v>
      </c>
      <c r="O108" s="25"/>
      <c r="Q108" s="260">
        <v>46168</v>
      </c>
    </row>
    <row r="109" spans="1:17" hidden="1" x14ac:dyDescent="0.25">
      <c r="A109">
        <v>304</v>
      </c>
      <c r="B109">
        <v>16924</v>
      </c>
      <c r="C109" t="s">
        <v>717</v>
      </c>
      <c r="D109" s="260">
        <v>45939</v>
      </c>
      <c r="E109" t="s">
        <v>723</v>
      </c>
      <c r="F109" t="s">
        <v>448</v>
      </c>
      <c r="G109" s="25">
        <v>180000</v>
      </c>
      <c r="H109" s="25">
        <v>180000</v>
      </c>
      <c r="J109" s="260">
        <v>46304</v>
      </c>
      <c r="L109" t="s">
        <v>463</v>
      </c>
      <c r="M109" s="25"/>
      <c r="N109" t="s">
        <v>448</v>
      </c>
      <c r="O109" s="25"/>
      <c r="Q109" s="260">
        <v>46304</v>
      </c>
    </row>
    <row r="110" spans="1:17" hidden="1" x14ac:dyDescent="0.25">
      <c r="A110">
        <v>63</v>
      </c>
      <c r="B110">
        <v>14905</v>
      </c>
      <c r="C110" t="s">
        <v>357</v>
      </c>
      <c r="D110" s="260">
        <v>45566</v>
      </c>
      <c r="E110" t="s">
        <v>462</v>
      </c>
      <c r="F110" t="s">
        <v>448</v>
      </c>
      <c r="G110" s="25">
        <v>500000</v>
      </c>
      <c r="H110" s="25">
        <v>73125</v>
      </c>
      <c r="J110" s="260">
        <v>45777</v>
      </c>
      <c r="K110">
        <v>360</v>
      </c>
      <c r="M110" s="25"/>
      <c r="N110" t="s">
        <v>448</v>
      </c>
      <c r="O110" s="25"/>
      <c r="Q110" s="260">
        <v>45931</v>
      </c>
    </row>
    <row r="111" spans="1:17" hidden="1" x14ac:dyDescent="0.25">
      <c r="A111">
        <v>231</v>
      </c>
      <c r="B111">
        <v>16141</v>
      </c>
      <c r="C111" t="s">
        <v>577</v>
      </c>
      <c r="D111" s="260">
        <v>45867</v>
      </c>
      <c r="E111" t="s">
        <v>603</v>
      </c>
      <c r="F111" t="s">
        <v>448</v>
      </c>
      <c r="G111" s="25">
        <v>3000000</v>
      </c>
      <c r="H111" s="25">
        <v>3000000</v>
      </c>
      <c r="J111" s="260">
        <v>46232</v>
      </c>
      <c r="L111" t="s">
        <v>455</v>
      </c>
      <c r="M111" s="25"/>
      <c r="N111" t="s">
        <v>448</v>
      </c>
      <c r="O111" s="25">
        <v>3000000</v>
      </c>
      <c r="Q111" s="260">
        <v>46232</v>
      </c>
    </row>
    <row r="112" spans="1:17" hidden="1" x14ac:dyDescent="0.25">
      <c r="A112">
        <v>279</v>
      </c>
      <c r="B112">
        <v>2680</v>
      </c>
      <c r="C112" t="s">
        <v>355</v>
      </c>
      <c r="D112" s="260">
        <v>45831</v>
      </c>
      <c r="E112" t="s">
        <v>636</v>
      </c>
      <c r="F112" t="s">
        <v>448</v>
      </c>
      <c r="G112" s="25">
        <v>770000</v>
      </c>
      <c r="H112" s="25">
        <v>770000</v>
      </c>
      <c r="J112" s="260"/>
      <c r="L112" t="s">
        <v>469</v>
      </c>
      <c r="M112" s="25"/>
      <c r="N112" t="s">
        <v>448</v>
      </c>
      <c r="O112" s="25">
        <v>770000</v>
      </c>
      <c r="Q112" s="260">
        <v>46196</v>
      </c>
    </row>
    <row r="113" spans="1:17" hidden="1" x14ac:dyDescent="0.25">
      <c r="A113">
        <v>409</v>
      </c>
      <c r="B113">
        <v>17512</v>
      </c>
      <c r="C113" t="s">
        <v>896</v>
      </c>
      <c r="D113" s="260">
        <v>46083</v>
      </c>
      <c r="E113" t="s">
        <v>784</v>
      </c>
      <c r="F113" t="s">
        <v>448</v>
      </c>
      <c r="G113" s="25">
        <v>400000</v>
      </c>
      <c r="H113" s="25">
        <v>400000</v>
      </c>
      <c r="J113" s="260">
        <v>46448</v>
      </c>
      <c r="L113" t="s">
        <v>455</v>
      </c>
      <c r="M113" s="25"/>
      <c r="N113" t="s">
        <v>448</v>
      </c>
      <c r="O113" s="25">
        <v>400000</v>
      </c>
      <c r="Q113" s="260">
        <v>46448</v>
      </c>
    </row>
    <row r="114" spans="1:17" hidden="1" x14ac:dyDescent="0.25">
      <c r="A114">
        <v>310</v>
      </c>
      <c r="B114">
        <v>1152</v>
      </c>
      <c r="C114" t="s">
        <v>359</v>
      </c>
      <c r="D114" s="260">
        <v>45943</v>
      </c>
      <c r="E114" t="s">
        <v>765</v>
      </c>
      <c r="F114" t="s">
        <v>448</v>
      </c>
      <c r="G114" s="25">
        <v>250000</v>
      </c>
      <c r="H114" s="25">
        <v>250000</v>
      </c>
      <c r="J114" s="260">
        <v>46309</v>
      </c>
      <c r="L114" t="s">
        <v>455</v>
      </c>
      <c r="M114" s="25"/>
      <c r="N114" t="s">
        <v>448</v>
      </c>
      <c r="O114" s="25">
        <v>250000</v>
      </c>
      <c r="Q114" s="260">
        <v>46308</v>
      </c>
    </row>
    <row r="115" spans="1:17" hidden="1" x14ac:dyDescent="0.25">
      <c r="A115">
        <v>107</v>
      </c>
      <c r="B115">
        <v>2247</v>
      </c>
      <c r="C115" t="s">
        <v>493</v>
      </c>
      <c r="D115" s="260">
        <v>45684</v>
      </c>
      <c r="E115" t="s">
        <v>593</v>
      </c>
      <c r="F115" t="s">
        <v>448</v>
      </c>
      <c r="G115" s="25">
        <v>500000</v>
      </c>
      <c r="H115" s="25">
        <v>500000</v>
      </c>
      <c r="J115" s="260">
        <v>46049</v>
      </c>
      <c r="M115" s="25"/>
      <c r="N115" t="s">
        <v>448</v>
      </c>
      <c r="O115" s="25"/>
      <c r="Q115" s="260">
        <v>46049</v>
      </c>
    </row>
    <row r="116" spans="1:17" hidden="1" x14ac:dyDescent="0.25">
      <c r="A116">
        <v>249</v>
      </c>
      <c r="B116">
        <v>5998</v>
      </c>
      <c r="C116" t="s">
        <v>663</v>
      </c>
      <c r="D116" s="260">
        <v>45869</v>
      </c>
      <c r="E116" t="s">
        <v>664</v>
      </c>
      <c r="F116" t="s">
        <v>448</v>
      </c>
      <c r="G116" s="25">
        <v>2500000</v>
      </c>
      <c r="H116" s="25">
        <v>2500000</v>
      </c>
      <c r="J116" s="260"/>
      <c r="L116" t="s">
        <v>455</v>
      </c>
      <c r="M116" s="25"/>
      <c r="N116" t="s">
        <v>448</v>
      </c>
      <c r="O116" s="25">
        <v>2500000</v>
      </c>
      <c r="Q116" s="260">
        <v>46234</v>
      </c>
    </row>
    <row r="117" spans="1:17" hidden="1" x14ac:dyDescent="0.25">
      <c r="A117">
        <v>418</v>
      </c>
      <c r="B117">
        <v>37</v>
      </c>
      <c r="C117" t="s">
        <v>897</v>
      </c>
      <c r="D117" s="260">
        <v>46094</v>
      </c>
      <c r="E117" t="s">
        <v>893</v>
      </c>
      <c r="F117" t="s">
        <v>448</v>
      </c>
      <c r="G117" s="25">
        <v>300000</v>
      </c>
      <c r="H117" s="25">
        <v>300000</v>
      </c>
      <c r="J117" s="260">
        <v>411701</v>
      </c>
      <c r="L117" t="s">
        <v>455</v>
      </c>
      <c r="M117" s="25"/>
      <c r="N117" t="s">
        <v>448</v>
      </c>
      <c r="O117" s="25">
        <v>300000</v>
      </c>
      <c r="Q117" s="260">
        <v>46459</v>
      </c>
    </row>
    <row r="118" spans="1:17" hidden="1" x14ac:dyDescent="0.25">
      <c r="A118">
        <v>420</v>
      </c>
      <c r="B118">
        <v>2622</v>
      </c>
      <c r="C118" t="s">
        <v>83</v>
      </c>
      <c r="D118" s="260">
        <v>46100</v>
      </c>
      <c r="E118" t="s">
        <v>919</v>
      </c>
      <c r="F118" t="s">
        <v>448</v>
      </c>
      <c r="G118" s="25">
        <v>3000000</v>
      </c>
      <c r="H118" s="25">
        <v>3000000</v>
      </c>
      <c r="J118" s="260">
        <v>46465</v>
      </c>
      <c r="L118" t="s">
        <v>455</v>
      </c>
      <c r="M118" s="25"/>
      <c r="N118" t="s">
        <v>448</v>
      </c>
      <c r="O118" s="25">
        <v>3000000</v>
      </c>
      <c r="Q118" s="260">
        <v>46465</v>
      </c>
    </row>
    <row r="119" spans="1:17" hidden="1" x14ac:dyDescent="0.25">
      <c r="A119">
        <v>167</v>
      </c>
      <c r="B119">
        <v>6431</v>
      </c>
      <c r="C119" t="s">
        <v>495</v>
      </c>
      <c r="D119" s="260">
        <v>45804</v>
      </c>
      <c r="E119" t="s">
        <v>608</v>
      </c>
      <c r="F119" t="s">
        <v>448</v>
      </c>
      <c r="G119" s="25">
        <v>800000</v>
      </c>
      <c r="H119" s="25">
        <v>800000</v>
      </c>
      <c r="J119" s="260">
        <v>46169</v>
      </c>
      <c r="K119">
        <v>270</v>
      </c>
      <c r="L119" t="s">
        <v>455</v>
      </c>
      <c r="M119" s="25"/>
      <c r="N119" t="s">
        <v>448</v>
      </c>
      <c r="O119" s="25">
        <v>800000</v>
      </c>
      <c r="Q119" s="260">
        <v>46080</v>
      </c>
    </row>
    <row r="120" spans="1:17" hidden="1" x14ac:dyDescent="0.25">
      <c r="A120">
        <v>259</v>
      </c>
      <c r="B120">
        <v>16646</v>
      </c>
      <c r="C120" t="s">
        <v>674</v>
      </c>
      <c r="D120" s="260">
        <v>45888</v>
      </c>
      <c r="E120" t="s">
        <v>608</v>
      </c>
      <c r="F120" t="s">
        <v>448</v>
      </c>
      <c r="G120" s="25">
        <v>500000</v>
      </c>
      <c r="H120" s="25">
        <v>500000</v>
      </c>
      <c r="J120" s="260">
        <v>46253</v>
      </c>
      <c r="K120">
        <v>360</v>
      </c>
      <c r="L120" t="s">
        <v>455</v>
      </c>
      <c r="M120" s="25"/>
      <c r="N120" t="s">
        <v>448</v>
      </c>
      <c r="O120" s="25">
        <v>500000</v>
      </c>
      <c r="Q120" s="260">
        <v>46253</v>
      </c>
    </row>
    <row r="121" spans="1:17" hidden="1" x14ac:dyDescent="0.25">
      <c r="A121">
        <v>311</v>
      </c>
      <c r="B121">
        <v>15917</v>
      </c>
      <c r="C121" t="s">
        <v>671</v>
      </c>
      <c r="D121" s="260">
        <v>45912</v>
      </c>
      <c r="E121" t="s">
        <v>721</v>
      </c>
      <c r="F121" t="s">
        <v>448</v>
      </c>
      <c r="G121" s="25">
        <v>1200000</v>
      </c>
      <c r="H121" s="25">
        <v>1200000</v>
      </c>
      <c r="J121" s="260">
        <v>46277</v>
      </c>
      <c r="L121" t="s">
        <v>455</v>
      </c>
      <c r="M121" s="25"/>
      <c r="N121" t="s">
        <v>448</v>
      </c>
      <c r="O121" s="25">
        <v>500000</v>
      </c>
      <c r="Q121" s="260">
        <v>46277</v>
      </c>
    </row>
    <row r="122" spans="1:17" hidden="1" x14ac:dyDescent="0.25">
      <c r="A122">
        <v>202</v>
      </c>
      <c r="B122">
        <v>2655</v>
      </c>
      <c r="C122" t="s">
        <v>360</v>
      </c>
      <c r="D122" s="260">
        <v>45831</v>
      </c>
      <c r="E122" t="s">
        <v>641</v>
      </c>
      <c r="F122" t="s">
        <v>448</v>
      </c>
      <c r="G122" s="25">
        <v>1100000</v>
      </c>
      <c r="H122" s="25">
        <v>1100000</v>
      </c>
      <c r="J122" s="260"/>
      <c r="L122" t="s">
        <v>455</v>
      </c>
      <c r="M122" s="25"/>
      <c r="N122" t="s">
        <v>448</v>
      </c>
      <c r="O122" s="25">
        <v>1100000</v>
      </c>
      <c r="Q122" s="260">
        <v>46196</v>
      </c>
    </row>
    <row r="123" spans="1:17" hidden="1" x14ac:dyDescent="0.25">
      <c r="A123">
        <v>316</v>
      </c>
      <c r="B123">
        <v>7167</v>
      </c>
      <c r="C123" t="s">
        <v>151</v>
      </c>
      <c r="D123" s="260">
        <v>45966</v>
      </c>
      <c r="E123" t="s">
        <v>603</v>
      </c>
      <c r="F123" t="s">
        <v>448</v>
      </c>
      <c r="G123" s="25">
        <v>1000000</v>
      </c>
      <c r="H123" s="25">
        <v>1000000</v>
      </c>
      <c r="J123" s="260">
        <v>46331</v>
      </c>
      <c r="L123" t="s">
        <v>455</v>
      </c>
      <c r="M123" s="25"/>
      <c r="N123" t="s">
        <v>448</v>
      </c>
      <c r="O123" s="25">
        <v>1000000</v>
      </c>
      <c r="Q123" s="260">
        <v>46331</v>
      </c>
    </row>
    <row r="124" spans="1:17" hidden="1" x14ac:dyDescent="0.25">
      <c r="A124">
        <v>147</v>
      </c>
      <c r="B124">
        <v>668</v>
      </c>
      <c r="C124" t="s">
        <v>391</v>
      </c>
      <c r="D124" s="260">
        <v>45804</v>
      </c>
      <c r="E124" t="s">
        <v>603</v>
      </c>
      <c r="F124" t="s">
        <v>448</v>
      </c>
      <c r="G124" s="25">
        <v>2800000</v>
      </c>
      <c r="H124" s="25">
        <v>500000</v>
      </c>
      <c r="J124" s="260"/>
      <c r="L124" t="s">
        <v>455</v>
      </c>
      <c r="M124" s="25"/>
      <c r="N124" t="s">
        <v>448</v>
      </c>
      <c r="O124" s="25">
        <v>2800000</v>
      </c>
      <c r="Q124" s="260">
        <v>46168</v>
      </c>
    </row>
    <row r="125" spans="1:17" hidden="1" x14ac:dyDescent="0.25">
      <c r="A125">
        <v>370</v>
      </c>
      <c r="B125">
        <v>2527</v>
      </c>
      <c r="C125" t="s">
        <v>392</v>
      </c>
      <c r="D125" s="260">
        <v>46001</v>
      </c>
      <c r="E125" t="s">
        <v>791</v>
      </c>
      <c r="F125" t="s">
        <v>448</v>
      </c>
      <c r="G125" s="25">
        <v>412500</v>
      </c>
      <c r="H125" s="25">
        <v>412500</v>
      </c>
      <c r="J125" s="260">
        <v>46366</v>
      </c>
      <c r="L125" t="s">
        <v>455</v>
      </c>
      <c r="M125" s="25"/>
      <c r="N125" t="s">
        <v>448</v>
      </c>
      <c r="O125" s="25">
        <v>412500</v>
      </c>
      <c r="Q125" s="260">
        <v>46366</v>
      </c>
    </row>
    <row r="126" spans="1:17" hidden="1" x14ac:dyDescent="0.25">
      <c r="A126">
        <v>136</v>
      </c>
      <c r="B126">
        <v>11212</v>
      </c>
      <c r="C126" t="s">
        <v>258</v>
      </c>
      <c r="D126" s="260">
        <v>45799</v>
      </c>
      <c r="E126" t="s">
        <v>468</v>
      </c>
      <c r="F126" t="s">
        <v>448</v>
      </c>
      <c r="G126" s="25">
        <v>400000</v>
      </c>
      <c r="H126" s="25">
        <v>400000</v>
      </c>
      <c r="J126" s="260"/>
      <c r="K126">
        <v>28</v>
      </c>
      <c r="L126" t="s">
        <v>455</v>
      </c>
      <c r="M126" s="25"/>
      <c r="N126" t="s">
        <v>448</v>
      </c>
      <c r="O126" s="25">
        <v>400000</v>
      </c>
      <c r="Q126" s="260">
        <v>46164</v>
      </c>
    </row>
    <row r="127" spans="1:17" hidden="1" x14ac:dyDescent="0.25">
      <c r="A127">
        <v>410</v>
      </c>
      <c r="B127">
        <v>16660</v>
      </c>
      <c r="C127" t="s">
        <v>766</v>
      </c>
      <c r="D127" s="260">
        <v>46093</v>
      </c>
      <c r="E127" t="s">
        <v>755</v>
      </c>
      <c r="F127" t="s">
        <v>448</v>
      </c>
      <c r="G127" s="25">
        <v>50000</v>
      </c>
      <c r="H127" s="25">
        <v>50000</v>
      </c>
      <c r="J127" s="260">
        <v>46458</v>
      </c>
      <c r="L127" t="s">
        <v>455</v>
      </c>
      <c r="M127" s="25"/>
      <c r="N127" t="s">
        <v>448</v>
      </c>
      <c r="O127" s="25">
        <v>50000</v>
      </c>
      <c r="Q127" s="260">
        <v>46458</v>
      </c>
    </row>
    <row r="128" spans="1:17" hidden="1" x14ac:dyDescent="0.25">
      <c r="A128">
        <v>392</v>
      </c>
      <c r="B128">
        <v>17224</v>
      </c>
      <c r="C128" t="s">
        <v>824</v>
      </c>
      <c r="D128" s="260">
        <v>46042</v>
      </c>
      <c r="E128" t="s">
        <v>835</v>
      </c>
      <c r="F128" t="s">
        <v>448</v>
      </c>
      <c r="G128" s="25">
        <v>550000</v>
      </c>
      <c r="H128" s="25">
        <v>550000</v>
      </c>
      <c r="J128" s="260">
        <v>46408</v>
      </c>
      <c r="K128">
        <v>78</v>
      </c>
      <c r="L128" t="s">
        <v>463</v>
      </c>
      <c r="M128" s="25"/>
      <c r="N128" t="s">
        <v>448</v>
      </c>
      <c r="O128" s="25">
        <v>550000</v>
      </c>
      <c r="Q128" s="260">
        <v>46408</v>
      </c>
    </row>
    <row r="129" spans="1:17" hidden="1" x14ac:dyDescent="0.25">
      <c r="A129">
        <v>411</v>
      </c>
      <c r="B129">
        <v>3142</v>
      </c>
      <c r="C129" t="s">
        <v>89</v>
      </c>
      <c r="D129" s="260">
        <v>46093</v>
      </c>
      <c r="E129" t="s">
        <v>893</v>
      </c>
      <c r="F129" t="s">
        <v>448</v>
      </c>
      <c r="G129" s="25">
        <v>200000</v>
      </c>
      <c r="H129" s="25">
        <v>200000</v>
      </c>
      <c r="J129" s="260">
        <v>46458</v>
      </c>
      <c r="L129" t="s">
        <v>455</v>
      </c>
      <c r="M129" s="25"/>
      <c r="N129" t="s">
        <v>448</v>
      </c>
      <c r="O129" s="25">
        <v>200000</v>
      </c>
      <c r="Q129" s="260">
        <v>46458</v>
      </c>
    </row>
    <row r="130" spans="1:17" hidden="1" x14ac:dyDescent="0.25">
      <c r="A130">
        <v>417</v>
      </c>
      <c r="B130">
        <v>12972</v>
      </c>
      <c r="C130" t="s">
        <v>767</v>
      </c>
      <c r="D130" s="260">
        <v>45980</v>
      </c>
      <c r="E130" t="s">
        <v>755</v>
      </c>
      <c r="F130" t="s">
        <v>448</v>
      </c>
      <c r="G130" s="25">
        <v>200000</v>
      </c>
      <c r="H130" s="25">
        <v>200000</v>
      </c>
      <c r="J130" s="260">
        <v>46345</v>
      </c>
      <c r="L130" t="s">
        <v>455</v>
      </c>
      <c r="M130" s="25"/>
      <c r="N130" t="s">
        <v>448</v>
      </c>
      <c r="O130" s="25">
        <v>200000</v>
      </c>
      <c r="Q130" s="260">
        <v>46345</v>
      </c>
    </row>
    <row r="131" spans="1:17" hidden="1" x14ac:dyDescent="0.25">
      <c r="A131">
        <v>166</v>
      </c>
      <c r="B131">
        <v>10646</v>
      </c>
      <c r="C131" t="s">
        <v>453</v>
      </c>
      <c r="D131" s="260">
        <v>45804</v>
      </c>
      <c r="E131" t="s">
        <v>607</v>
      </c>
      <c r="F131" t="s">
        <v>448</v>
      </c>
      <c r="G131" s="25">
        <v>500000</v>
      </c>
      <c r="H131" s="25">
        <v>500000</v>
      </c>
      <c r="J131" s="260">
        <v>46169</v>
      </c>
      <c r="L131" t="s">
        <v>455</v>
      </c>
      <c r="M131" s="25"/>
      <c r="N131" t="s">
        <v>448</v>
      </c>
      <c r="O131" s="25">
        <v>500000</v>
      </c>
      <c r="Q131" s="260">
        <v>46169</v>
      </c>
    </row>
    <row r="132" spans="1:17" hidden="1" x14ac:dyDescent="0.25">
      <c r="A132">
        <v>191</v>
      </c>
      <c r="B132">
        <v>2410</v>
      </c>
      <c r="C132" t="s">
        <v>487</v>
      </c>
      <c r="D132" s="260">
        <v>45831</v>
      </c>
      <c r="E132" t="s">
        <v>633</v>
      </c>
      <c r="G132" s="25">
        <v>1375000</v>
      </c>
      <c r="H132" s="25">
        <v>1375000</v>
      </c>
      <c r="J132" s="260"/>
      <c r="L132" t="s">
        <v>469</v>
      </c>
      <c r="M132" s="25"/>
      <c r="N132" t="s">
        <v>448</v>
      </c>
      <c r="O132" s="25">
        <v>1375000</v>
      </c>
      <c r="Q132" s="260">
        <v>46196</v>
      </c>
    </row>
    <row r="133" spans="1:17" hidden="1" x14ac:dyDescent="0.25">
      <c r="A133">
        <v>396</v>
      </c>
      <c r="B133">
        <v>17473</v>
      </c>
      <c r="C133" t="s">
        <v>870</v>
      </c>
      <c r="D133" s="260">
        <v>46076</v>
      </c>
      <c r="E133" t="s">
        <v>784</v>
      </c>
      <c r="F133" t="s">
        <v>448</v>
      </c>
      <c r="G133" s="25">
        <v>300000</v>
      </c>
      <c r="H133" s="25">
        <v>300000</v>
      </c>
      <c r="J133" s="260">
        <v>46441</v>
      </c>
      <c r="L133" t="s">
        <v>455</v>
      </c>
      <c r="M133" s="25">
        <v>300000</v>
      </c>
      <c r="N133" t="s">
        <v>448</v>
      </c>
      <c r="O133" s="25">
        <v>300000</v>
      </c>
      <c r="Q133" s="260">
        <v>46441</v>
      </c>
    </row>
    <row r="134" spans="1:17" hidden="1" x14ac:dyDescent="0.25">
      <c r="A134">
        <v>323</v>
      </c>
      <c r="B134">
        <v>2601</v>
      </c>
      <c r="C134" t="s">
        <v>768</v>
      </c>
      <c r="D134" s="260">
        <v>45976</v>
      </c>
      <c r="E134" t="s">
        <v>769</v>
      </c>
      <c r="F134" t="s">
        <v>448</v>
      </c>
      <c r="G134" s="25">
        <v>500000</v>
      </c>
      <c r="H134" s="25">
        <v>500000</v>
      </c>
      <c r="J134" s="260">
        <v>46341</v>
      </c>
      <c r="L134" t="s">
        <v>455</v>
      </c>
      <c r="M134" s="25">
        <v>500000</v>
      </c>
      <c r="N134" t="s">
        <v>448</v>
      </c>
      <c r="O134" s="25">
        <v>500000</v>
      </c>
      <c r="Q134" s="260">
        <v>46341</v>
      </c>
    </row>
    <row r="135" spans="1:17" hidden="1" x14ac:dyDescent="0.25">
      <c r="A135">
        <v>225</v>
      </c>
      <c r="B135">
        <v>5519</v>
      </c>
      <c r="C135" t="s">
        <v>303</v>
      </c>
      <c r="D135" s="260">
        <v>45837</v>
      </c>
      <c r="E135" t="s">
        <v>625</v>
      </c>
      <c r="F135" t="s">
        <v>448</v>
      </c>
      <c r="G135" s="25">
        <v>300000</v>
      </c>
      <c r="H135" s="25">
        <v>300000</v>
      </c>
      <c r="J135" s="260"/>
      <c r="L135" t="s">
        <v>455</v>
      </c>
      <c r="M135" s="25"/>
      <c r="N135" t="s">
        <v>448</v>
      </c>
      <c r="O135" s="25">
        <v>300000</v>
      </c>
      <c r="Q135" s="260">
        <v>46205</v>
      </c>
    </row>
    <row r="136" spans="1:17" hidden="1" x14ac:dyDescent="0.25">
      <c r="A136">
        <v>406</v>
      </c>
      <c r="B136">
        <v>15319</v>
      </c>
      <c r="C136" t="s">
        <v>419</v>
      </c>
      <c r="D136" s="260">
        <v>46000</v>
      </c>
      <c r="E136" t="s">
        <v>792</v>
      </c>
      <c r="F136" t="s">
        <v>448</v>
      </c>
      <c r="G136" s="25">
        <v>500000</v>
      </c>
      <c r="H136" s="25">
        <v>500000</v>
      </c>
      <c r="J136" s="260">
        <v>46365</v>
      </c>
      <c r="L136" t="s">
        <v>455</v>
      </c>
      <c r="M136" s="25"/>
      <c r="N136" t="s">
        <v>448</v>
      </c>
      <c r="O136" s="25">
        <v>500000</v>
      </c>
      <c r="Q136" s="260">
        <v>46365</v>
      </c>
    </row>
    <row r="137" spans="1:17" hidden="1" x14ac:dyDescent="0.25">
      <c r="A137">
        <v>141</v>
      </c>
      <c r="B137">
        <v>15320</v>
      </c>
      <c r="C137" t="s">
        <v>414</v>
      </c>
      <c r="D137" s="260">
        <v>45803</v>
      </c>
      <c r="E137" t="s">
        <v>603</v>
      </c>
      <c r="F137" t="s">
        <v>448</v>
      </c>
      <c r="G137" s="25">
        <v>4000000</v>
      </c>
      <c r="H137" s="25">
        <v>4000000</v>
      </c>
      <c r="J137" s="260"/>
      <c r="L137" t="s">
        <v>455</v>
      </c>
      <c r="M137" s="25"/>
      <c r="N137" t="s">
        <v>448</v>
      </c>
      <c r="O137" s="25">
        <v>4000000</v>
      </c>
      <c r="Q137" s="260">
        <v>46168</v>
      </c>
    </row>
    <row r="138" spans="1:17" hidden="1" x14ac:dyDescent="0.25">
      <c r="A138">
        <v>250</v>
      </c>
      <c r="B138">
        <v>15355</v>
      </c>
      <c r="C138" t="s">
        <v>433</v>
      </c>
      <c r="D138" s="260">
        <v>45869</v>
      </c>
      <c r="E138" t="s">
        <v>668</v>
      </c>
      <c r="F138" t="s">
        <v>448</v>
      </c>
      <c r="G138" s="25">
        <v>1000000</v>
      </c>
      <c r="H138" s="25">
        <v>4200000</v>
      </c>
      <c r="J138" s="260">
        <v>46234</v>
      </c>
      <c r="K138">
        <v>270</v>
      </c>
      <c r="M138" s="25">
        <v>4200000</v>
      </c>
      <c r="N138" t="s">
        <v>448</v>
      </c>
      <c r="O138" s="25">
        <v>1000000</v>
      </c>
      <c r="P138" t="s">
        <v>226</v>
      </c>
      <c r="Q138" s="260">
        <v>46234</v>
      </c>
    </row>
    <row r="139" spans="1:17" hidden="1" x14ac:dyDescent="0.25">
      <c r="A139">
        <v>274</v>
      </c>
      <c r="B139">
        <v>15323</v>
      </c>
      <c r="C139" t="s">
        <v>694</v>
      </c>
      <c r="D139" s="260">
        <v>45904</v>
      </c>
      <c r="E139" t="s">
        <v>608</v>
      </c>
      <c r="F139" t="s">
        <v>448</v>
      </c>
      <c r="G139" s="25">
        <v>1000000</v>
      </c>
      <c r="H139" s="25">
        <v>1000000</v>
      </c>
      <c r="J139" s="260">
        <v>46269</v>
      </c>
      <c r="L139" t="s">
        <v>455</v>
      </c>
      <c r="M139" s="25"/>
      <c r="N139" t="s">
        <v>448</v>
      </c>
      <c r="O139" s="25">
        <v>1000000</v>
      </c>
      <c r="Q139" s="260">
        <v>46269</v>
      </c>
    </row>
    <row r="140" spans="1:17" hidden="1" x14ac:dyDescent="0.25">
      <c r="A140">
        <v>142</v>
      </c>
      <c r="B140">
        <v>15324</v>
      </c>
      <c r="C140" t="s">
        <v>418</v>
      </c>
      <c r="D140" s="260">
        <v>45803</v>
      </c>
      <c r="E140" t="s">
        <v>603</v>
      </c>
      <c r="F140" t="s">
        <v>448</v>
      </c>
      <c r="G140" s="25">
        <v>2000000</v>
      </c>
      <c r="H140" s="25">
        <v>2000000</v>
      </c>
      <c r="J140" s="260"/>
      <c r="L140" t="s">
        <v>455</v>
      </c>
      <c r="M140" s="25"/>
      <c r="N140" t="s">
        <v>448</v>
      </c>
      <c r="O140" s="25">
        <v>2000000</v>
      </c>
      <c r="Q140" s="260">
        <v>46168</v>
      </c>
    </row>
    <row r="141" spans="1:17" hidden="1" x14ac:dyDescent="0.25">
      <c r="A141">
        <v>96</v>
      </c>
      <c r="B141">
        <v>15325</v>
      </c>
      <c r="C141" t="s">
        <v>416</v>
      </c>
      <c r="D141" s="260">
        <v>45649</v>
      </c>
      <c r="E141" t="s">
        <v>471</v>
      </c>
      <c r="F141" t="s">
        <v>451</v>
      </c>
      <c r="G141" s="25">
        <v>6900000</v>
      </c>
      <c r="H141" s="25">
        <v>6900000</v>
      </c>
      <c r="J141" s="260"/>
      <c r="M141" s="25"/>
      <c r="N141" t="s">
        <v>448</v>
      </c>
      <c r="O141" s="25">
        <v>2315000</v>
      </c>
      <c r="Q141" s="260">
        <v>46014</v>
      </c>
    </row>
    <row r="142" spans="1:17" hidden="1" x14ac:dyDescent="0.25">
      <c r="A142">
        <v>130</v>
      </c>
      <c r="B142">
        <v>15720</v>
      </c>
      <c r="C142" t="s">
        <v>532</v>
      </c>
      <c r="D142" s="260">
        <v>45659</v>
      </c>
      <c r="E142" t="s">
        <v>599</v>
      </c>
      <c r="F142" t="s">
        <v>448</v>
      </c>
      <c r="G142" s="25">
        <v>10000000</v>
      </c>
      <c r="H142" s="25">
        <v>10000000</v>
      </c>
      <c r="J142" s="260">
        <v>46025</v>
      </c>
      <c r="M142" s="25"/>
      <c r="N142" t="s">
        <v>448</v>
      </c>
      <c r="O142" s="25"/>
      <c r="Q142" s="260">
        <v>46025</v>
      </c>
    </row>
    <row r="143" spans="1:17" hidden="1" x14ac:dyDescent="0.25">
      <c r="A143">
        <v>154</v>
      </c>
      <c r="B143">
        <v>16145</v>
      </c>
      <c r="C143" t="s">
        <v>604</v>
      </c>
      <c r="D143" s="260">
        <v>45804</v>
      </c>
      <c r="E143" t="s">
        <v>603</v>
      </c>
      <c r="F143" t="s">
        <v>448</v>
      </c>
      <c r="G143" s="25">
        <v>250000</v>
      </c>
      <c r="H143" s="25">
        <v>250000</v>
      </c>
      <c r="J143" s="260"/>
      <c r="L143" t="s">
        <v>455</v>
      </c>
      <c r="M143" s="25"/>
      <c r="N143" t="s">
        <v>448</v>
      </c>
      <c r="O143" s="25">
        <v>250000</v>
      </c>
      <c r="Q143" s="260">
        <v>46168</v>
      </c>
    </row>
    <row r="144" spans="1:17" hidden="1" x14ac:dyDescent="0.25">
      <c r="A144">
        <v>151</v>
      </c>
      <c r="B144">
        <v>15330</v>
      </c>
      <c r="C144" t="s">
        <v>421</v>
      </c>
      <c r="D144" s="260">
        <v>45804</v>
      </c>
      <c r="E144" t="s">
        <v>603</v>
      </c>
      <c r="F144" t="s">
        <v>448</v>
      </c>
      <c r="G144" s="25">
        <v>1500000</v>
      </c>
      <c r="H144" s="25">
        <v>1500000</v>
      </c>
      <c r="J144" s="260"/>
      <c r="L144" t="s">
        <v>455</v>
      </c>
      <c r="M144" s="25"/>
      <c r="N144" t="s">
        <v>448</v>
      </c>
      <c r="O144" s="25">
        <v>750000</v>
      </c>
      <c r="Q144" s="260">
        <v>46168</v>
      </c>
    </row>
    <row r="145" spans="1:17" hidden="1" x14ac:dyDescent="0.25">
      <c r="A145">
        <v>329</v>
      </c>
      <c r="B145">
        <v>15331</v>
      </c>
      <c r="C145" t="s">
        <v>770</v>
      </c>
      <c r="D145" s="260">
        <v>45980</v>
      </c>
      <c r="E145" t="s">
        <v>755</v>
      </c>
      <c r="F145" t="s">
        <v>448</v>
      </c>
      <c r="G145" s="25">
        <v>50000</v>
      </c>
      <c r="H145" s="25">
        <v>50000</v>
      </c>
      <c r="J145" s="260"/>
      <c r="L145" t="s">
        <v>455</v>
      </c>
      <c r="M145" s="25"/>
      <c r="N145" t="s">
        <v>448</v>
      </c>
      <c r="O145" s="25">
        <v>50000</v>
      </c>
      <c r="Q145" s="260">
        <v>46345</v>
      </c>
    </row>
    <row r="146" spans="1:17" hidden="1" x14ac:dyDescent="0.25">
      <c r="A146">
        <v>153</v>
      </c>
      <c r="B146">
        <v>15945</v>
      </c>
      <c r="C146" t="s">
        <v>597</v>
      </c>
      <c r="D146" s="260">
        <v>45804</v>
      </c>
      <c r="E146" t="s">
        <v>603</v>
      </c>
      <c r="F146" t="s">
        <v>448</v>
      </c>
      <c r="G146" s="25">
        <v>1300000</v>
      </c>
      <c r="H146" s="25">
        <v>1300000</v>
      </c>
      <c r="J146" s="260"/>
      <c r="L146" t="s">
        <v>455</v>
      </c>
      <c r="M146" s="25"/>
      <c r="N146" t="s">
        <v>448</v>
      </c>
      <c r="O146" s="25">
        <v>1300000</v>
      </c>
      <c r="Q146" s="260">
        <v>46168</v>
      </c>
    </row>
    <row r="147" spans="1:17" hidden="1" x14ac:dyDescent="0.25">
      <c r="A147">
        <v>252</v>
      </c>
      <c r="B147">
        <v>16146</v>
      </c>
      <c r="C147" t="s">
        <v>658</v>
      </c>
      <c r="D147" s="260">
        <v>45869</v>
      </c>
      <c r="E147" t="s">
        <v>603</v>
      </c>
      <c r="F147" t="s">
        <v>448</v>
      </c>
      <c r="G147" s="25">
        <v>1000000</v>
      </c>
      <c r="H147" s="25">
        <v>1500000</v>
      </c>
      <c r="J147" s="260">
        <v>46234</v>
      </c>
      <c r="L147" t="s">
        <v>455</v>
      </c>
      <c r="M147" s="25"/>
      <c r="N147" t="s">
        <v>448</v>
      </c>
      <c r="O147" s="25">
        <v>1500000</v>
      </c>
      <c r="Q147" s="260">
        <v>46234</v>
      </c>
    </row>
    <row r="148" spans="1:17" hidden="1" x14ac:dyDescent="0.25">
      <c r="A148">
        <v>210</v>
      </c>
      <c r="B148">
        <v>16144</v>
      </c>
      <c r="C148" t="s">
        <v>578</v>
      </c>
      <c r="D148" s="260">
        <v>45831</v>
      </c>
      <c r="E148" t="s">
        <v>603</v>
      </c>
      <c r="F148" t="s">
        <v>448</v>
      </c>
      <c r="G148" s="25">
        <v>1472000</v>
      </c>
      <c r="H148" s="25">
        <v>1472000</v>
      </c>
      <c r="J148" s="260"/>
      <c r="L148" t="s">
        <v>455</v>
      </c>
      <c r="M148" s="25"/>
      <c r="N148" t="s">
        <v>448</v>
      </c>
      <c r="O148" s="25">
        <v>1472000</v>
      </c>
      <c r="Q148" s="260">
        <v>46196</v>
      </c>
    </row>
    <row r="149" spans="1:17" hidden="1" x14ac:dyDescent="0.25">
      <c r="A149">
        <v>156</v>
      </c>
      <c r="B149">
        <v>15332</v>
      </c>
      <c r="C149" t="s">
        <v>576</v>
      </c>
      <c r="D149" s="260">
        <v>45804</v>
      </c>
      <c r="E149" t="s">
        <v>603</v>
      </c>
      <c r="F149" t="s">
        <v>448</v>
      </c>
      <c r="G149" s="25">
        <v>1500000</v>
      </c>
      <c r="H149" s="25">
        <v>1500000</v>
      </c>
      <c r="J149" s="260"/>
      <c r="L149" t="s">
        <v>455</v>
      </c>
      <c r="M149" s="25"/>
      <c r="N149" t="s">
        <v>448</v>
      </c>
      <c r="O149" s="25">
        <v>1500000</v>
      </c>
      <c r="Q149" s="260">
        <v>46168</v>
      </c>
    </row>
    <row r="150" spans="1:17" hidden="1" x14ac:dyDescent="0.25">
      <c r="A150">
        <v>155</v>
      </c>
      <c r="B150">
        <v>16143</v>
      </c>
      <c r="C150" t="s">
        <v>605</v>
      </c>
      <c r="D150" s="260">
        <v>45804</v>
      </c>
      <c r="E150" t="s">
        <v>603</v>
      </c>
      <c r="F150" t="s">
        <v>448</v>
      </c>
      <c r="G150" s="25">
        <v>1500000</v>
      </c>
      <c r="H150" s="25">
        <v>1500000</v>
      </c>
      <c r="J150" s="260"/>
      <c r="L150" t="s">
        <v>455</v>
      </c>
      <c r="M150" s="25"/>
      <c r="N150" t="s">
        <v>448</v>
      </c>
      <c r="O150" s="25">
        <v>1500000</v>
      </c>
      <c r="Q150" s="260">
        <v>46168</v>
      </c>
    </row>
    <row r="151" spans="1:17" hidden="1" x14ac:dyDescent="0.25">
      <c r="A151">
        <v>158</v>
      </c>
      <c r="B151">
        <v>16147</v>
      </c>
      <c r="C151" t="s">
        <v>606</v>
      </c>
      <c r="D151" s="260">
        <v>45804</v>
      </c>
      <c r="E151" t="s">
        <v>603</v>
      </c>
      <c r="F151" t="s">
        <v>448</v>
      </c>
      <c r="G151" s="25">
        <v>500000</v>
      </c>
      <c r="H151" s="25">
        <v>500000</v>
      </c>
      <c r="J151" s="260"/>
      <c r="L151" t="s">
        <v>455</v>
      </c>
      <c r="M151" s="25"/>
      <c r="N151" t="s">
        <v>448</v>
      </c>
      <c r="O151" s="25">
        <v>500000</v>
      </c>
      <c r="Q151" s="260">
        <v>46168</v>
      </c>
    </row>
    <row r="152" spans="1:17" hidden="1" x14ac:dyDescent="0.25">
      <c r="A152">
        <v>161</v>
      </c>
      <c r="B152">
        <v>15333</v>
      </c>
      <c r="C152" t="s">
        <v>431</v>
      </c>
      <c r="D152" s="260">
        <v>45804</v>
      </c>
      <c r="E152" t="s">
        <v>603</v>
      </c>
      <c r="F152" t="s">
        <v>448</v>
      </c>
      <c r="G152" s="25">
        <v>2000000</v>
      </c>
      <c r="H152" s="25">
        <v>2000000</v>
      </c>
      <c r="J152" s="260"/>
      <c r="L152" t="s">
        <v>455</v>
      </c>
      <c r="M152" s="25"/>
      <c r="N152" t="s">
        <v>448</v>
      </c>
      <c r="O152" s="25">
        <v>2000000</v>
      </c>
      <c r="Q152" s="260">
        <v>46168</v>
      </c>
    </row>
    <row r="153" spans="1:17" hidden="1" x14ac:dyDescent="0.25">
      <c r="A153">
        <v>296</v>
      </c>
      <c r="B153">
        <v>15328</v>
      </c>
      <c r="C153" t="s">
        <v>530</v>
      </c>
      <c r="D153" s="260">
        <v>45901</v>
      </c>
      <c r="E153" t="s">
        <v>471</v>
      </c>
      <c r="F153" t="s">
        <v>448</v>
      </c>
      <c r="G153" s="25">
        <v>3000000</v>
      </c>
      <c r="H153" s="25">
        <v>3000000</v>
      </c>
      <c r="J153" s="260">
        <v>46266</v>
      </c>
      <c r="L153" t="s">
        <v>455</v>
      </c>
      <c r="M153" s="25"/>
      <c r="N153" t="s">
        <v>448</v>
      </c>
      <c r="O153" s="25"/>
      <c r="Q153" s="260">
        <v>46266</v>
      </c>
    </row>
    <row r="154" spans="1:17" hidden="1" x14ac:dyDescent="0.25">
      <c r="A154">
        <v>284</v>
      </c>
      <c r="B154">
        <v>15335</v>
      </c>
      <c r="C154" t="s">
        <v>430</v>
      </c>
      <c r="D154" s="260">
        <v>45834</v>
      </c>
      <c r="E154" t="s">
        <v>650</v>
      </c>
      <c r="F154" t="s">
        <v>448</v>
      </c>
      <c r="G154" s="25">
        <v>1000000</v>
      </c>
      <c r="H154" s="25">
        <v>1000000</v>
      </c>
      <c r="J154" s="260"/>
      <c r="L154" t="s">
        <v>455</v>
      </c>
      <c r="M154" s="25"/>
      <c r="N154" t="s">
        <v>448</v>
      </c>
      <c r="O154" s="25">
        <v>1000000</v>
      </c>
      <c r="Q154" s="260">
        <v>46199</v>
      </c>
    </row>
    <row r="155" spans="1:17" hidden="1" x14ac:dyDescent="0.25">
      <c r="A155">
        <v>163</v>
      </c>
      <c r="B155">
        <v>15327</v>
      </c>
      <c r="C155" t="s">
        <v>425</v>
      </c>
      <c r="D155" s="260">
        <v>45804</v>
      </c>
      <c r="E155" t="s">
        <v>603</v>
      </c>
      <c r="F155" t="s">
        <v>448</v>
      </c>
      <c r="G155" s="25">
        <v>1500000</v>
      </c>
      <c r="H155" s="25">
        <v>1500000</v>
      </c>
      <c r="J155" s="260">
        <v>46169</v>
      </c>
      <c r="L155" t="s">
        <v>455</v>
      </c>
      <c r="M155" s="25"/>
      <c r="N155" t="s">
        <v>448</v>
      </c>
      <c r="O155" s="25">
        <v>1500000</v>
      </c>
      <c r="Q155" s="260">
        <v>46168</v>
      </c>
    </row>
    <row r="156" spans="1:17" hidden="1" x14ac:dyDescent="0.25">
      <c r="A156">
        <v>95</v>
      </c>
      <c r="B156">
        <v>15336</v>
      </c>
      <c r="C156" t="s">
        <v>500</v>
      </c>
      <c r="D156" s="260">
        <v>45649</v>
      </c>
      <c r="E156" t="s">
        <v>471</v>
      </c>
      <c r="F156" t="s">
        <v>448</v>
      </c>
      <c r="G156" s="25">
        <v>20000000</v>
      </c>
      <c r="H156" s="25">
        <v>20000000</v>
      </c>
      <c r="J156" s="260">
        <v>46014</v>
      </c>
      <c r="M156" s="25"/>
      <c r="N156" t="s">
        <v>448</v>
      </c>
      <c r="O156" s="25">
        <v>15000000</v>
      </c>
      <c r="Q156" s="260">
        <v>46014</v>
      </c>
    </row>
    <row r="157" spans="1:17" hidden="1" x14ac:dyDescent="0.25">
      <c r="A157">
        <v>129</v>
      </c>
      <c r="B157">
        <v>15710</v>
      </c>
      <c r="C157" t="s">
        <v>531</v>
      </c>
      <c r="D157" s="260">
        <v>45707</v>
      </c>
      <c r="E157" t="s">
        <v>594</v>
      </c>
      <c r="F157" t="s">
        <v>448</v>
      </c>
      <c r="G157" s="25">
        <v>10000000</v>
      </c>
      <c r="H157" s="25">
        <v>15000000</v>
      </c>
      <c r="J157" s="260">
        <v>45771</v>
      </c>
      <c r="L157" t="s">
        <v>455</v>
      </c>
      <c r="M157" s="25"/>
      <c r="N157" t="s">
        <v>448</v>
      </c>
      <c r="O157" s="25">
        <v>10000000</v>
      </c>
      <c r="Q157" s="260">
        <v>46072</v>
      </c>
    </row>
    <row r="158" spans="1:17" hidden="1" x14ac:dyDescent="0.25">
      <c r="A158">
        <v>372</v>
      </c>
      <c r="B158">
        <v>16465</v>
      </c>
      <c r="C158" t="s">
        <v>810</v>
      </c>
      <c r="D158" s="260">
        <v>46001</v>
      </c>
      <c r="E158" t="s">
        <v>811</v>
      </c>
      <c r="F158" t="s">
        <v>448</v>
      </c>
      <c r="G158" s="25">
        <v>165000</v>
      </c>
      <c r="H158" s="25">
        <v>165000</v>
      </c>
      <c r="J158" s="260"/>
      <c r="L158" t="s">
        <v>455</v>
      </c>
      <c r="M158" s="25"/>
      <c r="N158" t="s">
        <v>448</v>
      </c>
      <c r="O158" s="25">
        <v>165000</v>
      </c>
      <c r="Q158" s="260">
        <v>46366</v>
      </c>
    </row>
    <row r="159" spans="1:17" hidden="1" x14ac:dyDescent="0.25">
      <c r="A159">
        <v>168</v>
      </c>
      <c r="B159">
        <v>15356</v>
      </c>
      <c r="C159" t="s">
        <v>426</v>
      </c>
      <c r="D159" s="260">
        <v>45804</v>
      </c>
      <c r="E159" t="s">
        <v>608</v>
      </c>
      <c r="F159" t="s">
        <v>448</v>
      </c>
      <c r="G159" s="25">
        <v>700000</v>
      </c>
      <c r="H159" s="25">
        <v>700000</v>
      </c>
      <c r="J159" s="260">
        <v>46169</v>
      </c>
      <c r="K159">
        <v>180</v>
      </c>
      <c r="L159" t="s">
        <v>455</v>
      </c>
      <c r="M159" s="25"/>
      <c r="N159" t="s">
        <v>448</v>
      </c>
      <c r="O159" s="25">
        <v>700000</v>
      </c>
      <c r="Q159" s="260">
        <v>46169</v>
      </c>
    </row>
    <row r="160" spans="1:17" hidden="1" x14ac:dyDescent="0.25">
      <c r="A160">
        <v>290</v>
      </c>
      <c r="B160">
        <v>15354</v>
      </c>
      <c r="C160" t="s">
        <v>432</v>
      </c>
      <c r="D160" s="260">
        <v>45926</v>
      </c>
      <c r="E160" t="s">
        <v>699</v>
      </c>
      <c r="F160" t="s">
        <v>448</v>
      </c>
      <c r="G160" s="25">
        <v>1500000</v>
      </c>
      <c r="H160" s="25">
        <v>1500000</v>
      </c>
      <c r="J160" s="260">
        <v>46291</v>
      </c>
      <c r="K160">
        <v>270</v>
      </c>
      <c r="L160" t="s">
        <v>455</v>
      </c>
      <c r="M160" s="25">
        <v>3300000</v>
      </c>
      <c r="N160" t="s">
        <v>448</v>
      </c>
      <c r="O160" s="25">
        <v>1000000</v>
      </c>
      <c r="P160" t="s">
        <v>226</v>
      </c>
      <c r="Q160" s="260">
        <v>46291</v>
      </c>
    </row>
    <row r="161" spans="1:17" hidden="1" x14ac:dyDescent="0.25">
      <c r="A161">
        <v>365</v>
      </c>
      <c r="B161">
        <v>15344</v>
      </c>
      <c r="C161" t="s">
        <v>417</v>
      </c>
      <c r="D161" s="260">
        <v>45993</v>
      </c>
      <c r="E161" t="s">
        <v>784</v>
      </c>
      <c r="F161" t="s">
        <v>448</v>
      </c>
      <c r="G161" s="25">
        <v>3500000</v>
      </c>
      <c r="H161" s="25">
        <v>3500000</v>
      </c>
      <c r="J161" s="260"/>
      <c r="L161" t="s">
        <v>455</v>
      </c>
      <c r="M161" s="25"/>
      <c r="N161" t="s">
        <v>448</v>
      </c>
      <c r="O161" s="25">
        <v>3500000</v>
      </c>
      <c r="Q161" s="260">
        <v>46358</v>
      </c>
    </row>
    <row r="162" spans="1:17" hidden="1" x14ac:dyDescent="0.25">
      <c r="A162">
        <v>361</v>
      </c>
      <c r="B162">
        <v>15345</v>
      </c>
      <c r="C162" t="s">
        <v>420</v>
      </c>
      <c r="D162" s="260">
        <v>45994</v>
      </c>
      <c r="E162" t="s">
        <v>784</v>
      </c>
      <c r="F162" t="s">
        <v>448</v>
      </c>
      <c r="G162" s="25">
        <v>6000000</v>
      </c>
      <c r="H162" s="25">
        <v>6000000</v>
      </c>
      <c r="J162" s="260">
        <v>46359</v>
      </c>
      <c r="K162">
        <v>28</v>
      </c>
      <c r="L162" t="s">
        <v>455</v>
      </c>
      <c r="M162" s="25"/>
      <c r="N162" t="s">
        <v>448</v>
      </c>
      <c r="O162" s="25">
        <v>6000000</v>
      </c>
      <c r="Q162" s="260">
        <v>46359</v>
      </c>
    </row>
    <row r="163" spans="1:17" hidden="1" x14ac:dyDescent="0.25">
      <c r="A163">
        <v>194</v>
      </c>
      <c r="B163">
        <v>2645</v>
      </c>
      <c r="C163" t="s">
        <v>394</v>
      </c>
      <c r="D163" s="260">
        <v>45831</v>
      </c>
      <c r="E163" t="s">
        <v>637</v>
      </c>
      <c r="F163" t="s">
        <v>448</v>
      </c>
      <c r="G163" s="25">
        <v>825000</v>
      </c>
      <c r="H163" s="25">
        <v>825000</v>
      </c>
      <c r="J163" s="260"/>
      <c r="L163" t="s">
        <v>469</v>
      </c>
      <c r="M163" s="25"/>
      <c r="N163" t="s">
        <v>448</v>
      </c>
      <c r="O163" s="25">
        <v>825000</v>
      </c>
      <c r="Q163" s="260">
        <v>46196</v>
      </c>
    </row>
    <row r="164" spans="1:17" hidden="1" x14ac:dyDescent="0.25">
      <c r="A164">
        <v>318</v>
      </c>
      <c r="B164">
        <v>1831</v>
      </c>
      <c r="C164" t="s">
        <v>744</v>
      </c>
      <c r="D164" s="260">
        <v>45974</v>
      </c>
      <c r="E164" t="s">
        <v>771</v>
      </c>
      <c r="F164" t="s">
        <v>448</v>
      </c>
      <c r="G164" s="25">
        <v>400000</v>
      </c>
      <c r="H164" s="25">
        <v>400000</v>
      </c>
      <c r="J164" s="260">
        <v>46340</v>
      </c>
      <c r="L164" t="s">
        <v>463</v>
      </c>
      <c r="M164" s="25"/>
      <c r="N164" t="s">
        <v>448</v>
      </c>
      <c r="O164" s="25">
        <v>400000</v>
      </c>
      <c r="Q164" s="260">
        <v>46339</v>
      </c>
    </row>
    <row r="165" spans="1:17" hidden="1" x14ac:dyDescent="0.25">
      <c r="A165">
        <v>385</v>
      </c>
      <c r="B165">
        <v>14116</v>
      </c>
      <c r="C165" t="s">
        <v>655</v>
      </c>
      <c r="D165" s="260">
        <v>46030</v>
      </c>
      <c r="E165" t="s">
        <v>836</v>
      </c>
      <c r="F165" t="s">
        <v>448</v>
      </c>
      <c r="G165" s="25">
        <v>330000</v>
      </c>
      <c r="H165" s="25">
        <v>330000</v>
      </c>
      <c r="J165" s="260">
        <v>46395</v>
      </c>
      <c r="L165" t="s">
        <v>455</v>
      </c>
      <c r="M165" s="25"/>
      <c r="N165" t="s">
        <v>448</v>
      </c>
      <c r="O165" s="25">
        <v>330000</v>
      </c>
      <c r="Q165" s="260">
        <v>46395</v>
      </c>
    </row>
    <row r="166" spans="1:17" hidden="1" x14ac:dyDescent="0.25">
      <c r="A166">
        <v>188</v>
      </c>
      <c r="B166">
        <v>1462</v>
      </c>
      <c r="C166" t="s">
        <v>65</v>
      </c>
      <c r="D166" s="260">
        <v>45821</v>
      </c>
      <c r="E166" t="s">
        <v>629</v>
      </c>
      <c r="G166" s="25">
        <v>270000</v>
      </c>
      <c r="H166" s="25">
        <v>270000</v>
      </c>
      <c r="J166" s="260"/>
      <c r="M166" s="25"/>
      <c r="N166" t="s">
        <v>448</v>
      </c>
      <c r="O166" s="25">
        <v>0</v>
      </c>
      <c r="Q166" s="260">
        <v>46186</v>
      </c>
    </row>
    <row r="167" spans="1:17" hidden="1" x14ac:dyDescent="0.25">
      <c r="A167">
        <v>143</v>
      </c>
      <c r="B167">
        <v>2809</v>
      </c>
      <c r="C167" t="s">
        <v>176</v>
      </c>
      <c r="D167" s="260">
        <v>45803</v>
      </c>
      <c r="E167" t="s">
        <v>603</v>
      </c>
      <c r="F167" t="s">
        <v>448</v>
      </c>
      <c r="G167" s="25">
        <v>1000000</v>
      </c>
      <c r="H167" s="25">
        <v>1000000</v>
      </c>
      <c r="J167" s="260"/>
      <c r="L167" t="s">
        <v>455</v>
      </c>
      <c r="M167" s="25"/>
      <c r="N167" t="s">
        <v>448</v>
      </c>
      <c r="O167" s="25">
        <v>1000000</v>
      </c>
      <c r="Q167" s="260">
        <v>46168</v>
      </c>
    </row>
    <row r="168" spans="1:17" hidden="1" x14ac:dyDescent="0.25">
      <c r="A168">
        <v>328</v>
      </c>
      <c r="B168">
        <v>14561</v>
      </c>
      <c r="C168" t="s">
        <v>327</v>
      </c>
      <c r="D168" s="260">
        <v>45980</v>
      </c>
      <c r="E168" t="s">
        <v>772</v>
      </c>
      <c r="F168" t="s">
        <v>448</v>
      </c>
      <c r="G168" s="25">
        <v>100000</v>
      </c>
      <c r="H168" s="25">
        <v>100000</v>
      </c>
      <c r="J168" s="260">
        <v>46345</v>
      </c>
      <c r="L168" t="s">
        <v>455</v>
      </c>
      <c r="M168" s="25"/>
      <c r="N168" t="s">
        <v>448</v>
      </c>
      <c r="O168" s="25">
        <v>100000</v>
      </c>
      <c r="Q168" s="260">
        <v>46345</v>
      </c>
    </row>
    <row r="169" spans="1:17" hidden="1" x14ac:dyDescent="0.25">
      <c r="A169">
        <v>187</v>
      </c>
      <c r="B169">
        <v>15508</v>
      </c>
      <c r="C169" t="s">
        <v>571</v>
      </c>
      <c r="D169" s="260">
        <v>45825</v>
      </c>
      <c r="E169" t="s">
        <v>628</v>
      </c>
      <c r="F169" t="s">
        <v>448</v>
      </c>
      <c r="G169" s="25">
        <v>550000</v>
      </c>
      <c r="H169" s="25">
        <v>550000</v>
      </c>
      <c r="J169" s="260"/>
      <c r="L169" t="s">
        <v>455</v>
      </c>
      <c r="M169" s="25"/>
      <c r="N169" t="s">
        <v>448</v>
      </c>
      <c r="O169" s="25">
        <v>550000</v>
      </c>
      <c r="Q169" s="260">
        <v>46190</v>
      </c>
    </row>
    <row r="170" spans="1:17" hidden="1" x14ac:dyDescent="0.25">
      <c r="A170">
        <v>301</v>
      </c>
      <c r="B170">
        <v>2648</v>
      </c>
      <c r="C170" t="s">
        <v>534</v>
      </c>
      <c r="D170" s="260">
        <v>45933</v>
      </c>
      <c r="E170" t="s">
        <v>719</v>
      </c>
      <c r="F170" t="s">
        <v>448</v>
      </c>
      <c r="G170" s="25">
        <v>1375000</v>
      </c>
      <c r="H170" s="25">
        <v>1375000</v>
      </c>
      <c r="J170" s="260"/>
      <c r="L170" t="s">
        <v>720</v>
      </c>
      <c r="M170" s="25"/>
      <c r="N170" t="s">
        <v>448</v>
      </c>
      <c r="O170" s="25">
        <v>1375000</v>
      </c>
      <c r="Q170" s="260"/>
    </row>
    <row r="171" spans="1:17" hidden="1" x14ac:dyDescent="0.25">
      <c r="A171">
        <v>255</v>
      </c>
      <c r="B171">
        <v>7</v>
      </c>
      <c r="C171" t="s">
        <v>660</v>
      </c>
      <c r="D171" s="260">
        <v>45877</v>
      </c>
      <c r="E171" t="s">
        <v>672</v>
      </c>
      <c r="F171" t="s">
        <v>448</v>
      </c>
      <c r="G171" s="25">
        <v>50000</v>
      </c>
      <c r="H171" s="25">
        <v>50000</v>
      </c>
      <c r="J171" s="260">
        <v>46242</v>
      </c>
      <c r="L171" t="s">
        <v>455</v>
      </c>
      <c r="M171" s="25"/>
      <c r="N171" t="s">
        <v>448</v>
      </c>
      <c r="O171" s="25">
        <v>50000</v>
      </c>
      <c r="Q171" s="260">
        <v>46242</v>
      </c>
    </row>
    <row r="172" spans="1:17" hidden="1" x14ac:dyDescent="0.25">
      <c r="A172">
        <v>321</v>
      </c>
      <c r="B172">
        <v>7022</v>
      </c>
      <c r="C172" t="s">
        <v>793</v>
      </c>
      <c r="D172" s="260">
        <v>45978</v>
      </c>
      <c r="E172" t="s">
        <v>594</v>
      </c>
      <c r="F172" t="s">
        <v>448</v>
      </c>
      <c r="G172" s="25">
        <v>1500000</v>
      </c>
      <c r="H172" s="25">
        <v>1500000</v>
      </c>
      <c r="J172" s="260">
        <v>46343</v>
      </c>
      <c r="L172" t="s">
        <v>469</v>
      </c>
      <c r="M172" s="25"/>
      <c r="N172" t="s">
        <v>448</v>
      </c>
      <c r="O172" s="25">
        <v>1500000</v>
      </c>
      <c r="Q172" s="260">
        <v>46343</v>
      </c>
    </row>
    <row r="173" spans="1:17" hidden="1" x14ac:dyDescent="0.25">
      <c r="A173">
        <v>351</v>
      </c>
      <c r="B173">
        <v>15407</v>
      </c>
      <c r="C173" t="s">
        <v>773</v>
      </c>
      <c r="D173" s="260">
        <v>45980</v>
      </c>
      <c r="E173" t="s">
        <v>755</v>
      </c>
      <c r="F173" t="s">
        <v>448</v>
      </c>
      <c r="G173" s="25">
        <v>50000</v>
      </c>
      <c r="H173" s="25">
        <v>50000</v>
      </c>
      <c r="J173" s="260">
        <v>46345</v>
      </c>
      <c r="L173" t="s">
        <v>455</v>
      </c>
      <c r="M173" s="25"/>
      <c r="N173" t="s">
        <v>448</v>
      </c>
      <c r="O173" s="25">
        <v>50000</v>
      </c>
      <c r="Q173" s="260">
        <v>46345</v>
      </c>
    </row>
    <row r="174" spans="1:17" hidden="1" x14ac:dyDescent="0.25">
      <c r="A174">
        <v>198</v>
      </c>
      <c r="B174">
        <v>12596</v>
      </c>
      <c r="C174" t="s">
        <v>262</v>
      </c>
      <c r="D174" s="260">
        <v>45831</v>
      </c>
      <c r="E174" t="s">
        <v>639</v>
      </c>
      <c r="F174" t="s">
        <v>448</v>
      </c>
      <c r="G174" s="25">
        <v>1375000</v>
      </c>
      <c r="H174" s="25">
        <v>1375000</v>
      </c>
      <c r="J174" s="260"/>
      <c r="L174" t="s">
        <v>455</v>
      </c>
      <c r="M174" s="25"/>
      <c r="N174" t="s">
        <v>448</v>
      </c>
      <c r="O174" s="25">
        <v>1375000</v>
      </c>
      <c r="Q174" s="260">
        <v>46196</v>
      </c>
    </row>
    <row r="175" spans="1:17" hidden="1" x14ac:dyDescent="0.25">
      <c r="A175">
        <v>389</v>
      </c>
      <c r="B175">
        <v>14766</v>
      </c>
      <c r="C175" t="s">
        <v>823</v>
      </c>
      <c r="D175" s="260">
        <v>46035</v>
      </c>
      <c r="E175" t="s">
        <v>684</v>
      </c>
      <c r="F175" t="s">
        <v>448</v>
      </c>
      <c r="G175" s="25">
        <v>200000</v>
      </c>
      <c r="H175" s="25">
        <v>200000</v>
      </c>
      <c r="J175" s="260">
        <v>46400</v>
      </c>
      <c r="K175">
        <v>30</v>
      </c>
      <c r="L175" t="s">
        <v>455</v>
      </c>
      <c r="M175" s="25"/>
      <c r="N175" t="s">
        <v>448</v>
      </c>
      <c r="O175" s="25">
        <v>200000</v>
      </c>
      <c r="Q175" s="260">
        <v>46400</v>
      </c>
    </row>
    <row r="176" spans="1:17" hidden="1" x14ac:dyDescent="0.25">
      <c r="A176">
        <v>387</v>
      </c>
      <c r="B176">
        <v>9295</v>
      </c>
      <c r="C176" t="s">
        <v>382</v>
      </c>
      <c r="D176" s="260">
        <v>46030</v>
      </c>
      <c r="E176" t="s">
        <v>837</v>
      </c>
      <c r="F176" t="s">
        <v>448</v>
      </c>
      <c r="G176" s="25">
        <v>990000</v>
      </c>
      <c r="H176" s="25">
        <v>990000</v>
      </c>
      <c r="J176" s="260">
        <v>46395</v>
      </c>
      <c r="L176" t="s">
        <v>455</v>
      </c>
      <c r="M176" s="25"/>
      <c r="N176" t="s">
        <v>448</v>
      </c>
      <c r="O176" s="25">
        <v>990000</v>
      </c>
      <c r="Q176" s="260">
        <v>46395</v>
      </c>
    </row>
  </sheetData>
  <autoFilter ref="A1:Q176" xr:uid="{5B539DC2-5FDB-4BE7-96C1-31ACE1BC57BA}">
    <filterColumn colId="2">
      <filters>
        <filter val="SOLINAG CÍA.LTDA - EQUADOR"/>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S11" sqref="S11"/>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690</v>
      </c>
      <c r="B3" t="s">
        <v>609</v>
      </c>
    </row>
    <row r="4" spans="1:4" x14ac:dyDescent="0.25">
      <c r="A4" s="227" t="s">
        <v>210</v>
      </c>
      <c r="B4" s="25">
        <v>91345.527599999972</v>
      </c>
      <c r="D4" s="32">
        <f>SUMIFS('AR - slide BoD'!$I:$I,'AR - slide BoD'!B:B,A4)</f>
        <v>3044850.9199999995</v>
      </c>
    </row>
    <row r="5" spans="1:4" x14ac:dyDescent="0.25">
      <c r="A5" s="227" t="s">
        <v>149</v>
      </c>
      <c r="B5" s="25">
        <v>3796</v>
      </c>
      <c r="D5" s="32">
        <f>SUMIFS('AR - slide BoD'!$I:$I,'AR - slide BoD'!B:B,A5)</f>
        <v>0</v>
      </c>
    </row>
    <row r="6" spans="1:4" x14ac:dyDescent="0.25">
      <c r="A6" s="227" t="s">
        <v>146</v>
      </c>
      <c r="B6" s="25">
        <v>15820</v>
      </c>
      <c r="D6" s="32">
        <f>SUMIFS('AR - slide BoD'!$I:$I,'AR - slide BoD'!B:B,A6)</f>
        <v>0</v>
      </c>
    </row>
    <row r="7" spans="1:4" x14ac:dyDescent="0.25">
      <c r="A7" s="227" t="s">
        <v>199</v>
      </c>
      <c r="B7" s="25">
        <v>1716645.3400000003</v>
      </c>
      <c r="D7" s="32">
        <f>SUMIFS('AR - slide BoD'!$I:$I,'AR - slide BoD'!B:B,A7)</f>
        <v>1704711.9409000003</v>
      </c>
    </row>
    <row r="8" spans="1:4" x14ac:dyDescent="0.25">
      <c r="A8" s="227" t="s">
        <v>207</v>
      </c>
      <c r="B8" s="25">
        <v>1010345</v>
      </c>
      <c r="D8" s="32">
        <f>SUMIFS('AR - slide BoD'!$I:$I,'AR - slide BoD'!B:B,A8)</f>
        <v>0</v>
      </c>
    </row>
    <row r="9" spans="1:4" x14ac:dyDescent="0.25">
      <c r="A9" s="227" t="s">
        <v>177</v>
      </c>
      <c r="B9" s="25">
        <v>3780363.9000000008</v>
      </c>
      <c r="D9" s="32">
        <f>SUMIFS('AR - slide BoD'!$I:$I,'AR - slide BoD'!B:B,A9)</f>
        <v>0</v>
      </c>
    </row>
    <row r="10" spans="1:4" x14ac:dyDescent="0.25">
      <c r="A10" s="227" t="s">
        <v>566</v>
      </c>
      <c r="B10" s="25">
        <v>84291.45</v>
      </c>
      <c r="D10" s="32">
        <f>SUMIFS('AR - slide BoD'!$I:$I,'AR - slide BoD'!B:B,A10)</f>
        <v>0</v>
      </c>
    </row>
    <row r="11" spans="1:4" x14ac:dyDescent="0.25">
      <c r="A11" s="227" t="s">
        <v>137</v>
      </c>
      <c r="B11" s="25">
        <v>259.37</v>
      </c>
      <c r="D11" s="32">
        <f>SUMIFS('AR - slide BoD'!$I:$I,'AR - slide BoD'!B:B,A11)</f>
        <v>0</v>
      </c>
    </row>
    <row r="12" spans="1:4" x14ac:dyDescent="0.25">
      <c r="A12" s="227" t="s">
        <v>151</v>
      </c>
      <c r="B12" s="25">
        <v>22222.25</v>
      </c>
      <c r="D12" s="32">
        <f>SUMIFS('AR - slide BoD'!$I:$I,'AR - slide BoD'!B:B,A12)</f>
        <v>0</v>
      </c>
    </row>
    <row r="13" spans="1:4" x14ac:dyDescent="0.25">
      <c r="A13" s="227" t="s">
        <v>152</v>
      </c>
      <c r="B13" s="25">
        <v>7900</v>
      </c>
      <c r="D13" s="32">
        <f>SUMIFS('AR - slide BoD'!$I:$I,'AR - slide BoD'!B:B,A13)</f>
        <v>0</v>
      </c>
    </row>
    <row r="14" spans="1:4" x14ac:dyDescent="0.25">
      <c r="A14" s="227" t="s">
        <v>153</v>
      </c>
      <c r="B14" s="25">
        <v>41379</v>
      </c>
      <c r="D14" s="32">
        <f>SUMIFS('AR - slide BoD'!$I:$I,'AR - slide BoD'!B:B,A14)</f>
        <v>0</v>
      </c>
    </row>
    <row r="15" spans="1:4" x14ac:dyDescent="0.25">
      <c r="A15" s="227" t="s">
        <v>91</v>
      </c>
      <c r="B15" s="25">
        <v>20940</v>
      </c>
      <c r="D15" s="32">
        <f>SUMIFS('AR - slide BoD'!$I:$I,'AR - slide BoD'!B:B,A15)</f>
        <v>20940</v>
      </c>
    </row>
    <row r="16" spans="1:4" x14ac:dyDescent="0.25">
      <c r="A16" s="227" t="s">
        <v>418</v>
      </c>
      <c r="B16" s="25">
        <v>267.27</v>
      </c>
      <c r="D16" s="32">
        <f>SUMIFS('AR - slide BoD'!$I:$I,'AR - slide BoD'!B:B,A16)</f>
        <v>0</v>
      </c>
    </row>
    <row r="17" spans="1:4" x14ac:dyDescent="0.25">
      <c r="A17" s="227" t="s">
        <v>416</v>
      </c>
      <c r="B17" s="25">
        <v>36</v>
      </c>
      <c r="D17" s="32">
        <f>SUMIFS('AR - slide BoD'!$I:$I,'AR - slide BoD'!B:B,A17)</f>
        <v>0</v>
      </c>
    </row>
    <row r="18" spans="1:4" x14ac:dyDescent="0.25">
      <c r="A18" s="227" t="s">
        <v>532</v>
      </c>
      <c r="B18" s="25">
        <v>36594</v>
      </c>
      <c r="D18" s="32">
        <f>SUMIFS('AR - slide BoD'!$I:$I,'AR - slide BoD'!B:B,A18)</f>
        <v>0</v>
      </c>
    </row>
    <row r="19" spans="1:4" x14ac:dyDescent="0.25">
      <c r="A19" s="227" t="s">
        <v>578</v>
      </c>
      <c r="B19" s="25">
        <v>1800</v>
      </c>
      <c r="D19" s="32">
        <f>SUMIFS('AR - slide BoD'!$I:$I,'AR - slide BoD'!B:B,A19)</f>
        <v>0</v>
      </c>
    </row>
    <row r="20" spans="1:4" x14ac:dyDescent="0.25">
      <c r="A20" s="227" t="s">
        <v>429</v>
      </c>
      <c r="B20" s="25">
        <v>3088531.0700000008</v>
      </c>
      <c r="D20" s="32">
        <f>SUMIFS('AR - slide BoD'!$I:$I,'AR - slide BoD'!B:B,A20)</f>
        <v>3088531.0700000008</v>
      </c>
    </row>
    <row r="21" spans="1:4" x14ac:dyDescent="0.25">
      <c r="A21" s="227" t="s">
        <v>500</v>
      </c>
      <c r="B21" s="25">
        <v>66396.317999999999</v>
      </c>
      <c r="D21" s="32">
        <f>SUMIFS('AR - slide BoD'!$I:$I,'AR - slide BoD'!B:B,A21)</f>
        <v>16756.646000000001</v>
      </c>
    </row>
    <row r="22" spans="1:4" x14ac:dyDescent="0.25">
      <c r="A22" s="227" t="s">
        <v>531</v>
      </c>
      <c r="B22" s="25">
        <v>15336</v>
      </c>
      <c r="D22" s="32">
        <f>SUMIFS('AR - slide BoD'!$I:$I,'AR - slide BoD'!B:B,A22)</f>
        <v>0</v>
      </c>
    </row>
    <row r="23" spans="1:4" x14ac:dyDescent="0.25">
      <c r="A23" s="227" t="s">
        <v>424</v>
      </c>
      <c r="B23" s="25">
        <v>19772.22</v>
      </c>
      <c r="D23" s="32">
        <f>SUMIFS('AR - slide BoD'!$I:$I,'AR - slide BoD'!B:B,A23)</f>
        <v>0</v>
      </c>
    </row>
    <row r="24" spans="1:4" x14ac:dyDescent="0.25">
      <c r="A24" s="227" t="s">
        <v>422</v>
      </c>
      <c r="B24" s="25">
        <v>3060.2459999999996</v>
      </c>
      <c r="D24" s="32">
        <f>SUMIFS('AR - slide BoD'!$I:$I,'AR - slide BoD'!B:B,A24)</f>
        <v>0</v>
      </c>
    </row>
    <row r="25" spans="1:4" x14ac:dyDescent="0.25">
      <c r="A25" s="227" t="s">
        <v>420</v>
      </c>
      <c r="B25" s="25">
        <v>51035.049599999991</v>
      </c>
      <c r="D25" s="32">
        <f>SUMIFS('AR - slide BoD'!$I:$I,'AR - slide BoD'!B:B,A25)</f>
        <v>5626.32</v>
      </c>
    </row>
    <row r="26" spans="1:4" x14ac:dyDescent="0.25">
      <c r="A26" s="227" t="s">
        <v>361</v>
      </c>
      <c r="B26" s="25">
        <v>5907.1142999999993</v>
      </c>
      <c r="D26" s="32">
        <f>SUMIFS('AR - slide BoD'!$I:$I,'AR - slide BoD'!B:B,A26)</f>
        <v>0</v>
      </c>
    </row>
    <row r="27" spans="1:4" x14ac:dyDescent="0.25">
      <c r="A27" s="227" t="s">
        <v>294</v>
      </c>
      <c r="B27" s="25">
        <v>6412.5</v>
      </c>
      <c r="D27" s="32">
        <f>SUMIFS('AR - slide BoD'!$I:$I,'AR - slide BoD'!B:B,A27)</f>
        <v>213750</v>
      </c>
    </row>
    <row r="28" spans="1:4" x14ac:dyDescent="0.25">
      <c r="A28" s="227" t="s">
        <v>154</v>
      </c>
      <c r="B28" s="25">
        <v>26080</v>
      </c>
      <c r="D28" s="32">
        <f>SUMIFS('AR - slide BoD'!$I:$I,'AR - slide BoD'!B:B,A28)</f>
        <v>0</v>
      </c>
    </row>
    <row r="29" spans="1:4" x14ac:dyDescent="0.25">
      <c r="A29" s="227" t="s">
        <v>273</v>
      </c>
      <c r="B29" s="25">
        <v>28.799999999999997</v>
      </c>
      <c r="D29" s="32">
        <f>SUMIFS('AR - slide BoD'!$I:$I,'AR - slide BoD'!B:B,A29)</f>
        <v>0</v>
      </c>
    </row>
    <row r="30" spans="1:4" x14ac:dyDescent="0.25">
      <c r="A30" s="227" t="s">
        <v>265</v>
      </c>
      <c r="B30" s="25">
        <v>3</v>
      </c>
      <c r="D30" s="32">
        <f>SUMIFS('AR - slide BoD'!$I:$I,'AR - slide BoD'!B:B,A30)</f>
        <v>100</v>
      </c>
    </row>
    <row r="31" spans="1:4" x14ac:dyDescent="0.25">
      <c r="A31" s="227" t="s">
        <v>143</v>
      </c>
      <c r="B31" s="25">
        <v>11589.61</v>
      </c>
      <c r="D31" s="32">
        <f>SUMIFS('AR - slide BoD'!$I:$I,'AR - slide BoD'!B:B,A31)</f>
        <v>0</v>
      </c>
    </row>
    <row r="32" spans="1:4" x14ac:dyDescent="0.25">
      <c r="A32" s="227" t="s">
        <v>133</v>
      </c>
      <c r="B32" s="25">
        <v>256935.85</v>
      </c>
      <c r="D32" s="32">
        <f>SUMIFS('AR - slide BoD'!$I:$I,'AR - slide BoD'!B:B,A32)</f>
        <v>0</v>
      </c>
    </row>
    <row r="33" spans="1:4" x14ac:dyDescent="0.25">
      <c r="A33" s="227" t="s">
        <v>155</v>
      </c>
      <c r="B33" s="25">
        <v>1547.9599999999998</v>
      </c>
      <c r="D33" s="32">
        <f>SUMIFS('AR - slide BoD'!$I:$I,'AR - slide BoD'!B:B,A33)</f>
        <v>0</v>
      </c>
    </row>
    <row r="34" spans="1:4" x14ac:dyDescent="0.25">
      <c r="A34" s="227" t="s">
        <v>309</v>
      </c>
      <c r="B34" s="25">
        <v>1.5</v>
      </c>
      <c r="D34" s="32">
        <f>SUMIFS('AR - slide BoD'!$I:$I,'AR - slide BoD'!B:B,A34)</f>
        <v>50</v>
      </c>
    </row>
    <row r="35" spans="1:4" x14ac:dyDescent="0.25">
      <c r="A35" s="227" t="s">
        <v>100</v>
      </c>
      <c r="B35" s="25">
        <v>1800</v>
      </c>
      <c r="D35" s="32">
        <f>SUMIFS('AR - slide BoD'!$I:$I,'AR - slide BoD'!B:B,A35)</f>
        <v>0</v>
      </c>
    </row>
    <row r="36" spans="1:4" x14ac:dyDescent="0.25">
      <c r="A36" s="227" t="s">
        <v>156</v>
      </c>
      <c r="B36" s="25">
        <v>140872.6</v>
      </c>
      <c r="D36" s="32">
        <f>SUMIFS('AR - slide BoD'!$I:$I,'AR - slide BoD'!B:B,A36)</f>
        <v>0</v>
      </c>
    </row>
    <row r="37" spans="1:4" x14ac:dyDescent="0.25">
      <c r="A37" s="227" t="s">
        <v>157</v>
      </c>
      <c r="B37" s="25">
        <v>110527.99999999999</v>
      </c>
      <c r="D37" s="32">
        <f>SUMIFS('AR - slide BoD'!$I:$I,'AR - slide BoD'!B:B,A37)</f>
        <v>0</v>
      </c>
    </row>
    <row r="38" spans="1:4" x14ac:dyDescent="0.25">
      <c r="A38" s="227" t="s">
        <v>175</v>
      </c>
      <c r="B38" s="25">
        <v>1390.8</v>
      </c>
      <c r="D38" s="32">
        <f>SUMIFS('AR - slide BoD'!$I:$I,'AR - slide BoD'!B:B,A38)</f>
        <v>0</v>
      </c>
    </row>
    <row r="39" spans="1:4" x14ac:dyDescent="0.25">
      <c r="A39" s="227" t="s">
        <v>383</v>
      </c>
      <c r="B39" s="25">
        <v>9</v>
      </c>
      <c r="D39" s="32">
        <f>SUMIFS('AR - slide BoD'!$I:$I,'AR - slide BoD'!B:B,A39)</f>
        <v>300</v>
      </c>
    </row>
    <row r="40" spans="1:4" x14ac:dyDescent="0.25">
      <c r="A40" s="227" t="s">
        <v>158</v>
      </c>
      <c r="B40" s="25">
        <v>3521.7599999999998</v>
      </c>
      <c r="D40" s="32">
        <f>SUMIFS('AR - slide BoD'!$I:$I,'AR - slide BoD'!B:B,A40)</f>
        <v>0</v>
      </c>
    </row>
    <row r="41" spans="1:4" x14ac:dyDescent="0.25">
      <c r="A41" s="227" t="s">
        <v>187</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145</v>
      </c>
      <c r="B43" s="25">
        <v>1515.4999999999998</v>
      </c>
      <c r="D43" s="32">
        <f>SUMIFS('AR - slide BoD'!$I:$I,'AR - slide BoD'!B:B,A43)</f>
        <v>0</v>
      </c>
    </row>
    <row r="44" spans="1:4" x14ac:dyDescent="0.25">
      <c r="A44" s="227" t="s">
        <v>691</v>
      </c>
      <c r="B44" s="25"/>
    </row>
    <row r="45" spans="1:4" x14ac:dyDescent="0.25">
      <c r="A45" s="227" t="s">
        <v>692</v>
      </c>
      <c r="B45" s="25">
        <v>10797659.702200001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AR - slide</vt:lpstr>
      <vt:lpstr>AR</vt:lpstr>
      <vt:lpstr>freight debit notes</vt:lpstr>
      <vt:lpstr>Data total</vt:lpstr>
      <vt:lpstr>Data Additive</vt:lpstr>
      <vt:lpstr>Data International</vt:lpstr>
      <vt:lpstr>Data Fertilizers</vt:lpstr>
      <vt:lpstr>Clientes Consolidado</vt:lpstr>
      <vt:lpstr>Planilha1</vt:lpstr>
      <vt:lpstr>Painel Additive</vt:lpstr>
      <vt:lpstr>Painel Fertilizers</vt:lpstr>
      <vt:lpstr>Cliente Aditivo</vt:lpstr>
      <vt:lpstr>Cliente Fertilizante</vt:lpstr>
      <vt:lpstr>Cliente Internacional</vt:lpstr>
      <vt:lpstr>Painel International</vt:lpstr>
      <vt:lpstr>Bad Debt Provision</vt:lpstr>
      <vt:lpstr>Limite de crédito</vt:lpstr>
      <vt:lpstr>Sheet1</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Bruno Nogueira Mendes</cp:lastModifiedBy>
  <cp:lastPrinted>2025-02-14T20:07:10Z</cp:lastPrinted>
  <dcterms:created xsi:type="dcterms:W3CDTF">2024-06-14T11:59:41Z</dcterms:created>
  <dcterms:modified xsi:type="dcterms:W3CDTF">2026-05-06T18:55:20Z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